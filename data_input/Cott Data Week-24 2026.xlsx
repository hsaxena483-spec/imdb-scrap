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S-NEW\Desktop\Cott For Users Uploading File\Kartik Data\Weekly Data\"/>
    </mc:Choice>
  </mc:AlternateContent>
  <xr:revisionPtr revIDLastSave="0" documentId="13_ncr:1_{8421FF28-2094-4798-97F0-9AEAFFD9B1EE}" xr6:coauthVersionLast="47" xr6:coauthVersionMax="47" xr10:uidLastSave="{00000000-0000-0000-0000-000000000000}"/>
  <bookViews>
    <workbookView xWindow="-120" yWindow="-120" windowWidth="29040" windowHeight="15720" tabRatio="558" xr2:uid="{2717C1BE-F3A3-485B-AE3B-58697426EF0E}"/>
  </bookViews>
  <sheets>
    <sheet name="Top 50 Shows &amp; Movies" sheetId="28" r:id="rId1"/>
    <sheet name="Compile data Working" sheetId="2" r:id="rId2"/>
    <sheet name="Sheet2" sheetId="30" state="hidden" r:id="rId3"/>
    <sheet name="ranking" sheetId="21" state="hidden" r:id="rId4"/>
    <sheet name="Updated SES" sheetId="7" state="hidden" r:id="rId5"/>
    <sheet name="Genre Penetration" sheetId="8" state="hidden" r:id="rId6"/>
    <sheet name="Language Penetration" sheetId="9" state="hidden" r:id="rId7"/>
    <sheet name="Sheet1" sheetId="29" state="hidden" r:id="rId8"/>
    <sheet name="Age Breakup" sheetId="1" state="hidden" r:id="rId9"/>
  </sheets>
  <definedNames>
    <definedName name="_xlnm._FilterDatabase" localSheetId="8" hidden="1">'Age Breakup'!$B$3:$H$63</definedName>
    <definedName name="_xlnm._FilterDatabase" localSheetId="1" hidden="1">'Compile data Working'!$A$4:$T$124</definedName>
    <definedName name="_xlnm._FilterDatabase" localSheetId="5" hidden="1">'Genre Penetration'!$A$1:$C$688</definedName>
    <definedName name="_xlnm._FilterDatabase" localSheetId="3" hidden="1">ranking!$W$2:$X$9</definedName>
    <definedName name="_xlnm._FilterDatabase" localSheetId="0" hidden="1">'Top 50 Shows &amp; Movies'!$A$6:$L$56</definedName>
    <definedName name="_xlnm._FilterDatabase" localSheetId="4" hidden="1">'Updated SES'!$A$2:$N$45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28" l="1"/>
  <c r="K9" i="28" s="1"/>
  <c r="O6" i="2"/>
  <c r="O7" i="2"/>
  <c r="O15" i="2"/>
  <c r="O10" i="2"/>
  <c r="O11" i="2"/>
  <c r="O12" i="2"/>
  <c r="O13" i="2"/>
  <c r="O9" i="2"/>
  <c r="O51" i="2"/>
  <c r="O48" i="2"/>
  <c r="O36" i="2"/>
  <c r="O16" i="2"/>
  <c r="O17" i="2"/>
  <c r="O32" i="2"/>
  <c r="O18" i="2"/>
  <c r="O39" i="2"/>
  <c r="O44" i="2"/>
  <c r="O8" i="2"/>
  <c r="O41" i="2"/>
  <c r="O19" i="2"/>
  <c r="O20" i="2"/>
  <c r="O21" i="2"/>
  <c r="O22" i="2"/>
  <c r="O23" i="2"/>
  <c r="O24" i="2"/>
  <c r="O25" i="2"/>
  <c r="O35" i="2"/>
  <c r="O26" i="2"/>
  <c r="O27" i="2"/>
  <c r="O28" i="2"/>
  <c r="O29" i="2"/>
  <c r="O30" i="2"/>
  <c r="O54" i="2"/>
  <c r="O31" i="2"/>
  <c r="O33" i="2"/>
  <c r="O34" i="2"/>
  <c r="O14" i="2"/>
  <c r="O37" i="2"/>
  <c r="O38" i="2"/>
  <c r="O40" i="2"/>
  <c r="O42" i="2"/>
  <c r="O43" i="2"/>
  <c r="O45" i="2"/>
  <c r="O46" i="2"/>
  <c r="O47" i="2"/>
  <c r="O49" i="2"/>
  <c r="O50" i="2"/>
  <c r="O52" i="2"/>
  <c r="O53" i="2"/>
  <c r="O55" i="2"/>
  <c r="O73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56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5" i="2"/>
  <c r="L12" i="2"/>
  <c r="M12" i="2"/>
  <c r="N12" i="2"/>
  <c r="P12" i="2"/>
  <c r="R12" i="2"/>
  <c r="M69" i="2"/>
  <c r="M25" i="2"/>
  <c r="M43" i="2"/>
  <c r="M49" i="2"/>
  <c r="M22" i="2"/>
  <c r="M55" i="2"/>
  <c r="M58" i="2"/>
  <c r="M23" i="2"/>
  <c r="M79" i="2"/>
  <c r="M45" i="2"/>
  <c r="M33" i="2"/>
  <c r="M36" i="2"/>
  <c r="M111" i="2"/>
  <c r="M27" i="2"/>
  <c r="M47" i="2"/>
  <c r="M42" i="2"/>
  <c r="M34" i="2"/>
  <c r="M53" i="2"/>
  <c r="M46" i="2"/>
  <c r="M59" i="2"/>
  <c r="M62" i="2"/>
  <c r="M65" i="2"/>
  <c r="M68" i="2"/>
  <c r="M44" i="2"/>
  <c r="M52" i="2"/>
  <c r="M41" i="2"/>
  <c r="M63" i="2"/>
  <c r="M61" i="2"/>
  <c r="M54" i="2"/>
  <c r="M32" i="2"/>
  <c r="M84" i="2"/>
  <c r="M28" i="2"/>
  <c r="M66" i="2"/>
  <c r="M10" i="2"/>
  <c r="M56" i="2"/>
  <c r="M93" i="2"/>
  <c r="M102" i="2"/>
  <c r="M110" i="2"/>
  <c r="M73" i="2"/>
  <c r="M112" i="2"/>
  <c r="M119" i="2"/>
  <c r="M9" i="2"/>
  <c r="M19" i="2"/>
  <c r="M8" i="2"/>
  <c r="M71" i="2"/>
  <c r="M15" i="2"/>
  <c r="M18" i="2"/>
  <c r="M20" i="2"/>
  <c r="M85" i="2"/>
  <c r="M17" i="2"/>
  <c r="M26" i="2"/>
  <c r="M5" i="2"/>
  <c r="M101" i="2"/>
  <c r="M29" i="2"/>
  <c r="M14" i="2"/>
  <c r="M13" i="2"/>
  <c r="M30" i="2"/>
  <c r="M75" i="2"/>
  <c r="M21" i="2"/>
  <c r="M35" i="2"/>
  <c r="M51" i="2"/>
  <c r="M48" i="2"/>
  <c r="M50" i="2"/>
  <c r="M89" i="2"/>
  <c r="M24" i="2"/>
  <c r="M39" i="2"/>
  <c r="M99" i="2"/>
  <c r="M76" i="2"/>
  <c r="M70" i="2"/>
  <c r="M94" i="2"/>
  <c r="M90" i="2"/>
  <c r="M86" i="2"/>
  <c r="M83" i="2"/>
  <c r="M40" i="2"/>
  <c r="M37" i="2"/>
  <c r="M57" i="2"/>
  <c r="M64" i="2"/>
  <c r="M38" i="2"/>
  <c r="M31" i="2"/>
  <c r="M97" i="2"/>
  <c r="M78" i="2"/>
  <c r="M80" i="2"/>
  <c r="M95" i="2"/>
  <c r="M91" i="2"/>
  <c r="M104" i="2"/>
  <c r="M116" i="2"/>
  <c r="M113" i="2"/>
  <c r="M107" i="2"/>
  <c r="M100" i="2"/>
  <c r="M98" i="2"/>
  <c r="M103" i="2"/>
  <c r="M122" i="2"/>
  <c r="M88" i="2"/>
  <c r="M96" i="2"/>
  <c r="M81" i="2"/>
  <c r="M87" i="2"/>
  <c r="M124" i="2"/>
  <c r="M105" i="2"/>
  <c r="M106" i="2"/>
  <c r="M121" i="2"/>
  <c r="M120" i="2"/>
  <c r="M118" i="2"/>
  <c r="M114" i="2"/>
  <c r="M117" i="2"/>
  <c r="M108" i="2"/>
  <c r="M11" i="2"/>
  <c r="M16" i="2"/>
  <c r="M72" i="2"/>
  <c r="M7" i="2"/>
  <c r="M115" i="2"/>
  <c r="M92" i="2"/>
  <c r="M109" i="2"/>
  <c r="M77" i="2"/>
  <c r="M74" i="2"/>
  <c r="M123" i="2"/>
  <c r="M82" i="2"/>
  <c r="M60" i="2"/>
  <c r="M67" i="2"/>
  <c r="L109" i="2"/>
  <c r="N109" i="2"/>
  <c r="P109" i="2"/>
  <c r="R109" i="2"/>
  <c r="L77" i="2"/>
  <c r="N77" i="2"/>
  <c r="P77" i="2"/>
  <c r="R77" i="2"/>
  <c r="L74" i="2"/>
  <c r="N74" i="2"/>
  <c r="P74" i="2"/>
  <c r="R74" i="2"/>
  <c r="L123" i="2"/>
  <c r="N123" i="2"/>
  <c r="P123" i="2"/>
  <c r="R123" i="2"/>
  <c r="L82" i="2"/>
  <c r="N82" i="2"/>
  <c r="P82" i="2"/>
  <c r="R82" i="2"/>
  <c r="L60" i="2"/>
  <c r="N60" i="2"/>
  <c r="P60" i="2"/>
  <c r="R60" i="2"/>
  <c r="L67" i="2"/>
  <c r="N67" i="2"/>
  <c r="P67" i="2"/>
  <c r="R67" i="2"/>
  <c r="P69" i="2"/>
  <c r="R69" i="2"/>
  <c r="P25" i="2"/>
  <c r="R25" i="2"/>
  <c r="P122" i="2"/>
  <c r="R122" i="2"/>
  <c r="P83" i="2"/>
  <c r="R83" i="2"/>
  <c r="P31" i="2"/>
  <c r="R31" i="2"/>
  <c r="P116" i="2"/>
  <c r="R116" i="2"/>
  <c r="P48" i="2"/>
  <c r="R48" i="2"/>
  <c r="P13" i="2"/>
  <c r="R13" i="2"/>
  <c r="P99" i="2"/>
  <c r="R99" i="2"/>
  <c r="P118" i="2"/>
  <c r="R118" i="2"/>
  <c r="P51" i="2"/>
  <c r="R51" i="2"/>
  <c r="P5" i="2"/>
  <c r="R5" i="2"/>
  <c r="P78" i="2"/>
  <c r="R78" i="2"/>
  <c r="Q12" i="2" l="1"/>
  <c r="S12" i="2" s="1"/>
  <c r="Q60" i="2"/>
  <c r="S60" i="2" s="1"/>
  <c r="Q82" i="2"/>
  <c r="S82" i="2" s="1"/>
  <c r="Q123" i="2"/>
  <c r="S123" i="2" s="1"/>
  <c r="Q74" i="2"/>
  <c r="S74" i="2" s="1"/>
  <c r="Q109" i="2"/>
  <c r="S109" i="2" s="1"/>
  <c r="Q67" i="2"/>
  <c r="S67" i="2" s="1"/>
  <c r="Q77" i="2"/>
  <c r="S77" i="2" s="1"/>
  <c r="C61" i="28"/>
  <c r="D61" i="28"/>
  <c r="C62" i="28"/>
  <c r="D62" i="28"/>
  <c r="C63" i="28"/>
  <c r="D63" i="28"/>
  <c r="C64" i="28"/>
  <c r="D64" i="28"/>
  <c r="C65" i="28"/>
  <c r="D65" i="28"/>
  <c r="R34" i="2" l="1"/>
  <c r="R110" i="2"/>
  <c r="R37" i="2"/>
  <c r="R19" i="2"/>
  <c r="R103" i="2"/>
  <c r="R61" i="2"/>
  <c r="R20" i="2"/>
  <c r="R93" i="2"/>
  <c r="R90" i="2"/>
  <c r="R33" i="2"/>
  <c r="R41" i="2"/>
  <c r="R27" i="2"/>
  <c r="R23" i="2"/>
  <c r="R18" i="2"/>
  <c r="R76" i="2"/>
  <c r="R50" i="2"/>
  <c r="R91" i="2"/>
  <c r="R14" i="2"/>
  <c r="R62" i="2"/>
  <c r="R8" i="2"/>
  <c r="R106" i="2"/>
  <c r="R64" i="2"/>
  <c r="R45" i="2"/>
  <c r="R54" i="2"/>
  <c r="R6" i="2"/>
  <c r="R88" i="2"/>
  <c r="R46" i="2"/>
  <c r="R47" i="2"/>
  <c r="R81" i="2"/>
  <c r="R49" i="2"/>
  <c r="R113" i="2"/>
  <c r="R10" i="2"/>
  <c r="R70" i="2"/>
  <c r="R98" i="2"/>
  <c r="R79" i="2"/>
  <c r="R108" i="2"/>
  <c r="R40" i="2"/>
  <c r="R111" i="2"/>
  <c r="R11" i="2"/>
  <c r="R57" i="2"/>
  <c r="R87" i="2"/>
  <c r="R120" i="2"/>
  <c r="R121" i="2"/>
  <c r="R59" i="2"/>
  <c r="R56" i="2"/>
  <c r="R35" i="2"/>
  <c r="R96" i="2"/>
  <c r="R65" i="2"/>
  <c r="R36" i="2"/>
  <c r="R16" i="2"/>
  <c r="R89" i="2"/>
  <c r="R112" i="2"/>
  <c r="R72" i="2"/>
  <c r="R7" i="2"/>
  <c r="R100" i="2"/>
  <c r="R53" i="2"/>
  <c r="R75" i="2"/>
  <c r="R44" i="2"/>
  <c r="R24" i="2"/>
  <c r="R39" i="2"/>
  <c r="R102" i="2"/>
  <c r="R26" i="2"/>
  <c r="R119" i="2"/>
  <c r="R55" i="2"/>
  <c r="R80" i="2"/>
  <c r="R21" i="2"/>
  <c r="R84" i="2"/>
  <c r="R43" i="2"/>
  <c r="R107" i="2"/>
  <c r="R9" i="2"/>
  <c r="R73" i="2"/>
  <c r="R97" i="2"/>
  <c r="R28" i="2"/>
  <c r="R42" i="2"/>
  <c r="R124" i="2"/>
  <c r="R63" i="2"/>
  <c r="R68" i="2"/>
  <c r="R85" i="2"/>
  <c r="R29" i="2"/>
  <c r="R115" i="2"/>
  <c r="R104" i="2"/>
  <c r="R71" i="2"/>
  <c r="R15" i="2"/>
  <c r="R58" i="2"/>
  <c r="R38" i="2"/>
  <c r="R86" i="2"/>
  <c r="R52" i="2"/>
  <c r="R105" i="2"/>
  <c r="R92" i="2"/>
  <c r="R66" i="2"/>
  <c r="R101" i="2"/>
  <c r="R30" i="2"/>
  <c r="R114" i="2"/>
  <c r="R32" i="2"/>
  <c r="R117" i="2"/>
  <c r="R94" i="2"/>
  <c r="R22" i="2"/>
  <c r="R95" i="2"/>
  <c r="R20" i="9"/>
  <c r="P16" i="2"/>
  <c r="P72" i="2"/>
  <c r="P7" i="2"/>
  <c r="P115" i="2"/>
  <c r="P92" i="2"/>
  <c r="BE14" i="9"/>
  <c r="BD14" i="9"/>
  <c r="BC14" i="9"/>
  <c r="AQ14" i="9"/>
  <c r="AG14" i="9"/>
  <c r="AK14" i="9"/>
  <c r="AZ14" i="9"/>
  <c r="BB14" i="9"/>
  <c r="P97" i="2" l="1"/>
  <c r="P93" i="2" l="1"/>
  <c r="P9" i="2"/>
  <c r="P39" i="2"/>
  <c r="P26" i="2"/>
  <c r="P33" i="2"/>
  <c r="P65" i="2"/>
  <c r="P120" i="2"/>
  <c r="P100" i="2"/>
  <c r="P6" i="2"/>
  <c r="P80" i="2"/>
  <c r="P107" i="2"/>
  <c r="P108" i="2"/>
  <c r="P86" i="2"/>
  <c r="P56" i="2"/>
  <c r="P98" i="2"/>
  <c r="P47" i="2"/>
  <c r="P46" i="2"/>
  <c r="P30" i="2"/>
  <c r="P87" i="2"/>
  <c r="P54" i="2"/>
  <c r="P110" i="2"/>
  <c r="P41" i="2"/>
  <c r="P71" i="2"/>
  <c r="P89" i="2"/>
  <c r="P85" i="2"/>
  <c r="P17" i="2"/>
  <c r="R17" i="2"/>
  <c r="P59" i="2"/>
  <c r="P20" i="2"/>
  <c r="P101" i="2"/>
  <c r="P81" i="2"/>
  <c r="P70" i="2"/>
  <c r="P23" i="2"/>
  <c r="P102" i="2"/>
  <c r="P88" i="2"/>
  <c r="P18" i="2"/>
  <c r="P113" i="2"/>
  <c r="P114" i="2"/>
  <c r="P64" i="2"/>
  <c r="P8" i="2"/>
  <c r="P75" i="2"/>
  <c r="P15" i="2"/>
  <c r="P36" i="2"/>
  <c r="P45" i="2"/>
  <c r="P95" i="2"/>
  <c r="P27" i="2"/>
  <c r="P42" i="2"/>
  <c r="P43" i="2"/>
  <c r="P66" i="2"/>
  <c r="P11" i="2"/>
  <c r="P21" i="2"/>
  <c r="P111" i="2"/>
  <c r="P40" i="2"/>
  <c r="P68" i="2"/>
  <c r="P73" i="2"/>
  <c r="P38" i="2"/>
  <c r="P24" i="2"/>
  <c r="P106" i="2"/>
  <c r="P105" i="2"/>
  <c r="P10" i="2" l="1"/>
  <c r="P84" i="2"/>
  <c r="P32" i="2"/>
  <c r="P96" i="2"/>
  <c r="P112" i="2"/>
  <c r="P62" i="2"/>
  <c r="P19" i="2"/>
  <c r="P53" i="2"/>
  <c r="P44" i="2"/>
  <c r="P37" i="2"/>
  <c r="P49" i="2"/>
  <c r="P58" i="2"/>
  <c r="P52" i="2"/>
  <c r="P103" i="2"/>
  <c r="P121" i="2"/>
  <c r="P94" i="2"/>
  <c r="P124" i="2"/>
  <c r="P61" i="2"/>
  <c r="P76" i="2"/>
  <c r="P55" i="2"/>
  <c r="P34" i="2"/>
  <c r="P117" i="2"/>
  <c r="P57" i="2" l="1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L69" i="2" l="1"/>
  <c r="N25" i="2"/>
  <c r="L31" i="2"/>
  <c r="N116" i="2"/>
  <c r="L99" i="2"/>
  <c r="N118" i="2"/>
  <c r="L78" i="2"/>
  <c r="N69" i="2"/>
  <c r="L83" i="2"/>
  <c r="N31" i="2"/>
  <c r="L118" i="2"/>
  <c r="L13" i="2"/>
  <c r="L5" i="2"/>
  <c r="L122" i="2"/>
  <c r="N83" i="2"/>
  <c r="L48" i="2"/>
  <c r="N13" i="2"/>
  <c r="L51" i="2"/>
  <c r="N5" i="2"/>
  <c r="N51" i="2"/>
  <c r="N78" i="2"/>
  <c r="L25" i="2"/>
  <c r="N122" i="2"/>
  <c r="L116" i="2"/>
  <c r="N48" i="2"/>
  <c r="N99" i="2"/>
  <c r="L18" i="2"/>
  <c r="L45" i="2"/>
  <c r="L47" i="2"/>
  <c r="L10" i="2"/>
  <c r="L72" i="2"/>
  <c r="L55" i="2"/>
  <c r="L85" i="2"/>
  <c r="L86" i="2"/>
  <c r="L92" i="2"/>
  <c r="L94" i="2"/>
  <c r="L95" i="2"/>
  <c r="N7" i="2"/>
  <c r="L103" i="2"/>
  <c r="L41" i="2"/>
  <c r="L76" i="2"/>
  <c r="L70" i="2"/>
  <c r="L89" i="2"/>
  <c r="L80" i="2"/>
  <c r="L43" i="2"/>
  <c r="L28" i="2"/>
  <c r="L124" i="2"/>
  <c r="L66" i="2"/>
  <c r="L114" i="2"/>
  <c r="N92" i="2"/>
  <c r="L37" i="2"/>
  <c r="L61" i="2"/>
  <c r="L27" i="2"/>
  <c r="L50" i="2"/>
  <c r="L98" i="2"/>
  <c r="L108" i="2"/>
  <c r="L57" i="2"/>
  <c r="L121" i="2"/>
  <c r="L24" i="2"/>
  <c r="L102" i="2"/>
  <c r="L107" i="2"/>
  <c r="L29" i="2"/>
  <c r="L52" i="2"/>
  <c r="L32" i="2"/>
  <c r="N72" i="2"/>
  <c r="L19" i="2"/>
  <c r="L91" i="2"/>
  <c r="L62" i="2"/>
  <c r="L54" i="2"/>
  <c r="L81" i="2"/>
  <c r="L40" i="2"/>
  <c r="L59" i="2"/>
  <c r="L36" i="2"/>
  <c r="L7" i="2"/>
  <c r="L26" i="2"/>
  <c r="L63" i="2"/>
  <c r="L115" i="2"/>
  <c r="L71" i="2"/>
  <c r="L101" i="2"/>
  <c r="L20" i="2"/>
  <c r="L8" i="2"/>
  <c r="L87" i="2"/>
  <c r="L112" i="2"/>
  <c r="L100" i="2"/>
  <c r="L75" i="2"/>
  <c r="L44" i="2"/>
  <c r="L68" i="2"/>
  <c r="L15" i="2"/>
  <c r="L105" i="2"/>
  <c r="N16" i="2"/>
  <c r="N115" i="2"/>
  <c r="L34" i="2"/>
  <c r="L93" i="2"/>
  <c r="L106" i="2"/>
  <c r="L6" i="2"/>
  <c r="L49" i="2"/>
  <c r="L111" i="2"/>
  <c r="L56" i="2"/>
  <c r="L65" i="2"/>
  <c r="L104" i="2"/>
  <c r="L58" i="2"/>
  <c r="L30" i="2"/>
  <c r="L117" i="2"/>
  <c r="L22" i="2"/>
  <c r="L110" i="2"/>
  <c r="L90" i="2"/>
  <c r="L14" i="2"/>
  <c r="L64" i="2"/>
  <c r="L88" i="2"/>
  <c r="L79" i="2"/>
  <c r="L120" i="2"/>
  <c r="L35" i="2"/>
  <c r="L21" i="2"/>
  <c r="L9" i="2"/>
  <c r="L97" i="2"/>
  <c r="L38" i="2"/>
  <c r="L33" i="2"/>
  <c r="L23" i="2"/>
  <c r="L46" i="2"/>
  <c r="L113" i="2"/>
  <c r="L11" i="2"/>
  <c r="L96" i="2"/>
  <c r="L16" i="2"/>
  <c r="L53" i="2"/>
  <c r="L39" i="2"/>
  <c r="L119" i="2"/>
  <c r="L84" i="2"/>
  <c r="L73" i="2"/>
  <c r="L42" i="2"/>
  <c r="N97" i="2"/>
  <c r="N61" i="2"/>
  <c r="N117" i="2"/>
  <c r="N32" i="2"/>
  <c r="N52" i="2"/>
  <c r="N108" i="2"/>
  <c r="N46" i="2"/>
  <c r="N54" i="2"/>
  <c r="N9" i="2"/>
  <c r="N71" i="2"/>
  <c r="N17" i="2"/>
  <c r="N20" i="2"/>
  <c r="N18" i="2"/>
  <c r="N84" i="2"/>
  <c r="N33" i="2"/>
  <c r="N55" i="2"/>
  <c r="N28" i="2"/>
  <c r="N63" i="2"/>
  <c r="N50" i="2"/>
  <c r="N94" i="2"/>
  <c r="N80" i="2"/>
  <c r="N47" i="2"/>
  <c r="N89" i="2"/>
  <c r="N70" i="2"/>
  <c r="N76" i="2"/>
  <c r="N113" i="2"/>
  <c r="N64" i="2"/>
  <c r="N15" i="2"/>
  <c r="N107" i="2"/>
  <c r="N124" i="2"/>
  <c r="N87" i="2"/>
  <c r="N81" i="2"/>
  <c r="N93" i="2"/>
  <c r="N75" i="2"/>
  <c r="N10" i="2"/>
  <c r="N37" i="2"/>
  <c r="N121" i="2"/>
  <c r="M6" i="2"/>
  <c r="N91" i="2"/>
  <c r="N56" i="2"/>
  <c r="N30" i="2"/>
  <c r="N85" i="2"/>
  <c r="N59" i="2"/>
  <c r="N96" i="2"/>
  <c r="N19" i="2"/>
  <c r="N34" i="2"/>
  <c r="N120" i="2"/>
  <c r="N6" i="2"/>
  <c r="N112" i="2"/>
  <c r="N90" i="2"/>
  <c r="N44" i="2"/>
  <c r="N86" i="2"/>
  <c r="N119" i="2"/>
  <c r="N101" i="2"/>
  <c r="N23" i="2"/>
  <c r="N27" i="2"/>
  <c r="N49" i="2"/>
  <c r="N65" i="2"/>
  <c r="N39" i="2"/>
  <c r="N106" i="2"/>
  <c r="N40" i="2"/>
  <c r="N88" i="2"/>
  <c r="N42" i="2"/>
  <c r="N66" i="2"/>
  <c r="N41" i="2"/>
  <c r="N102" i="2"/>
  <c r="N8" i="2"/>
  <c r="N11" i="2"/>
  <c r="N79" i="2"/>
  <c r="N35" i="2"/>
  <c r="N22" i="2"/>
  <c r="N38" i="2"/>
  <c r="N58" i="2"/>
  <c r="N36" i="2"/>
  <c r="N98" i="2"/>
  <c r="N110" i="2"/>
  <c r="N14" i="2"/>
  <c r="N103" i="2"/>
  <c r="N95" i="2"/>
  <c r="N105" i="2"/>
  <c r="N45" i="2"/>
  <c r="N111" i="2"/>
  <c r="N26" i="2"/>
  <c r="L17" i="2"/>
  <c r="N29" i="2"/>
  <c r="N24" i="2"/>
  <c r="N114" i="2"/>
  <c r="N43" i="2"/>
  <c r="N21" i="2"/>
  <c r="N62" i="2"/>
  <c r="N68" i="2"/>
  <c r="N73" i="2"/>
  <c r="N100" i="2"/>
  <c r="N53" i="2"/>
  <c r="N104" i="2"/>
  <c r="N57" i="2"/>
  <c r="L449" i="29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83" i="2" l="1"/>
  <c r="S83" i="2" s="1"/>
  <c r="Q118" i="2"/>
  <c r="S118" i="2" s="1"/>
  <c r="Q5" i="2"/>
  <c r="S5" i="2" s="1"/>
  <c r="Q31" i="2"/>
  <c r="S31" i="2" s="1"/>
  <c r="Q51" i="2"/>
  <c r="S51" i="2" s="1"/>
  <c r="Q25" i="2"/>
  <c r="S25" i="2" s="1"/>
  <c r="Q122" i="2"/>
  <c r="S122" i="2" s="1"/>
  <c r="Q13" i="2"/>
  <c r="S13" i="2" s="1"/>
  <c r="Q116" i="2"/>
  <c r="S116" i="2" s="1"/>
  <c r="Q69" i="2"/>
  <c r="S69" i="2" s="1"/>
  <c r="Q78" i="2"/>
  <c r="S78" i="2" s="1"/>
  <c r="Q48" i="2"/>
  <c r="S48" i="2" s="1"/>
  <c r="Q99" i="2"/>
  <c r="S99" i="2" s="1"/>
  <c r="Q16" i="2"/>
  <c r="S16" i="2" s="1"/>
  <c r="Q115" i="2"/>
  <c r="S115" i="2" s="1"/>
  <c r="Q72" i="2"/>
  <c r="S72" i="2" s="1"/>
  <c r="Q7" i="2"/>
  <c r="S7" i="2" s="1"/>
  <c r="Q92" i="2"/>
  <c r="S92" i="2" s="1"/>
  <c r="Q97" i="2"/>
  <c r="S97" i="2" s="1"/>
  <c r="Q138" i="29"/>
  <c r="Q64" i="2"/>
  <c r="S64" i="2" s="1"/>
  <c r="Q76" i="2"/>
  <c r="S76" i="2" s="1"/>
  <c r="Q33" i="2"/>
  <c r="S33" i="2" s="1"/>
  <c r="Q45" i="2"/>
  <c r="S45" i="2" s="1"/>
  <c r="Q84" i="2"/>
  <c r="S84" i="2" s="1"/>
  <c r="Q100" i="2"/>
  <c r="S100" i="2" s="1"/>
  <c r="Q42" i="2"/>
  <c r="S42" i="2" s="1"/>
  <c r="Q66" i="2"/>
  <c r="S66" i="2" s="1"/>
  <c r="Q52" i="2"/>
  <c r="S52" i="2" s="1"/>
  <c r="Q86" i="2"/>
  <c r="S86" i="2" s="1"/>
  <c r="Q113" i="2"/>
  <c r="S113" i="2" s="1"/>
  <c r="Q89" i="2"/>
  <c r="S89" i="2" s="1"/>
  <c r="Q80" i="2"/>
  <c r="S80" i="2" s="1"/>
  <c r="Q40" i="2"/>
  <c r="S40" i="2" s="1"/>
  <c r="Q117" i="2"/>
  <c r="S117" i="2" s="1"/>
  <c r="Q20" i="2"/>
  <c r="S20" i="2" s="1"/>
  <c r="Q46" i="2"/>
  <c r="S46" i="2" s="1"/>
  <c r="Q47" i="2"/>
  <c r="S47" i="2" s="1"/>
  <c r="Q61" i="2"/>
  <c r="S61" i="2" s="1"/>
  <c r="Q108" i="2"/>
  <c r="S108" i="2" s="1"/>
  <c r="Q65" i="2"/>
  <c r="S65" i="2" s="1"/>
  <c r="Q26" i="2"/>
  <c r="S26" i="2" s="1"/>
  <c r="Q44" i="2"/>
  <c r="S44" i="2" s="1"/>
  <c r="Q6" i="2"/>
  <c r="S6" i="2" s="1"/>
  <c r="Q30" i="2"/>
  <c r="S30" i="2" s="1"/>
  <c r="Q121" i="2"/>
  <c r="S121" i="2" s="1"/>
  <c r="Q49" i="2"/>
  <c r="S49" i="2" s="1"/>
  <c r="Q21" i="2"/>
  <c r="S21" i="2" s="1"/>
  <c r="Q94" i="2"/>
  <c r="S94" i="2" s="1"/>
  <c r="Q36" i="2"/>
  <c r="S36" i="2" s="1"/>
  <c r="Q111" i="2"/>
  <c r="S111" i="2" s="1"/>
  <c r="Q62" i="2"/>
  <c r="S62" i="2" s="1"/>
  <c r="Q55" i="2"/>
  <c r="S55" i="2" s="1"/>
  <c r="Q38" i="2"/>
  <c r="S38" i="2" s="1"/>
  <c r="Q32" i="2"/>
  <c r="S32" i="2" s="1"/>
  <c r="Q101" i="2"/>
  <c r="Q9" i="2"/>
  <c r="S9" i="2" s="1"/>
  <c r="Q18" i="2"/>
  <c r="S18" i="2" s="1"/>
  <c r="Q120" i="2"/>
  <c r="S120" i="2" s="1"/>
  <c r="Q53" i="2"/>
  <c r="S53" i="2" s="1"/>
  <c r="Q87" i="2"/>
  <c r="S87" i="2" s="1"/>
  <c r="Q102" i="2"/>
  <c r="S102" i="2" s="1"/>
  <c r="Q41" i="2"/>
  <c r="S41" i="2" s="1"/>
  <c r="Q34" i="2"/>
  <c r="S34" i="2" s="1"/>
  <c r="Q96" i="2"/>
  <c r="S96" i="2" s="1"/>
  <c r="Q81" i="2"/>
  <c r="S81" i="2" s="1"/>
  <c r="Q43" i="2"/>
  <c r="S43" i="2" s="1"/>
  <c r="Q54" i="2"/>
  <c r="S54" i="2" s="1"/>
  <c r="Q70" i="2"/>
  <c r="S70" i="2" s="1"/>
  <c r="Q112" i="2"/>
  <c r="S112" i="2" s="1"/>
  <c r="Q19" i="2"/>
  <c r="S19" i="2" s="1"/>
  <c r="Q59" i="2"/>
  <c r="S59" i="2" s="1"/>
  <c r="Q10" i="2"/>
  <c r="S10" i="2" s="1"/>
  <c r="Q75" i="2"/>
  <c r="S75" i="2" s="1"/>
  <c r="Q68" i="2"/>
  <c r="S68" i="2" s="1"/>
  <c r="Q27" i="2"/>
  <c r="S27" i="2" s="1"/>
  <c r="Q58" i="2"/>
  <c r="S58" i="2" s="1"/>
  <c r="Q8" i="2"/>
  <c r="S8" i="2" s="1"/>
  <c r="Q114" i="2"/>
  <c r="S114" i="2" s="1"/>
  <c r="Q124" i="2"/>
  <c r="S124" i="2" s="1"/>
  <c r="Q39" i="2"/>
  <c r="S39" i="2" s="1"/>
  <c r="Q95" i="2"/>
  <c r="S95" i="2" s="1"/>
  <c r="Q11" i="2"/>
  <c r="S11" i="2" s="1"/>
  <c r="Q15" i="2"/>
  <c r="S15" i="2" s="1"/>
  <c r="Q85" i="2"/>
  <c r="S85" i="2" s="1"/>
  <c r="Q37" i="2"/>
  <c r="S37" i="2" s="1"/>
  <c r="Q73" i="2"/>
  <c r="S73" i="2" s="1"/>
  <c r="Q17" i="2"/>
  <c r="S17" i="2" s="1"/>
  <c r="Q105" i="2"/>
  <c r="S105" i="2" s="1"/>
  <c r="Q103" i="2"/>
  <c r="S103" i="2" s="1"/>
  <c r="Q110" i="2"/>
  <c r="S110" i="2" s="1"/>
  <c r="Q93" i="2"/>
  <c r="S93" i="2" s="1"/>
  <c r="Q107" i="2"/>
  <c r="S107" i="2" s="1"/>
  <c r="Q71" i="2"/>
  <c r="S71" i="2" s="1"/>
  <c r="Q24" i="2"/>
  <c r="S24" i="2" s="1"/>
  <c r="Q106" i="2"/>
  <c r="S106" i="2" s="1"/>
  <c r="Q98" i="2"/>
  <c r="S98" i="2" s="1"/>
  <c r="Q23" i="2"/>
  <c r="S23" i="2" s="1"/>
  <c r="Q88" i="2"/>
  <c r="S88" i="2" s="1"/>
  <c r="Q56" i="2"/>
  <c r="S56" i="2" s="1"/>
  <c r="Q57" i="2"/>
  <c r="S57" i="2" s="1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AP10" i="9" s="1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S101" i="2" l="1"/>
  <c r="AH13" i="9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P50" i="2" l="1"/>
  <c r="Q50" i="2" s="1"/>
  <c r="S50" i="2" s="1"/>
  <c r="P63" i="2"/>
  <c r="Q63" i="2" s="1"/>
  <c r="S63" i="2" s="1"/>
  <c r="P35" i="2"/>
  <c r="Q35" i="2" s="1"/>
  <c r="S35" i="2" s="1"/>
  <c r="P104" i="2"/>
  <c r="Q104" i="2" s="1"/>
  <c r="S104" i="2" s="1"/>
  <c r="P119" i="2"/>
  <c r="Q119" i="2" s="1"/>
  <c r="S119" i="2" s="1"/>
  <c r="P29" i="2"/>
  <c r="Q29" i="2" s="1"/>
  <c r="S29" i="2" s="1"/>
  <c r="P28" i="2"/>
  <c r="Q28" i="2" s="1"/>
  <c r="S28" i="2" s="1"/>
  <c r="P90" i="2"/>
  <c r="Q90" i="2" s="1"/>
  <c r="S90" i="2" s="1"/>
  <c r="P22" i="2"/>
  <c r="Q22" i="2" s="1"/>
  <c r="S22" i="2" s="1"/>
  <c r="P79" i="2"/>
  <c r="Q79" i="2" s="1"/>
  <c r="S79" i="2" s="1"/>
  <c r="P14" i="2" l="1"/>
  <c r="Q14" i="2" s="1"/>
  <c r="S14" i="2" s="1"/>
  <c r="P91" i="2"/>
  <c r="Q91" i="2" s="1"/>
  <c r="S91" i="2" s="1"/>
  <c r="K10" i="28" l="1"/>
  <c r="K11" i="28" s="1"/>
  <c r="K12" i="28" l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K56" i="28" s="1"/>
</calcChain>
</file>

<file path=xl/sharedStrings.xml><?xml version="1.0" encoding="utf-8"?>
<sst xmlns="http://schemas.openxmlformats.org/spreadsheetml/2006/main" count="10047" uniqueCount="1930">
  <si>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</si>
  <si>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</si>
  <si>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</si>
  <si>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</si>
  <si>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</si>
  <si>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</si>
  <si>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</si>
  <si>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</si>
  <si>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</si>
  <si>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</si>
  <si>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</si>
  <si>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</si>
  <si>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</si>
  <si>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</si>
  <si>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</si>
  <si>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</si>
  <si>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</si>
  <si>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</si>
  <si>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</si>
  <si>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</si>
  <si>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</si>
  <si>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</si>
  <si>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</si>
  <si>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</si>
  <si>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</si>
  <si>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</si>
  <si>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</si>
  <si>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</si>
  <si>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</si>
  <si>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</si>
  <si>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</si>
  <si>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</si>
  <si>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</si>
  <si>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</si>
  <si>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</si>
  <si>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</si>
  <si>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</si>
  <si>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</si>
  <si>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</si>
  <si>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</si>
  <si>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</si>
  <si>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</si>
  <si>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</si>
  <si>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</si>
  <si>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</si>
  <si>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</si>
  <si>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</si>
  <si>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</si>
  <si>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</si>
  <si>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</si>
  <si>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</si>
  <si>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</si>
  <si>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</si>
  <si>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</si>
  <si>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</si>
  <si>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</si>
  <si>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</si>
  <si>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</si>
  <si>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</si>
  <si>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</si>
  <si>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</si>
  <si>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</si>
  <si>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</si>
  <si>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</si>
  <si>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</si>
  <si>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</si>
  <si>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</si>
  <si>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</si>
  <si>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</si>
  <si>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</si>
  <si>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</si>
  <si>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</si>
  <si>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</si>
  <si>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</si>
  <si>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</si>
  <si>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</si>
  <si>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</si>
  <si>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</si>
  <si>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</si>
  <si>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</si>
  <si>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</si>
  <si>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</si>
  <si>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</si>
  <si>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</si>
  <si>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</si>
  <si>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</si>
  <si>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</si>
  <si>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</si>
  <si>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</si>
  <si>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</si>
  <si>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</si>
  <si>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</si>
  <si>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</si>
  <si>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</si>
  <si>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</si>
  <si>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</si>
  <si>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</si>
  <si>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</si>
  <si>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</si>
  <si>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</si>
  <si>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</si>
  <si>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</si>
  <si>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</si>
  <si>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</si>
  <si>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</si>
  <si>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</si>
  <si>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</si>
  <si>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</si>
  <si>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</si>
  <si>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</si>
  <si>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</si>
  <si>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</si>
  <si>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</si>
  <si>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</si>
  <si>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</si>
  <si>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</si>
  <si>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</si>
  <si>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</si>
  <si>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</si>
  <si>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</si>
  <si>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</si>
  <si>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</si>
  <si>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</si>
  <si>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</si>
  <si>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</si>
  <si>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</si>
  <si>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</si>
  <si>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</si>
  <si>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</si>
  <si>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</si>
  <si>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</si>
  <si>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</si>
  <si>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</si>
  <si>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</si>
  <si>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</si>
  <si>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</si>
  <si>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</si>
  <si>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</si>
  <si>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</si>
  <si>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</si>
  <si>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</si>
  <si>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</si>
  <si>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</si>
  <si>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</si>
  <si>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</si>
  <si>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</si>
  <si>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</si>
  <si>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</si>
  <si>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</si>
  <si>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</si>
  <si>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</si>
  <si>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</si>
  <si>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</si>
  <si>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</si>
  <si>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</si>
  <si>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</si>
  <si>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</si>
  <si>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</si>
  <si>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</si>
  <si>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</si>
  <si>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</si>
  <si>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</si>
  <si>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</si>
  <si>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</si>
  <si>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</si>
  <si>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</si>
  <si>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</si>
  <si>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</si>
  <si>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</si>
  <si>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</si>
  <si>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</si>
  <si>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</si>
  <si>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</si>
  <si>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</si>
  <si>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</si>
  <si>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</si>
  <si>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</si>
  <si>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</si>
  <si>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</si>
  <si>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</si>
  <si>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</si>
  <si>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</si>
  <si>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</si>
  <si>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</si>
  <si>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</si>
  <si>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</si>
  <si>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</si>
  <si>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</si>
  <si>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</si>
  <si>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</si>
  <si>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</si>
  <si>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</si>
  <si>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</si>
  <si>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</si>
  <si>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</si>
  <si>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</si>
  <si>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</si>
  <si>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</si>
  <si>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</si>
  <si>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</si>
  <si>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</si>
  <si>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</si>
  <si>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</si>
  <si>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</si>
  <si>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</si>
  <si>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</si>
  <si>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</si>
  <si>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</si>
  <si>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</si>
  <si>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</si>
  <si>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</si>
  <si>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</si>
  <si>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</si>
  <si>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</si>
  <si>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</si>
  <si>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</si>
  <si>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</si>
  <si>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</si>
  <si>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</si>
  <si>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</si>
  <si>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</si>
  <si>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</si>
  <si>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</si>
  <si>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</si>
  <si>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</si>
  <si>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</si>
  <si>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</si>
  <si>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</si>
  <si>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</si>
  <si>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</si>
  <si>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</si>
  <si>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</si>
  <si>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</si>
  <si>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</si>
  <si>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</si>
  <si>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</si>
  <si>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</si>
  <si>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</si>
  <si>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</si>
  <si>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</si>
  <si>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</si>
  <si>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</si>
  <si>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</si>
  <si>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</si>
  <si>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</si>
  <si>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</si>
  <si>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</si>
  <si>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</si>
  <si>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</si>
  <si>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</si>
  <si>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</si>
  <si>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</si>
  <si>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</si>
  <si>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</si>
  <si>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</si>
  <si>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</si>
  <si>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</si>
  <si>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</si>
  <si>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</si>
  <si>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</si>
  <si>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</si>
  <si>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</si>
  <si>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</si>
  <si>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</si>
  <si>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</si>
  <si>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</si>
  <si>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</si>
  <si>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</si>
  <si>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</si>
  <si>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</si>
  <si>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</si>
  <si>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</si>
  <si>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</si>
  <si>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</si>
  <si>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</si>
  <si>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</si>
  <si>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</si>
  <si>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</si>
  <si>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</si>
  <si>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</si>
  <si>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</si>
  <si>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</si>
  <si>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</si>
  <si>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</si>
  <si>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</si>
  <si>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</si>
  <si>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</si>
  <si>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</si>
  <si>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</si>
  <si>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</si>
  <si>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</si>
  <si>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</si>
  <si>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</si>
  <si>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</si>
  <si>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</si>
  <si>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</si>
  <si>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</si>
  <si>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</si>
  <si>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</si>
  <si>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</si>
  <si>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</si>
  <si>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</si>
  <si>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</si>
  <si>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</si>
  <si>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</si>
  <si>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</si>
  <si>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</si>
  <si>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</si>
  <si>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</si>
  <si>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</si>
  <si>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</si>
  <si>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</si>
  <si>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</si>
  <si>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</si>
  <si>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</si>
  <si>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</si>
  <si>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</si>
  <si>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</si>
  <si>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</si>
  <si>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</si>
  <si>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</si>
  <si>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</si>
  <si>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</si>
  <si>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</si>
  <si>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</si>
  <si>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</si>
  <si>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</si>
  <si>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</si>
  <si>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</si>
  <si>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</si>
  <si>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</si>
  <si>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</si>
  <si>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</si>
  <si>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</si>
  <si>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</si>
  <si>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</si>
  <si>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</si>
  <si>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</si>
  <si>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</si>
  <si>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</si>
  <si>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</si>
  <si>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</si>
  <si>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</si>
  <si>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</si>
  <si>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</si>
  <si>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</si>
  <si>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</si>
  <si>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</si>
  <si>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</si>
  <si>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</si>
  <si>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</si>
  <si>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</si>
  <si>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</si>
  <si>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</si>
  <si>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</si>
  <si>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</si>
  <si>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</si>
  <si>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</si>
  <si>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</si>
  <si>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</si>
  <si>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</si>
  <si>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</si>
  <si>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</si>
  <si>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</si>
  <si>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</si>
  <si>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</si>
  <si>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</si>
  <si>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</si>
  <si>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</si>
  <si>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</si>
  <si>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</si>
  <si>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</si>
  <si>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</si>
  <si>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</si>
  <si>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</si>
  <si>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</si>
  <si>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</si>
  <si>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</si>
  <si>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</si>
  <si>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</si>
  <si>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</si>
  <si>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</si>
  <si>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</si>
  <si>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</si>
  <si>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</si>
  <si>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</si>
  <si>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</si>
  <si>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</si>
  <si>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</si>
  <si>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</si>
  <si>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</si>
  <si>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</si>
  <si>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</si>
  <si>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</si>
  <si>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</si>
  <si>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</si>
  <si>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</si>
  <si>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</si>
  <si>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</si>
  <si>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</si>
  <si>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</si>
  <si>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</si>
  <si>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</si>
  <si>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</si>
  <si>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</si>
  <si>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</si>
  <si>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</si>
  <si>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</si>
  <si>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</si>
  <si>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</si>
  <si>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</si>
  <si>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</si>
  <si>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</si>
  <si>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</si>
  <si>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</si>
  <si>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</si>
  <si>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</si>
  <si>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</si>
  <si>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</si>
  <si>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</si>
  <si>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</si>
  <si>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</si>
  <si>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</si>
  <si>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</si>
  <si>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</si>
  <si>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</si>
  <si>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</si>
  <si>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</si>
  <si>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</si>
  <si>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</si>
  <si>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</si>
  <si>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</si>
  <si>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</si>
  <si>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</si>
  <si>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</si>
  <si>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</si>
  <si>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</si>
  <si>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</si>
  <si>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</si>
  <si>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</si>
  <si>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</si>
  <si>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</si>
  <si>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</si>
  <si>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</si>
  <si>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</si>
  <si>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</si>
  <si>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</si>
  <si>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</si>
  <si>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</si>
  <si>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</si>
  <si>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</si>
  <si>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</si>
  <si>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</si>
  <si>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</si>
  <si>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</si>
  <si>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</si>
  <si>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</si>
  <si>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</si>
  <si>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</si>
  <si>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</si>
  <si>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</si>
  <si>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</si>
  <si>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</si>
  <si>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</si>
  <si>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</si>
  <si>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</si>
  <si>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</si>
  <si>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</si>
  <si>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</si>
  <si>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</si>
  <si>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</si>
  <si>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</si>
  <si>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</si>
  <si>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</si>
  <si>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</si>
  <si>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</si>
  <si>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</si>
  <si>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</si>
  <si>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</si>
  <si>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</si>
  <si>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</si>
  <si>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</si>
  <si>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</si>
  <si>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</si>
  <si>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</si>
  <si>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</si>
  <si>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</si>
  <si>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</si>
  <si>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</si>
  <si>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</si>
  <si>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</si>
  <si>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</si>
  <si>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</si>
  <si>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</si>
  <si>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</si>
  <si>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</si>
  <si>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</si>
  <si>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</si>
  <si>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</si>
  <si>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</si>
  <si>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</si>
  <si>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</si>
  <si>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</si>
  <si>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</si>
  <si>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</si>
  <si>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</si>
  <si>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</si>
  <si>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</si>
  <si>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</si>
  <si>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</si>
  <si>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</si>
  <si>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</si>
  <si>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</si>
  <si>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</si>
  <si>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</si>
  <si>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</si>
  <si>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</si>
  <si>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</si>
  <si>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</si>
  <si>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</si>
  <si>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</si>
  <si>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</si>
  <si>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</si>
  <si>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</si>
  <si>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</si>
  <si>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</si>
  <si>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</si>
  <si>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</si>
  <si>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</si>
  <si>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</si>
  <si>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</si>
  <si>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</si>
  <si>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</si>
  <si>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</si>
  <si>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</si>
  <si>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</si>
  <si>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</si>
  <si>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</si>
  <si>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</si>
  <si>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</si>
  <si>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</si>
  <si>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</si>
  <si>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</si>
  <si>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</si>
  <si>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</si>
  <si>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</si>
  <si>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</si>
  <si>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</si>
  <si>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</si>
  <si>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</si>
  <si>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</si>
  <si>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</si>
  <si>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</si>
  <si>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</si>
  <si>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</si>
  <si>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</si>
  <si>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</si>
  <si>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</si>
  <si>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</si>
  <si>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</si>
  <si>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</si>
  <si>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</si>
  <si>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</si>
  <si>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</si>
  <si>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</si>
  <si>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</si>
  <si>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</si>
  <si>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</si>
  <si>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</si>
  <si>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</si>
  <si>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</si>
  <si>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</si>
  <si>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</si>
  <si>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</si>
  <si>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</si>
  <si>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</si>
  <si>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</si>
  <si>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</si>
  <si>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</si>
  <si>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</si>
  <si>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</si>
  <si>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</si>
  <si>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</si>
  <si>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</si>
  <si>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</si>
  <si>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</si>
  <si>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</si>
  <si>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</si>
  <si>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</si>
  <si>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</si>
  <si>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</si>
  <si>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</si>
  <si>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</si>
  <si>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</si>
  <si>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</si>
  <si>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</si>
  <si>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</si>
  <si>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</si>
  <si>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</si>
  <si>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</si>
  <si>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</si>
  <si>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</si>
  <si>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</si>
  <si>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</si>
  <si>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</si>
  <si>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</si>
  <si>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</si>
  <si>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</si>
  <si>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</si>
  <si>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</si>
  <si>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</si>
  <si>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</si>
  <si>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</si>
  <si>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</si>
  <si>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</si>
  <si>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</si>
  <si>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</si>
  <si>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</si>
  <si>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</si>
  <si>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</si>
  <si>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</si>
  <si>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</si>
  <si>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</si>
  <si>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</si>
  <si>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</si>
  <si>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</si>
  <si>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</si>
  <si>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</si>
  <si>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</si>
  <si>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</si>
  <si>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</si>
  <si>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</si>
  <si>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</si>
  <si>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</si>
  <si>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</si>
  <si>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</si>
  <si>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</si>
  <si>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</si>
  <si>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</si>
  <si>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</si>
  <si>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</si>
  <si>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</si>
  <si>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</si>
  <si>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</si>
  <si>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</si>
  <si>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</si>
  <si>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</si>
  <si>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</si>
  <si>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</si>
  <si>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</si>
  <si>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</si>
  <si>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</si>
  <si>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</si>
  <si>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</si>
  <si>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</si>
  <si>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</si>
  <si>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</si>
  <si>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</si>
  <si>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</si>
  <si>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</si>
  <si>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</si>
  <si>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</si>
  <si>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</si>
  <si>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</si>
  <si>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</si>
  <si>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</si>
  <si>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</si>
  <si>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</si>
  <si>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</si>
  <si>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</si>
  <si>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</si>
  <si>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</si>
  <si>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</si>
  <si>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</si>
  <si>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</si>
  <si>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</si>
  <si>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</si>
  <si>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</si>
  <si>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</si>
  <si>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</si>
  <si>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</si>
  <si>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</si>
  <si>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</si>
  <si>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</si>
  <si>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</si>
  <si>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</si>
  <si>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</si>
  <si>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</si>
  <si>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</si>
  <si>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</si>
  <si>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</si>
  <si>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</si>
  <si>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</si>
  <si>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</si>
  <si>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</si>
  <si>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</si>
  <si>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</si>
  <si>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</si>
  <si>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</si>
  <si>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</si>
  <si>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</si>
  <si>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</si>
  <si>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</si>
  <si>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</si>
  <si>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</si>
  <si>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</si>
  <si>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</si>
  <si>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</si>
  <si>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</si>
  <si>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</si>
  <si>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</si>
  <si>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</si>
  <si>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</si>
  <si>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</si>
  <si>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</si>
  <si>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</si>
  <si>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</si>
  <si>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</si>
  <si>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</si>
  <si>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</si>
  <si>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</si>
  <si>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</si>
  <si>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</si>
  <si>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</si>
  <si>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</si>
  <si>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</si>
  <si>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</si>
  <si>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</si>
  <si>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</si>
  <si>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</si>
  <si>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</si>
  <si>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</si>
  <si>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</si>
  <si>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</si>
  <si>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</si>
  <si>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</si>
  <si>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</si>
  <si>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</si>
  <si>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</si>
  <si>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</si>
  <si>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</si>
  <si>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</si>
  <si>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</si>
  <si>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</si>
  <si>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</si>
  <si>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</si>
  <si>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</si>
  <si>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</si>
  <si>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</si>
  <si>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</si>
  <si>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</si>
  <si>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</si>
  <si>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</si>
  <si>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</si>
  <si>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</si>
  <si>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</si>
  <si>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</si>
  <si>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</si>
  <si>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</si>
  <si>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</si>
  <si>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</si>
  <si>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</si>
  <si>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</si>
  <si>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</si>
  <si>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</si>
  <si>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</si>
  <si>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</si>
  <si>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</si>
  <si>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</si>
  <si>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</si>
  <si>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</si>
  <si>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</si>
  <si>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</si>
  <si>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</si>
  <si>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</si>
  <si>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</si>
  <si>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</si>
  <si>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</si>
  <si>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</si>
  <si>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</si>
  <si>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</si>
  <si>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</si>
  <si>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</si>
  <si>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</si>
  <si>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</si>
  <si>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</si>
  <si>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</si>
  <si>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</si>
  <si>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</si>
  <si>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</si>
  <si>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</si>
  <si>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</si>
  <si>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</si>
  <si>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</si>
  <si>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</si>
  <si>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</si>
  <si>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</si>
  <si>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</si>
  <si>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</si>
  <si>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</si>
  <si>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</si>
  <si>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</si>
  <si>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</si>
  <si>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</si>
  <si>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</si>
  <si>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</si>
  <si>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</si>
  <si>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</si>
  <si>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</si>
  <si>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</si>
  <si>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</si>
  <si>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</si>
  <si>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</si>
  <si>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</si>
  <si>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</si>
  <si>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</si>
  <si>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</si>
  <si>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</si>
  <si>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</si>
  <si>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</si>
  <si>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</si>
  <si>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</si>
  <si>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</si>
  <si>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</si>
  <si>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</si>
  <si>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</si>
  <si>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</si>
  <si>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</si>
  <si>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</si>
  <si>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</si>
  <si>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</si>
  <si>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</si>
  <si>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</si>
  <si>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</si>
  <si>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</si>
  <si>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</si>
  <si>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</si>
  <si>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</si>
  <si>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</si>
  <si>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</si>
  <si>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</si>
  <si>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</si>
  <si>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</si>
  <si>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</si>
  <si>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</si>
  <si>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</si>
  <si>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</si>
  <si>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</si>
  <si>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</si>
  <si>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</si>
  <si>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</si>
  <si>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</si>
  <si>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</si>
  <si>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</si>
  <si>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</si>
  <si>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</si>
  <si>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</si>
  <si>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</si>
  <si>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</si>
  <si>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</si>
  <si>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</si>
  <si>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</si>
  <si>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</si>
  <si>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</si>
  <si>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</si>
  <si>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</si>
  <si>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</si>
  <si>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</si>
  <si>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</si>
  <si>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</si>
  <si>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</si>
  <si>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</si>
  <si>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</si>
  <si>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</si>
  <si>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</si>
  <si>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</si>
  <si>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</si>
  <si>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</si>
  <si>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</si>
  <si>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</si>
  <si>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</si>
  <si>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</si>
  <si>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</si>
  <si>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</si>
  <si>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</si>
  <si>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</si>
  <si>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</si>
  <si>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</si>
  <si>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</si>
  <si>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</si>
  <si>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</si>
  <si>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</si>
  <si>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</si>
  <si>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</si>
  <si>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</si>
  <si>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</si>
  <si>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</si>
  <si>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</si>
  <si>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</si>
  <si>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</si>
  <si>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</si>
  <si>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</si>
  <si>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</si>
  <si>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</si>
  <si>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</si>
  <si>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</si>
  <si>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</si>
  <si>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</si>
  <si>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</si>
  <si>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</si>
  <si>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</si>
  <si>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</si>
  <si>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</si>
  <si>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</si>
  <si>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</si>
  <si>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</si>
  <si>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</si>
  <si>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</si>
  <si>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</si>
  <si>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</si>
  <si>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</si>
  <si>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</si>
  <si>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</si>
  <si>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</si>
  <si>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</si>
  <si>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</si>
  <si>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</si>
  <si>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</si>
  <si>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</si>
  <si>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</si>
  <si>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</si>
  <si>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</si>
  <si>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</si>
  <si>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</si>
  <si>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</si>
  <si>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</si>
  <si>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</si>
  <si>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</si>
  <si>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</si>
  <si>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</si>
  <si>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</si>
  <si>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</si>
  <si>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</si>
  <si>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</si>
  <si>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</si>
  <si>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</si>
  <si>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</si>
  <si>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</si>
  <si>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</si>
  <si>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</si>
  <si>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</si>
  <si>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</si>
  <si>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</si>
  <si>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</si>
  <si>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</si>
  <si>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</si>
  <si>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</si>
  <si>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</si>
  <si>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</si>
  <si>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</si>
  <si>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</si>
  <si>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</si>
  <si>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</si>
  <si>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</si>
  <si>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</si>
  <si>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</si>
  <si>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</si>
  <si>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</si>
  <si>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</si>
  <si>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</si>
  <si>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</si>
  <si>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</si>
  <si>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</si>
  <si>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</si>
  <si>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</si>
  <si>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</si>
  <si>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</si>
  <si>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</si>
  <si>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</si>
  <si>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</si>
  <si>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</si>
  <si>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</si>
  <si>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</si>
  <si>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</si>
  <si>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</si>
  <si>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</si>
  <si>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</si>
  <si>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</si>
  <si>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</si>
  <si>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</si>
  <si>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</si>
  <si>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</si>
  <si>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</si>
  <si>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</si>
  <si>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</si>
  <si>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</si>
  <si>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</si>
  <si>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</si>
  <si>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</si>
  <si>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</si>
  <si>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</si>
  <si>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</si>
  <si>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</si>
  <si>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</si>
  <si>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</si>
  <si>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</si>
  <si>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</si>
  <si>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</si>
  <si>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</si>
  <si>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</si>
  <si>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</si>
  <si>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</si>
  <si>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</si>
  <si>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</si>
  <si>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</si>
  <si>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</si>
  <si>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</si>
  <si>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</si>
  <si>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</si>
  <si>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</si>
  <si>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</si>
  <si>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</si>
  <si>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</si>
  <si>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</si>
  <si>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</si>
  <si>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</si>
  <si>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</si>
  <si>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</si>
  <si>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</si>
  <si>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</si>
  <si>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</si>
  <si>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</si>
  <si>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</si>
  <si>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</si>
  <si>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</si>
  <si>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</si>
  <si>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</si>
  <si>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</si>
  <si>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</si>
  <si>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</si>
  <si>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</si>
  <si>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</si>
  <si>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</si>
  <si>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</si>
  <si>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</si>
  <si>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</si>
  <si>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</si>
  <si>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</si>
  <si>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</si>
  <si>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</si>
  <si>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</si>
  <si>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</si>
  <si>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</si>
  <si>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</si>
  <si>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</si>
  <si>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</si>
  <si>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</si>
  <si>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</si>
  <si>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</si>
  <si>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</si>
  <si>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</si>
  <si>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</si>
  <si>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</si>
  <si>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</si>
  <si>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</si>
  <si>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</si>
  <si>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</si>
  <si>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</si>
  <si>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</si>
  <si>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</si>
  <si>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</si>
  <si>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</si>
  <si>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</si>
  <si>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</si>
  <si>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</si>
  <si>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</si>
  <si>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</si>
  <si>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</si>
  <si>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</si>
  <si>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</si>
  <si>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</si>
  <si>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</si>
  <si>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</si>
  <si>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</si>
  <si>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</si>
  <si>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</si>
  <si>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</si>
  <si>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</si>
  <si>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</si>
  <si>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</si>
  <si>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</si>
  <si>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</si>
  <si>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</si>
  <si>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</si>
  <si>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</si>
  <si>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</si>
  <si>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</si>
  <si>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</si>
  <si>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</si>
  <si>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</si>
  <si>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</si>
  <si>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</si>
  <si>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</si>
  <si>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</si>
  <si>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</si>
  <si>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</si>
  <si>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</si>
  <si>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</si>
  <si>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</si>
  <si>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</si>
  <si>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</si>
  <si>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</si>
  <si>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</si>
  <si>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</si>
  <si>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</si>
  <si>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</si>
  <si>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</si>
  <si>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</si>
  <si>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</si>
  <si>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</si>
  <si>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</si>
  <si>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</si>
  <si>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</si>
  <si>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</si>
  <si>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</si>
  <si>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</si>
  <si>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</si>
  <si>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</si>
  <si>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</si>
  <si>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</si>
  <si>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</si>
  <si>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</si>
  <si>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</si>
  <si>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</si>
  <si>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</si>
  <si>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</si>
  <si>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</si>
  <si>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</si>
  <si>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</si>
  <si>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</si>
  <si>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</si>
  <si>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</si>
  <si>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</si>
  <si>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</si>
  <si>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</si>
  <si>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</si>
  <si>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</si>
  <si>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</si>
  <si>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</si>
  <si>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</si>
  <si>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</si>
  <si>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</si>
  <si>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</si>
  <si>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</si>
  <si>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</si>
  <si>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</si>
  <si>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</si>
  <si>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</si>
  <si>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</si>
  <si>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</si>
  <si>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</si>
  <si>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</si>
  <si>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</si>
  <si>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</si>
  <si>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</si>
  <si>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</si>
  <si>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</si>
  <si>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</si>
  <si>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</si>
  <si>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</si>
  <si>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</si>
  <si>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</si>
  <si>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</si>
  <si>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</si>
  <si>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</si>
  <si>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</si>
  <si>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</si>
  <si>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</si>
  <si>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</si>
  <si>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</si>
  <si>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</si>
  <si>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</si>
  <si>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</si>
  <si>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</si>
  <si>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</si>
  <si>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</si>
  <si>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</si>
  <si>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</si>
  <si>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</si>
  <si>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</si>
  <si>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</si>
  <si>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</si>
  <si>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</si>
  <si>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</si>
  <si>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</si>
  <si>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</si>
  <si>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</si>
  <si>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</si>
  <si>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</si>
  <si>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</si>
  <si>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</si>
  <si>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</si>
  <si>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</si>
  <si>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</si>
  <si>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</si>
  <si>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</si>
  <si>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</si>
  <si>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</si>
  <si>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</si>
  <si>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</si>
  <si>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</si>
  <si>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</si>
  <si>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</si>
  <si>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</si>
  <si>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</si>
  <si>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</si>
  <si>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</si>
  <si>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</si>
  <si>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</si>
  <si>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</si>
  <si>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</si>
  <si>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</si>
  <si>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</si>
  <si>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</si>
  <si>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</si>
  <si>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</si>
  <si>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</si>
  <si>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</si>
  <si>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</si>
  <si>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</si>
  <si>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</si>
  <si>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</si>
  <si>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</si>
  <si>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</si>
  <si>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</si>
  <si>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</si>
  <si>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</si>
  <si>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</si>
  <si>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</si>
  <si>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</si>
  <si>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</si>
  <si>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</si>
  <si>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</si>
  <si>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</si>
  <si>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</si>
  <si>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</si>
  <si>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</si>
  <si>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</si>
  <si>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</si>
  <si>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</si>
  <si>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</si>
  <si>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</si>
  <si>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</si>
  <si>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</si>
  <si>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</si>
  <si>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</si>
  <si>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</si>
  <si>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</si>
  <si>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</si>
  <si>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</si>
  <si>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</si>
  <si>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</si>
  <si>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</si>
  <si>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</si>
  <si>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</si>
  <si>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</si>
  <si>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</si>
  <si>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</si>
  <si>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</si>
  <si>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</si>
  <si>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</si>
  <si>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</si>
  <si>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</si>
  <si>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</si>
  <si>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</si>
  <si>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</si>
  <si>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</si>
  <si>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</si>
  <si>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</si>
  <si>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</si>
  <si>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</si>
  <si>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</si>
  <si>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</si>
  <si>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</si>
  <si>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</si>
  <si>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</si>
  <si>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</si>
  <si>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</si>
  <si>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</si>
  <si>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</si>
  <si>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</si>
  <si>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</si>
  <si>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</si>
  <si>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</si>
  <si>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</si>
  <si>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</si>
  <si>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</si>
  <si>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</si>
  <si>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</si>
  <si>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</si>
  <si>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</si>
  <si>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</si>
  <si>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</si>
  <si>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</si>
  <si>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</si>
  <si>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</si>
  <si>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</si>
  <si>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</si>
  <si>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</si>
  <si>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</si>
  <si>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</si>
  <si>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</si>
  <si>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</si>
  <si>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</si>
  <si>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</si>
  <si>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</si>
  <si>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</si>
  <si>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</si>
  <si>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</si>
  <si>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</si>
  <si>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</si>
  <si>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</si>
  <si>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</si>
  <si>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</si>
  <si>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</si>
  <si>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</si>
  <si>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</si>
  <si>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</si>
  <si>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</si>
  <si>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</si>
  <si>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</si>
  <si>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</si>
  <si>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</si>
  <si>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</si>
  <si>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</si>
  <si>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</si>
  <si>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</si>
  <si>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</si>
  <si>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</si>
  <si>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</si>
  <si>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</si>
  <si>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</si>
  <si>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</si>
  <si>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</si>
  <si>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</si>
  <si>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</si>
  <si>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</si>
  <si>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</si>
  <si>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</si>
  <si>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</si>
  <si>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</si>
  <si>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</si>
  <si>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</si>
  <si>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</si>
  <si>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</si>
  <si>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</si>
  <si>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</si>
  <si>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</si>
  <si>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</si>
  <si>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</si>
  <si>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</si>
  <si>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</si>
  <si>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</si>
  <si>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</si>
  <si>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</si>
  <si>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</si>
  <si>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</si>
  <si>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</si>
  <si>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</si>
  <si>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</si>
  <si>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</si>
  <si>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</si>
  <si>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</si>
  <si>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</si>
  <si>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</si>
  <si>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</si>
  <si>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</si>
  <si>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</si>
  <si>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</si>
  <si>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</si>
  <si>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</si>
  <si>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</si>
  <si>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</si>
  <si>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</si>
  <si>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</si>
  <si>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</si>
  <si>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</si>
  <si>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</si>
  <si>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</si>
  <si>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</si>
  <si>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</si>
  <si>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</si>
  <si>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</si>
  <si>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</si>
  <si>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</si>
  <si>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</si>
  <si>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</si>
  <si>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</si>
  <si>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</si>
  <si>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</si>
  <si>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</si>
  <si>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</si>
  <si>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</si>
  <si>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</si>
  <si>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</si>
  <si>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</si>
  <si>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</si>
  <si>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</si>
  <si>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</si>
  <si>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</si>
  <si>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</si>
  <si>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</si>
  <si>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</si>
  <si>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</si>
  <si>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</si>
  <si>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</si>
  <si>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</si>
  <si>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</si>
  <si>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</si>
  <si>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</si>
  <si>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</si>
  <si>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</si>
  <si>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</si>
  <si>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</si>
  <si>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</si>
  <si>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</si>
  <si>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</si>
  <si>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</si>
  <si>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</si>
  <si>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</si>
  <si>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</si>
  <si>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</si>
  <si>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</si>
  <si>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</si>
  <si>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</si>
  <si>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</si>
  <si>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</si>
  <si>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</si>
  <si>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</si>
  <si>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</si>
  <si>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</si>
  <si>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</si>
  <si>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</si>
  <si>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</si>
  <si>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</si>
  <si>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</si>
  <si>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</si>
  <si>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</si>
  <si>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</si>
  <si>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</si>
  <si>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</si>
  <si>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</si>
  <si>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</si>
  <si>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</si>
  <si>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</si>
  <si>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</si>
  <si>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</si>
  <si>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</si>
  <si>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</si>
  <si>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</si>
  <si>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</si>
  <si>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</si>
  <si>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</si>
  <si>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</si>
  <si>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</si>
  <si>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</si>
  <si>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</si>
  <si>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</si>
  <si>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</si>
  <si>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</si>
  <si>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</si>
  <si>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</si>
  <si>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</si>
  <si>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</si>
  <si>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</si>
  <si>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</si>
  <si>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</si>
  <si>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</si>
  <si>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</si>
  <si>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</si>
  <si>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</si>
  <si>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</si>
  <si>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</si>
  <si>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</si>
  <si>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</si>
  <si>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</si>
  <si>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</si>
  <si>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</si>
  <si>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</si>
  <si>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</si>
  <si>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</si>
  <si>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</si>
  <si>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</si>
  <si>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</si>
  <si>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</si>
  <si>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</si>
  <si>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</si>
  <si>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</si>
  <si>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</si>
  <si>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</si>
  <si>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</si>
  <si>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</si>
  <si>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</si>
  <si>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</si>
  <si>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</si>
  <si>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</si>
  <si>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</si>
  <si>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</si>
  <si>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</si>
  <si>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</si>
  <si>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</si>
  <si>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</si>
  <si>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</si>
  <si>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</si>
  <si>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</si>
  <si>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</si>
  <si>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</si>
  <si>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</si>
  <si>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</si>
  <si>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</si>
  <si>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</si>
  <si>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</si>
  <si>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</si>
  <si>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</si>
  <si>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</si>
  <si>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</si>
  <si>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</si>
  <si>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</si>
  <si>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</si>
  <si>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</si>
  <si>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</si>
  <si>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</si>
  <si>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</si>
  <si>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</si>
  <si>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</si>
  <si>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</si>
  <si>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</si>
  <si>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</si>
  <si>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</si>
  <si>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</si>
  <si>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</si>
  <si>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</si>
  <si>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</si>
  <si>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</si>
  <si>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</si>
  <si>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</si>
  <si>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</si>
  <si>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</si>
  <si>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</si>
  <si>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</si>
  <si>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</si>
  <si>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</si>
  <si>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</si>
  <si>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</si>
  <si>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</si>
  <si>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</si>
  <si>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</si>
  <si>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</si>
  <si>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</si>
  <si>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</si>
  <si>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</si>
  <si>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</si>
  <si>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</si>
  <si>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</si>
  <si>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</si>
  <si>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</si>
  <si>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</si>
  <si>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</si>
  <si>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</si>
  <si>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</si>
  <si>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</si>
  <si>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</si>
  <si>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</si>
  <si>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</si>
  <si>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</si>
  <si>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</si>
  <si>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</si>
  <si>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</si>
  <si>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</si>
  <si>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</si>
  <si>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</si>
  <si>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</si>
  <si>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</si>
  <si>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</si>
  <si>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</si>
  <si>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</si>
  <si>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</si>
  <si>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</si>
  <si>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</si>
  <si>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</si>
  <si>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</si>
  <si>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</si>
  <si>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</si>
  <si>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</si>
  <si>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</si>
  <si>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</si>
  <si>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</si>
  <si>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</si>
  <si>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</si>
  <si>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</si>
  <si>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</si>
  <si>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</si>
  <si>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</si>
  <si>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</si>
  <si>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</si>
  <si>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</si>
  <si>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</si>
  <si>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</si>
  <si>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</si>
  <si>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</si>
  <si>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</si>
  <si>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</si>
  <si>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</si>
  <si>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</si>
  <si>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</si>
  <si>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</si>
  <si>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</si>
  <si>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</si>
  <si>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</si>
  <si>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</si>
  <si>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</si>
  <si>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</si>
  <si>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</si>
  <si>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</si>
  <si>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</si>
  <si>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</si>
  <si>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</si>
  <si>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</si>
  <si>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</si>
  <si>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</si>
  <si>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</si>
  <si>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</si>
  <si>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</si>
  <si>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</si>
  <si>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</si>
  <si>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</si>
  <si>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</si>
  <si>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</si>
  <si>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</si>
  <si>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</si>
  <si>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</si>
  <si>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</si>
  <si>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</si>
  <si>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</si>
  <si>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</si>
  <si>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</si>
  <si>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</si>
  <si>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</si>
  <si>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</si>
  <si>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</si>
  <si>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</si>
  <si>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</si>
  <si>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</si>
  <si>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</si>
  <si>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</si>
  <si>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</si>
  <si>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</si>
  <si>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</si>
  <si>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</si>
  <si>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</si>
  <si>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</si>
  <si>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</si>
  <si>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</si>
  <si>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</si>
  <si>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</si>
  <si>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</si>
  <si>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</si>
  <si>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</si>
  <si>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</si>
  <si>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</si>
  <si>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</si>
  <si>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</si>
  <si>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</si>
  <si>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</si>
  <si>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</si>
  <si>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</si>
  <si>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</si>
  <si>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</si>
  <si>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</si>
  <si>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</si>
  <si>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</si>
  <si>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</si>
  <si>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</si>
  <si>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</si>
  <si>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</si>
  <si>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</si>
  <si>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</si>
  <si>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</si>
  <si>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</si>
  <si>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</si>
  <si>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</si>
  <si>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</si>
  <si>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</si>
  <si>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</si>
  <si>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</si>
  <si>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</si>
  <si>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</si>
  <si>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</si>
  <si>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</si>
  <si>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</si>
  <si>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</si>
  <si>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</si>
  <si>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</si>
  <si>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</si>
  <si>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</si>
  <si>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</si>
  <si>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</si>
  <si>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</si>
  <si>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</si>
  <si>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</si>
  <si>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</si>
  <si>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</si>
  <si>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</si>
  <si>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</si>
  <si>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</si>
  <si>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</si>
  <si>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</si>
  <si>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</si>
  <si>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</si>
  <si>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</si>
  <si>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</si>
  <si>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</si>
  <si>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</si>
  <si>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</si>
  <si>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</si>
  <si>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</si>
  <si>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</si>
  <si>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</si>
  <si>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</si>
  <si>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</si>
  <si>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</si>
  <si>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</si>
  <si>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</si>
  <si>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</si>
  <si>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</si>
  <si>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</si>
  <si>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</si>
  <si>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</si>
  <si>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</si>
  <si>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</si>
  <si>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</si>
  <si>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</si>
  <si>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</si>
  <si>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</si>
  <si>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</si>
  <si>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</si>
  <si>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</si>
  <si>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</si>
  <si>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</si>
  <si>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</si>
  <si>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</si>
  <si>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</si>
  <si>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</si>
  <si>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</si>
  <si>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</si>
  <si>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</si>
  <si>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</si>
  <si>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</si>
  <si>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</si>
  <si>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</si>
  <si>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</si>
  <si>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</si>
  <si>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Hindi,Telugu</t>
  </si>
  <si>
    <t>Punjabi,Haryanvi</t>
  </si>
  <si>
    <t>Hindi,Kannada,Tamil</t>
  </si>
  <si>
    <t>Bengali,Hindi,Malayalam,Marathi,Tamil,Telugu</t>
  </si>
  <si>
    <t>Hindi,English,Malayalam,Tamil,Telugu</t>
  </si>
  <si>
    <t>English,Hindi,Kannada,Malayala,Marathi,Tamil,Telugu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</si>
  <si>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</si>
  <si>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</si>
  <si>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</si>
  <si>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</si>
  <si>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</si>
  <si>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</si>
  <si>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</si>
  <si>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ss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</si>
  <si>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</si>
  <si>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</si>
  <si>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</si>
  <si>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</si>
  <si>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</si>
  <si>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</si>
  <si>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</si>
  <si>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Murshid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</si>
  <si>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</si>
  <si>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</si>
  <si>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</si>
  <si>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</si>
  <si>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</si>
  <si>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</si>
  <si>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</si>
  <si>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Everybody Loves Sohrab Handa</t>
  </si>
  <si>
    <t>Chote Tara ka Bada Gadar S2</t>
  </si>
  <si>
    <t>Odia</t>
  </si>
  <si>
    <t>Hui Gumm Yaadein Ek Doctor,Do Zindagiyaan</t>
  </si>
  <si>
    <t>Gyaarah Gyaarah</t>
  </si>
  <si>
    <t>Laughter Chefs S3</t>
  </si>
  <si>
    <t>Reality Tv</t>
  </si>
  <si>
    <t>AVOD Originals Shows</t>
  </si>
  <si>
    <t>Off Campus</t>
  </si>
  <si>
    <t>Berlin and the Lady with an Ermine</t>
  </si>
  <si>
    <t>Kartavya?</t>
  </si>
  <si>
    <t>The WONDERfools</t>
  </si>
  <si>
    <t>Campus Beats Season 6</t>
  </si>
  <si>
    <t>Kaptaan</t>
  </si>
  <si>
    <t>Famously Fit With Sophie</t>
  </si>
  <si>
    <t>Sankalp</t>
  </si>
  <si>
    <t>Bindiya Ke Bahubali Season 2</t>
  </si>
  <si>
    <t>From S4</t>
  </si>
  <si>
    <t>Glory</t>
  </si>
  <si>
    <t>Undekhi S4</t>
  </si>
  <si>
    <t>The Kerala Story 2</t>
  </si>
  <si>
    <t>Assi</t>
  </si>
  <si>
    <t>The Bengal Files</t>
  </si>
  <si>
    <t>Hathras 16 days</t>
  </si>
  <si>
    <t>Fab5</t>
  </si>
  <si>
    <t>Mithya S2</t>
  </si>
  <si>
    <t>Devkhel</t>
  </si>
  <si>
    <t>English,Hindi</t>
  </si>
  <si>
    <t>English,Hindi,Punjabi</t>
  </si>
  <si>
    <t>Mardaani 3</t>
  </si>
  <si>
    <t>Tula Japnar Aahe</t>
  </si>
  <si>
    <t>Desi Bling</t>
  </si>
  <si>
    <t>Vimal Khanna</t>
  </si>
  <si>
    <t>Lighter &amp; Princess</t>
  </si>
  <si>
    <t>Me Savitribai Jyotirao Phule</t>
  </si>
  <si>
    <t>Siragadikka Aasai</t>
  </si>
  <si>
    <t>Thai Maaman</t>
  </si>
  <si>
    <t>Kara</t>
  </si>
  <si>
    <t>Super Duperr</t>
  </si>
  <si>
    <t>Satrangi: Badle ka Khel</t>
  </si>
  <si>
    <t>Made in India – A Titan Story</t>
  </si>
  <si>
    <t>Maa Behen</t>
  </si>
  <si>
    <t>Brown</t>
  </si>
  <si>
    <t>Dacoit</t>
  </si>
  <si>
    <t>Gullak Season 5</t>
  </si>
  <si>
    <t>Office Romance</t>
  </si>
  <si>
    <t>Patriot</t>
  </si>
  <si>
    <t>Teach You a Lesson</t>
  </si>
  <si>
    <t>The Pyramid Scheme</t>
  </si>
  <si>
    <t>Valavaara</t>
  </si>
  <si>
    <t>Kannada,Tamil,Telugu</t>
  </si>
  <si>
    <t>Hastinapur Ke Veer</t>
  </si>
  <si>
    <t>India's Best Dancer</t>
  </si>
  <si>
    <t>Manvat Murders</t>
  </si>
  <si>
    <t>KD: The Devil</t>
  </si>
  <si>
    <t>Love Mocktail 3</t>
  </si>
  <si>
    <t>Unbroken- The Unmukt Chand Story</t>
  </si>
  <si>
    <t xml:space="preserve"> </t>
  </si>
  <si>
    <t>JioHotstar</t>
  </si>
  <si>
    <t>Viral Hit</t>
  </si>
  <si>
    <t>Bhooth Bangla</t>
  </si>
  <si>
    <t>Dridam</t>
  </si>
  <si>
    <t>ICC Women's T20 World Cup 2026</t>
  </si>
  <si>
    <t>Karuppu</t>
  </si>
  <si>
    <t>Maa Hai Na</t>
  </si>
  <si>
    <t>Raakh</t>
  </si>
  <si>
    <t>Veerabhadrudu</t>
  </si>
  <si>
    <t>If Wishes Could Kill</t>
  </si>
  <si>
    <t>Dhurandhar: The Revenge</t>
  </si>
  <si>
    <t>WK-24, 2026 ( 13 Jun 2026 - 19 Jun 2026 )</t>
  </si>
  <si>
    <t>WK-24'2026</t>
  </si>
  <si>
    <t>AFGHANISTAN IN INDIA ODI SERIES 2026</t>
  </si>
  <si>
    <t>Dark Tracking</t>
  </si>
  <si>
    <t>Horimiya Season 2</t>
  </si>
  <si>
    <t>Identity</t>
  </si>
  <si>
    <t>In Plain Sight</t>
  </si>
  <si>
    <t>Kalank</t>
  </si>
  <si>
    <t>My Love Story With Yamada-kun at Lv999</t>
  </si>
  <si>
    <t>Royal Pains</t>
  </si>
  <si>
    <t>Friday Night Lights</t>
  </si>
  <si>
    <t>Kenatha Kanom</t>
  </si>
  <si>
    <t>Kolahalamedu</t>
  </si>
  <si>
    <t>A Match for the Prince</t>
  </si>
  <si>
    <t>A Snapshot of Forever</t>
  </si>
  <si>
    <t>Arco</t>
  </si>
  <si>
    <t>Constable</t>
  </si>
  <si>
    <t>Harry Potter: The Official Film Podcast</t>
  </si>
  <si>
    <t>Let Love Grow</t>
  </si>
  <si>
    <t>Meet Me in New York</t>
  </si>
  <si>
    <t>Never Change!</t>
  </si>
  <si>
    <t>Steal Your Heart</t>
  </si>
  <si>
    <t>The Love Hunt</t>
  </si>
  <si>
    <t>The Soulmate Search</t>
  </si>
  <si>
    <t>The Wedding in the Hamptons</t>
  </si>
  <si>
    <t>Three Dates to Forever</t>
  </si>
  <si>
    <t>You, Me, and that Mountain Retreat</t>
  </si>
  <si>
    <t>Your Fault: London</t>
  </si>
  <si>
    <t>Ab Hoga Hisaab</t>
  </si>
  <si>
    <t>Drishyam 3</t>
  </si>
  <si>
    <t>I Will Find You</t>
  </si>
  <si>
    <t>Per Aspera Ad Astra</t>
  </si>
  <si>
    <t>Aliya Basu Gayab Hai</t>
  </si>
  <si>
    <t>Athiradi</t>
  </si>
  <si>
    <t>Color Book</t>
  </si>
  <si>
    <t>Dhurandhar: The Revenge (Raw &amp; Undekha)</t>
  </si>
  <si>
    <t>Mareechika</t>
  </si>
  <si>
    <t>Match Point</t>
  </si>
  <si>
    <t>Mortal Kombat II</t>
  </si>
  <si>
    <t>Motive For Murder (M4M)</t>
  </si>
  <si>
    <t>Oasis</t>
  </si>
  <si>
    <t>Razor</t>
  </si>
  <si>
    <t>Save the Tigers Season 3</t>
  </si>
  <si>
    <t>Sugar Season 2</t>
  </si>
  <si>
    <t>Thukra Ke Mera Pyaar Season 2</t>
  </si>
  <si>
    <t>Voicemails for Isabelle</t>
  </si>
  <si>
    <t>Husbands in Action</t>
  </si>
  <si>
    <t>Baki-Dou: The Invincible Samurai</t>
  </si>
  <si>
    <t>Tv catchup</t>
  </si>
  <si>
    <t>WK-24 Reach</t>
  </si>
  <si>
    <t>Bengali,Bhojpuri,Hindi,Kannada,Malayalam,Marathi,Tamil,Telugu</t>
  </si>
  <si>
    <t>Hindi,Kannada,Malayalam,Tamil</t>
  </si>
  <si>
    <t>Bengali,Hindi,Kannada,Marathi,Tamil,Telugu</t>
  </si>
  <si>
    <t>Bengali,Hindi,Marathi,Tamil,Telugu</t>
  </si>
  <si>
    <t>Kannada,Malayalam,Telugu</t>
  </si>
  <si>
    <t>Bangla,Bhojpuri,English,Haryanvi,Hindi,Kannada,Tamil,Telugu</t>
  </si>
  <si>
    <t>Bangali,Hindi,Kannada,Malayalam,Marathi,Tamil,Telugu</t>
  </si>
  <si>
    <t>Bengali,English,Hindi,Kannada,Marathi,Tamil,Telugu</t>
  </si>
  <si>
    <t>English,Hindi,Marathi,Tamil,Telugu</t>
  </si>
  <si>
    <t>Kannada,Malayalam,Tamil,Telugu,Telugu</t>
  </si>
  <si>
    <t>English,Gujarati,Hindi,Kannada,Malayalam,Marathi,Tamil,Telugu</t>
  </si>
  <si>
    <t>Bengali,Bhojpuri,English,Hindi,Kannada,Marathi,Odia,Punjabi,Tamil,Telugu</t>
  </si>
  <si>
    <t>English,Hindi,Malayalam</t>
  </si>
  <si>
    <t>Bengali,Bhojpuri,English,Haryanvi,Hindi,Kannada,Malayalam,Marathi,Tamil,Telugu</t>
  </si>
  <si>
    <t>Bengali,Hindi,Kannada,Punjabi,Tamil,Telugu</t>
  </si>
  <si>
    <t>Bengali,Hindi,Kannada,Malayalam,Tamil,Telugu</t>
  </si>
  <si>
    <t>Bengali,Bhojpuri,Gujarati,Haryanvi,Hindi,Kannada,Malayalam,Marathi,Odia,Rajasthani,Tamil,Telugu</t>
  </si>
  <si>
    <t>Bengali,Bhojpuri,English,Haryanvi,Hindi,Kannada,Malayalam,Tamil,Telugu</t>
  </si>
  <si>
    <t>24</t>
  </si>
  <si>
    <t>WK-24,2026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</si>
</sst>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%"/>
    <numFmt numFmtId="166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13" xfId="1" applyNumberFormat="1" applyFont="1" applyBorder="1" applyAlignment="1">
      <alignment horizontal="center" vertical="center"/>
    </xf>
    <xf numFmtId="0" fontId="0" fillId="0" borderId="13" xfId="1" applyNumberFormat="1" applyFont="1" applyFill="1" applyBorder="1" applyAlignment="1">
      <alignment horizontal="center" vertical="center"/>
    </xf>
    <xf numFmtId="15" fontId="0" fillId="0" borderId="13" xfId="1" applyNumberFormat="1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wrapText="1"/>
    </xf>
    <xf numFmtId="2" fontId="0" fillId="0" borderId="13" xfId="0" applyNumberFormat="1" applyBorder="1" applyAlignment="1">
      <alignment horizontal="center" vertical="center"/>
    </xf>
    <xf numFmtId="9" fontId="1" fillId="0" borderId="13" xfId="1" applyFont="1" applyFill="1" applyBorder="1" applyAlignment="1">
      <alignment horizontal="center" vertical="center"/>
    </xf>
    <xf numFmtId="9" fontId="1" fillId="0" borderId="13" xfId="1" applyFont="1" applyBorder="1" applyAlignment="1">
      <alignment horizontal="center" vertical="center"/>
    </xf>
    <xf numFmtId="2" fontId="0" fillId="0" borderId="13" xfId="1" applyNumberFormat="1" applyFont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21166</xdr:rowOff>
    </xdr:from>
    <xdr:to>
      <xdr:col>1</xdr:col>
      <xdr:colOff>357910</xdr:colOff>
      <xdr:row>3</xdr:row>
      <xdr:rowOff>173491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34031-1409-458B-9908-E9F4A5E6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"/>
          <a:ext cx="1151660" cy="7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19243</xdr:colOff>
      <xdr:row>2</xdr:row>
      <xdr:rowOff>342825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83475-3DAA-42AF-B4FB-8D7BC3A4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7E277764-E582-4A6F-838F-0FCBE6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9525</xdr:colOff>
      <xdr:row>70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36E00996-F281-46A9-A9F1-4BF0ED16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6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9525</xdr:colOff>
      <xdr:row>51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B965FBDA-06A6-4617-B7B9-9A56620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A9B67657-8A1E-4FF0-A6ED-63DA7B2A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3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105</xdr:row>
      <xdr:rowOff>0</xdr:rowOff>
    </xdr:from>
    <xdr:to>
      <xdr:col>6</xdr:col>
      <xdr:colOff>9525</xdr:colOff>
      <xdr:row>105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BA81B76A-918F-48D4-B440-3FD43C3C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119</xdr:row>
      <xdr:rowOff>0</xdr:rowOff>
    </xdr:from>
    <xdr:to>
      <xdr:col>6</xdr:col>
      <xdr:colOff>9525</xdr:colOff>
      <xdr:row>119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D6F2E4CE-D117-442E-80B6-CBF9E7434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50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9525</xdr:colOff>
      <xdr:row>90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619603F4-97C6-4515-B146-D903559F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18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L65"/>
  <sheetViews>
    <sheetView showGridLines="0" tabSelected="1" zoomScale="90" zoomScaleNormal="90" workbookViewId="0">
      <selection activeCell="I6" sqref="I6"/>
    </sheetView>
  </sheetViews>
  <sheetFormatPr defaultRowHeight="15" x14ac:dyDescent="0.25"/>
  <cols>
    <col min="1" max="1" width="11.85546875" bestFit="1" customWidth="1"/>
    <col min="2" max="2" width="13.28515625" bestFit="1" customWidth="1"/>
    <col min="3" max="3" width="19.85546875" bestFit="1" customWidth="1"/>
    <col min="4" max="4" width="21.7109375" bestFit="1" customWidth="1"/>
    <col min="5" max="5" width="15.28515625" bestFit="1" customWidth="1"/>
    <col min="6" max="6" width="17.85546875" bestFit="1" customWidth="1"/>
    <col min="7" max="7" width="40.5703125" bestFit="1" customWidth="1"/>
    <col min="8" max="8" width="68.42578125" bestFit="1" customWidth="1"/>
    <col min="9" max="9" width="27.42578125" bestFit="1" customWidth="1"/>
    <col min="10" max="10" width="17.42578125" bestFit="1" customWidth="1"/>
    <col min="11" max="11" width="10.28515625" bestFit="1" customWidth="1"/>
    <col min="12" max="12" width="11.28515625" bestFit="1" customWidth="1"/>
  </cols>
  <sheetData>
    <row r="1" spans="1:12" x14ac:dyDescent="0.25">
      <c r="A1" t="s">
        <v>1848</v>
      </c>
      <c r="F1" s="72" t="s">
        <v>1860</v>
      </c>
    </row>
    <row r="2" spans="1:12" x14ac:dyDescent="0.25">
      <c r="F2" s="52"/>
    </row>
    <row r="3" spans="1:12" x14ac:dyDescent="0.25">
      <c r="F3" s="52"/>
    </row>
    <row r="6" spans="1:12" s="1" customFormat="1" x14ac:dyDescent="0.25">
      <c r="A6" s="122" t="s">
        <v>205</v>
      </c>
      <c r="B6" s="122" t="s">
        <v>257</v>
      </c>
      <c r="C6" s="122" t="s">
        <v>204</v>
      </c>
      <c r="D6" s="122" t="s">
        <v>430</v>
      </c>
      <c r="E6" s="122" t="s">
        <v>210</v>
      </c>
      <c r="F6" s="122" t="s">
        <v>206</v>
      </c>
      <c r="G6" s="122" t="s">
        <v>207</v>
      </c>
      <c r="H6" s="122" t="s">
        <v>13</v>
      </c>
      <c r="I6" s="122" t="s">
        <v>209</v>
      </c>
      <c r="J6" s="122" t="s">
        <v>208</v>
      </c>
      <c r="K6" s="122" t="s">
        <v>253</v>
      </c>
      <c r="L6" s="122" t="s">
        <v>857</v>
      </c>
    </row>
    <row r="7" spans="1:12" x14ac:dyDescent="0.25">
      <c r="A7" s="46" t="s">
        <v>1929</v>
      </c>
      <c r="B7" s="46" t="s">
        <v>85</v>
      </c>
      <c r="C7" s="46" t="s">
        <v>1849</v>
      </c>
      <c r="D7" s="46" t="s">
        <v>859</v>
      </c>
      <c r="E7" s="46" t="s">
        <v>211</v>
      </c>
      <c r="F7" s="46" t="s">
        <v>213</v>
      </c>
      <c r="G7" s="46" t="s">
        <v>1859</v>
      </c>
      <c r="H7" s="46" t="s">
        <v>1058</v>
      </c>
      <c r="I7" s="46" t="s">
        <v>90</v>
      </c>
      <c r="J7" s="53">
        <v>46177</v>
      </c>
      <c r="K7" s="46">
        <v>1</v>
      </c>
      <c r="L7" s="123">
        <v>56.557615696652903</v>
      </c>
    </row>
    <row r="8" spans="1:12" x14ac:dyDescent="0.25">
      <c r="A8" s="46" t="s">
        <v>1929</v>
      </c>
      <c r="B8" s="46" t="s">
        <v>85</v>
      </c>
      <c r="C8" s="46" t="s">
        <v>1849</v>
      </c>
      <c r="D8" s="46" t="s">
        <v>437</v>
      </c>
      <c r="E8" s="46" t="s">
        <v>211</v>
      </c>
      <c r="F8" s="46" t="s">
        <v>451</v>
      </c>
      <c r="G8" s="46" t="s">
        <v>1862</v>
      </c>
      <c r="H8" s="46" t="s">
        <v>1927</v>
      </c>
      <c r="I8" s="46" t="s">
        <v>451</v>
      </c>
      <c r="J8" s="53">
        <v>46186</v>
      </c>
      <c r="K8" s="46">
        <f>K7+1</f>
        <v>2</v>
      </c>
      <c r="L8" s="123">
        <v>46.138629133905653</v>
      </c>
    </row>
    <row r="9" spans="1:12" x14ac:dyDescent="0.25">
      <c r="A9" s="46" t="s">
        <v>1929</v>
      </c>
      <c r="B9" s="46" t="s">
        <v>85</v>
      </c>
      <c r="C9" s="46" t="s">
        <v>1849</v>
      </c>
      <c r="D9" s="46" t="s">
        <v>437</v>
      </c>
      <c r="E9" s="46" t="s">
        <v>211</v>
      </c>
      <c r="F9" s="46" t="s">
        <v>451</v>
      </c>
      <c r="G9" s="46" t="s">
        <v>1853</v>
      </c>
      <c r="H9" s="46" t="s">
        <v>19</v>
      </c>
      <c r="I9" s="46" t="s">
        <v>902</v>
      </c>
      <c r="J9" s="129">
        <v>46185</v>
      </c>
      <c r="K9" s="46">
        <f>K8+1</f>
        <v>3</v>
      </c>
      <c r="L9" s="123">
        <v>45.834994698197498</v>
      </c>
    </row>
    <row r="10" spans="1:12" x14ac:dyDescent="0.25">
      <c r="A10" s="46" t="s">
        <v>1929</v>
      </c>
      <c r="B10" s="46" t="s">
        <v>85</v>
      </c>
      <c r="C10" s="46" t="s">
        <v>64</v>
      </c>
      <c r="D10" s="46" t="s">
        <v>859</v>
      </c>
      <c r="E10" s="46" t="s">
        <v>211</v>
      </c>
      <c r="F10" s="46" t="s">
        <v>213</v>
      </c>
      <c r="G10" s="46" t="s">
        <v>1854</v>
      </c>
      <c r="H10" s="46" t="s">
        <v>1911</v>
      </c>
      <c r="I10" s="46" t="s">
        <v>78</v>
      </c>
      <c r="J10" s="53">
        <v>46185</v>
      </c>
      <c r="K10" s="46">
        <f>K9+1</f>
        <v>4</v>
      </c>
      <c r="L10" s="123">
        <v>26.9033157825302</v>
      </c>
    </row>
    <row r="11" spans="1:12" x14ac:dyDescent="0.25">
      <c r="A11" s="46" t="s">
        <v>1929</v>
      </c>
      <c r="B11" s="46" t="s">
        <v>85</v>
      </c>
      <c r="C11" s="46" t="s">
        <v>64</v>
      </c>
      <c r="D11" s="46" t="s">
        <v>431</v>
      </c>
      <c r="E11" s="46" t="s">
        <v>211</v>
      </c>
      <c r="F11" s="46" t="s">
        <v>215</v>
      </c>
      <c r="G11" s="46" t="s">
        <v>1856</v>
      </c>
      <c r="H11" s="46" t="s">
        <v>40</v>
      </c>
      <c r="I11" s="46" t="s">
        <v>202</v>
      </c>
      <c r="J11" s="53">
        <v>46185</v>
      </c>
      <c r="K11" s="46">
        <f>K10+1</f>
        <v>5</v>
      </c>
      <c r="L11" s="123">
        <v>26.705002514533899</v>
      </c>
    </row>
    <row r="12" spans="1:12" x14ac:dyDescent="0.25">
      <c r="A12" s="46" t="s">
        <v>1929</v>
      </c>
      <c r="B12" s="46" t="s">
        <v>85</v>
      </c>
      <c r="C12" s="46" t="s">
        <v>123</v>
      </c>
      <c r="D12" s="98" t="s">
        <v>859</v>
      </c>
      <c r="E12" s="46" t="s">
        <v>211</v>
      </c>
      <c r="F12" s="46" t="s">
        <v>213</v>
      </c>
      <c r="G12" s="46" t="s">
        <v>1851</v>
      </c>
      <c r="H12" s="46" t="s">
        <v>19</v>
      </c>
      <c r="I12" s="46" t="s">
        <v>149</v>
      </c>
      <c r="J12" s="53">
        <v>46185</v>
      </c>
      <c r="K12" s="46">
        <f>K11+1</f>
        <v>6</v>
      </c>
      <c r="L12" s="123">
        <v>19.5276260108641</v>
      </c>
    </row>
    <row r="13" spans="1:12" x14ac:dyDescent="0.25">
      <c r="A13" s="46" t="s">
        <v>1929</v>
      </c>
      <c r="B13" s="46" t="s">
        <v>85</v>
      </c>
      <c r="C13" s="98" t="s">
        <v>1229</v>
      </c>
      <c r="D13" s="46" t="s">
        <v>433</v>
      </c>
      <c r="E13" s="98" t="s">
        <v>219</v>
      </c>
      <c r="F13" s="46" t="s">
        <v>215</v>
      </c>
      <c r="G13" s="120" t="s">
        <v>1888</v>
      </c>
      <c r="H13" s="119" t="s">
        <v>19</v>
      </c>
      <c r="I13" s="98" t="s">
        <v>202</v>
      </c>
      <c r="J13" s="53">
        <v>46191</v>
      </c>
      <c r="K13" s="46">
        <f>K12+1</f>
        <v>7</v>
      </c>
      <c r="L13" s="101">
        <v>24.8702063569065</v>
      </c>
    </row>
    <row r="14" spans="1:12" x14ac:dyDescent="0.25">
      <c r="A14" s="46" t="s">
        <v>1929</v>
      </c>
      <c r="B14" s="46" t="s">
        <v>85</v>
      </c>
      <c r="C14" s="98" t="s">
        <v>1849</v>
      </c>
      <c r="D14" s="98" t="s">
        <v>456</v>
      </c>
      <c r="E14" s="98" t="s">
        <v>211</v>
      </c>
      <c r="F14" s="46" t="s">
        <v>1908</v>
      </c>
      <c r="G14" s="98" t="s">
        <v>1796</v>
      </c>
      <c r="H14" s="98" t="s">
        <v>19</v>
      </c>
      <c r="I14" s="98" t="s">
        <v>1122</v>
      </c>
      <c r="J14" s="129">
        <v>45983</v>
      </c>
      <c r="K14" s="46">
        <f>K13+1</f>
        <v>8</v>
      </c>
      <c r="L14" s="123">
        <v>21.996204599779613</v>
      </c>
    </row>
    <row r="15" spans="1:12" x14ac:dyDescent="0.25">
      <c r="A15" s="46" t="s">
        <v>1929</v>
      </c>
      <c r="B15" s="46" t="s">
        <v>85</v>
      </c>
      <c r="C15" s="98" t="s">
        <v>1849</v>
      </c>
      <c r="D15" s="98" t="s">
        <v>431</v>
      </c>
      <c r="E15" s="98" t="s">
        <v>211</v>
      </c>
      <c r="F15" s="46" t="s">
        <v>215</v>
      </c>
      <c r="G15" s="98" t="s">
        <v>1904</v>
      </c>
      <c r="H15" s="119" t="s">
        <v>1910</v>
      </c>
      <c r="I15" s="98" t="s">
        <v>279</v>
      </c>
      <c r="J15" s="53">
        <v>46192</v>
      </c>
      <c r="K15" s="46">
        <f>K14+1</f>
        <v>9</v>
      </c>
      <c r="L15" s="123">
        <v>21.448857611588</v>
      </c>
    </row>
    <row r="16" spans="1:12" x14ac:dyDescent="0.25">
      <c r="A16" s="46" t="s">
        <v>1929</v>
      </c>
      <c r="B16" s="46" t="s">
        <v>85</v>
      </c>
      <c r="C16" s="46" t="s">
        <v>64</v>
      </c>
      <c r="D16" s="46" t="s">
        <v>1013</v>
      </c>
      <c r="E16" s="46" t="s">
        <v>211</v>
      </c>
      <c r="F16" s="46" t="s">
        <v>213</v>
      </c>
      <c r="G16" s="46" t="s">
        <v>1887</v>
      </c>
      <c r="H16" s="46" t="s">
        <v>1432</v>
      </c>
      <c r="I16" s="46" t="s">
        <v>172</v>
      </c>
      <c r="J16" s="53">
        <v>46190</v>
      </c>
      <c r="K16" s="46">
        <f>K15+1</f>
        <v>10</v>
      </c>
      <c r="L16" s="101">
        <v>18.9232453522235</v>
      </c>
    </row>
    <row r="17" spans="1:12" x14ac:dyDescent="0.25">
      <c r="A17" s="46" t="s">
        <v>1929</v>
      </c>
      <c r="B17" s="46" t="s">
        <v>85</v>
      </c>
      <c r="C17" s="46" t="s">
        <v>1849</v>
      </c>
      <c r="D17" s="98" t="s">
        <v>456</v>
      </c>
      <c r="E17" s="46" t="s">
        <v>211</v>
      </c>
      <c r="F17" s="46" t="s">
        <v>1908</v>
      </c>
      <c r="G17" s="46" t="s">
        <v>1784</v>
      </c>
      <c r="H17" s="46" t="s">
        <v>19</v>
      </c>
      <c r="I17" s="46" t="s">
        <v>216</v>
      </c>
      <c r="J17" s="129">
        <v>44025</v>
      </c>
      <c r="K17" s="46">
        <f>K16+1</f>
        <v>11</v>
      </c>
      <c r="L17" s="123">
        <v>18.374667562276223</v>
      </c>
    </row>
    <row r="18" spans="1:12" x14ac:dyDescent="0.25">
      <c r="A18" s="46" t="s">
        <v>1929</v>
      </c>
      <c r="B18" s="46" t="s">
        <v>85</v>
      </c>
      <c r="C18" s="46" t="s">
        <v>64</v>
      </c>
      <c r="D18" s="46" t="s">
        <v>431</v>
      </c>
      <c r="E18" s="46" t="s">
        <v>211</v>
      </c>
      <c r="F18" s="46" t="s">
        <v>215</v>
      </c>
      <c r="G18" s="46" t="s">
        <v>1808</v>
      </c>
      <c r="H18" s="46" t="s">
        <v>1818</v>
      </c>
      <c r="I18" s="46" t="s">
        <v>201</v>
      </c>
      <c r="J18" s="121">
        <v>46131</v>
      </c>
      <c r="K18" s="46">
        <f>K17+1</f>
        <v>12</v>
      </c>
      <c r="L18" s="123">
        <v>17.994455269978001</v>
      </c>
    </row>
    <row r="19" spans="1:12" x14ac:dyDescent="0.25">
      <c r="A19" s="46" t="s">
        <v>1929</v>
      </c>
      <c r="B19" s="46" t="s">
        <v>85</v>
      </c>
      <c r="C19" s="98" t="s">
        <v>64</v>
      </c>
      <c r="D19" s="119" t="s">
        <v>431</v>
      </c>
      <c r="E19" s="119" t="s">
        <v>211</v>
      </c>
      <c r="F19" s="46" t="s">
        <v>215</v>
      </c>
      <c r="G19" s="119" t="s">
        <v>1839</v>
      </c>
      <c r="H19" s="119" t="s">
        <v>19</v>
      </c>
      <c r="I19" s="119" t="s">
        <v>138</v>
      </c>
      <c r="J19" s="53">
        <v>46178</v>
      </c>
      <c r="K19" s="46">
        <f>K18+1</f>
        <v>13</v>
      </c>
      <c r="L19" s="123">
        <v>17.507985762893501</v>
      </c>
    </row>
    <row r="20" spans="1:12" x14ac:dyDescent="0.25">
      <c r="A20" s="46" t="s">
        <v>1929</v>
      </c>
      <c r="B20" s="46" t="s">
        <v>85</v>
      </c>
      <c r="C20" s="98" t="s">
        <v>64</v>
      </c>
      <c r="D20" s="46" t="s">
        <v>859</v>
      </c>
      <c r="E20" s="98" t="s">
        <v>211</v>
      </c>
      <c r="F20" s="46" t="s">
        <v>213</v>
      </c>
      <c r="G20" s="98" t="s">
        <v>1889</v>
      </c>
      <c r="H20" s="119" t="s">
        <v>1059</v>
      </c>
      <c r="I20" s="119" t="s">
        <v>202</v>
      </c>
      <c r="J20" s="53">
        <v>46191</v>
      </c>
      <c r="K20" s="46">
        <f>K19+1</f>
        <v>14</v>
      </c>
      <c r="L20" s="123">
        <v>16.858130682650621</v>
      </c>
    </row>
    <row r="21" spans="1:12" x14ac:dyDescent="0.25">
      <c r="A21" s="46" t="s">
        <v>1929</v>
      </c>
      <c r="B21" s="46" t="s">
        <v>85</v>
      </c>
      <c r="C21" s="46" t="s">
        <v>64</v>
      </c>
      <c r="D21" s="46" t="s">
        <v>859</v>
      </c>
      <c r="E21" s="46" t="s">
        <v>211</v>
      </c>
      <c r="F21" s="46" t="s">
        <v>213</v>
      </c>
      <c r="G21" s="46" t="s">
        <v>1896</v>
      </c>
      <c r="H21" s="46" t="s">
        <v>19</v>
      </c>
      <c r="I21" s="46" t="s">
        <v>161</v>
      </c>
      <c r="J21" s="53">
        <v>46192</v>
      </c>
      <c r="K21" s="46">
        <f>K20+1</f>
        <v>15</v>
      </c>
      <c r="L21" s="123">
        <v>16.624409350043798</v>
      </c>
    </row>
    <row r="22" spans="1:12" x14ac:dyDescent="0.25">
      <c r="A22" s="46" t="s">
        <v>1929</v>
      </c>
      <c r="B22" s="46" t="s">
        <v>85</v>
      </c>
      <c r="C22" s="46" t="s">
        <v>123</v>
      </c>
      <c r="D22" s="46" t="s">
        <v>859</v>
      </c>
      <c r="E22" s="46" t="s">
        <v>211</v>
      </c>
      <c r="F22" s="46" t="s">
        <v>213</v>
      </c>
      <c r="G22" s="46">
        <v>29</v>
      </c>
      <c r="H22" s="46" t="s">
        <v>1058</v>
      </c>
      <c r="I22" s="46" t="s">
        <v>145</v>
      </c>
      <c r="J22" s="53">
        <v>46178</v>
      </c>
      <c r="K22" s="46">
        <f>K21+1</f>
        <v>16</v>
      </c>
      <c r="L22" s="123">
        <v>16.496988820431945</v>
      </c>
    </row>
    <row r="23" spans="1:12" x14ac:dyDescent="0.25">
      <c r="A23" s="46" t="s">
        <v>1929</v>
      </c>
      <c r="B23" s="46" t="s">
        <v>85</v>
      </c>
      <c r="C23" s="98" t="s">
        <v>123</v>
      </c>
      <c r="D23" s="98" t="s">
        <v>1012</v>
      </c>
      <c r="E23" s="98" t="s">
        <v>211</v>
      </c>
      <c r="F23" s="46" t="s">
        <v>215</v>
      </c>
      <c r="G23" s="98" t="s">
        <v>1868</v>
      </c>
      <c r="H23" s="98" t="s">
        <v>20</v>
      </c>
      <c r="I23" s="98" t="s">
        <v>977</v>
      </c>
      <c r="J23" s="53">
        <v>46188</v>
      </c>
      <c r="K23" s="46">
        <f>K22+1</f>
        <v>17</v>
      </c>
      <c r="L23" s="123">
        <v>16.496988820431945</v>
      </c>
    </row>
    <row r="24" spans="1:12" x14ac:dyDescent="0.25">
      <c r="A24" s="46" t="s">
        <v>1929</v>
      </c>
      <c r="B24" s="46" t="s">
        <v>85</v>
      </c>
      <c r="C24" s="46" t="s">
        <v>1849</v>
      </c>
      <c r="D24" s="46" t="s">
        <v>859</v>
      </c>
      <c r="E24" s="46" t="s">
        <v>211</v>
      </c>
      <c r="F24" s="46" t="s">
        <v>213</v>
      </c>
      <c r="G24" s="46" t="s">
        <v>1871</v>
      </c>
      <c r="H24" s="46" t="s">
        <v>1222</v>
      </c>
      <c r="I24" s="46" t="s">
        <v>138</v>
      </c>
      <c r="J24" s="53">
        <v>46189</v>
      </c>
      <c r="K24" s="46">
        <f>K23+1</f>
        <v>18</v>
      </c>
      <c r="L24" s="123">
        <v>16.210640316656502</v>
      </c>
    </row>
    <row r="25" spans="1:12" x14ac:dyDescent="0.25">
      <c r="A25" s="46" t="s">
        <v>1929</v>
      </c>
      <c r="B25" s="46" t="s">
        <v>85</v>
      </c>
      <c r="C25" s="98" t="s">
        <v>123</v>
      </c>
      <c r="D25" s="46" t="s">
        <v>431</v>
      </c>
      <c r="E25" s="98" t="s">
        <v>211</v>
      </c>
      <c r="F25" s="46" t="s">
        <v>215</v>
      </c>
      <c r="G25" s="98" t="s">
        <v>1838</v>
      </c>
      <c r="H25" s="98" t="s">
        <v>77</v>
      </c>
      <c r="I25" s="98" t="s">
        <v>92</v>
      </c>
      <c r="J25" s="53">
        <v>46178</v>
      </c>
      <c r="K25" s="46">
        <f>K24+1</f>
        <v>19</v>
      </c>
      <c r="L25" s="123">
        <v>16.161189560038828</v>
      </c>
    </row>
    <row r="26" spans="1:12" x14ac:dyDescent="0.25">
      <c r="A26" s="46" t="s">
        <v>1929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1864</v>
      </c>
      <c r="H26" s="46" t="s">
        <v>20</v>
      </c>
      <c r="I26" s="46" t="s">
        <v>890</v>
      </c>
      <c r="J26" s="53">
        <v>46188</v>
      </c>
      <c r="K26" s="46">
        <f>K25+1</f>
        <v>20</v>
      </c>
      <c r="L26" s="123">
        <v>15.934591474280856</v>
      </c>
    </row>
    <row r="27" spans="1:12" x14ac:dyDescent="0.25">
      <c r="A27" s="46" t="s">
        <v>1929</v>
      </c>
      <c r="B27" s="46" t="s">
        <v>85</v>
      </c>
      <c r="C27" s="46" t="s">
        <v>64</v>
      </c>
      <c r="D27" s="46" t="s">
        <v>859</v>
      </c>
      <c r="E27" s="46" t="s">
        <v>211</v>
      </c>
      <c r="F27" s="46" t="s">
        <v>213</v>
      </c>
      <c r="G27" s="46" t="s">
        <v>1834</v>
      </c>
      <c r="H27" s="46" t="s">
        <v>19</v>
      </c>
      <c r="I27" s="46" t="s">
        <v>97</v>
      </c>
      <c r="J27" s="53">
        <v>46178</v>
      </c>
      <c r="K27" s="46">
        <f>K26+1</f>
        <v>21</v>
      </c>
      <c r="L27" s="123">
        <v>15.240957438960089</v>
      </c>
    </row>
    <row r="28" spans="1:12" x14ac:dyDescent="0.25">
      <c r="A28" s="46" t="s">
        <v>1929</v>
      </c>
      <c r="B28" s="46" t="s">
        <v>85</v>
      </c>
      <c r="C28" s="46" t="s">
        <v>1849</v>
      </c>
      <c r="D28" s="46" t="s">
        <v>1012</v>
      </c>
      <c r="E28" s="46" t="s">
        <v>211</v>
      </c>
      <c r="F28" s="46" t="s">
        <v>215</v>
      </c>
      <c r="G28" s="53" t="s">
        <v>1877</v>
      </c>
      <c r="H28" s="46" t="s">
        <v>20</v>
      </c>
      <c r="I28" s="46" t="s">
        <v>910</v>
      </c>
      <c r="J28" s="53">
        <v>46190</v>
      </c>
      <c r="K28" s="46">
        <f>K27+1</f>
        <v>22</v>
      </c>
      <c r="L28" s="123">
        <v>14.736945742414999</v>
      </c>
    </row>
    <row r="29" spans="1:12" x14ac:dyDescent="0.25">
      <c r="A29" s="46" t="s">
        <v>1929</v>
      </c>
      <c r="B29" s="46" t="s">
        <v>85</v>
      </c>
      <c r="C29" s="46" t="s">
        <v>1849</v>
      </c>
      <c r="D29" s="98" t="s">
        <v>1012</v>
      </c>
      <c r="E29" s="46" t="s">
        <v>211</v>
      </c>
      <c r="F29" s="46" t="s">
        <v>215</v>
      </c>
      <c r="G29" s="46" t="s">
        <v>1902</v>
      </c>
      <c r="H29" s="46" t="s">
        <v>1222</v>
      </c>
      <c r="I29" s="46" t="s">
        <v>355</v>
      </c>
      <c r="J29" s="53">
        <v>46192</v>
      </c>
      <c r="K29" s="46">
        <f>K28+1</f>
        <v>23</v>
      </c>
      <c r="L29" s="123">
        <v>14.589576284990851</v>
      </c>
    </row>
    <row r="30" spans="1:12" x14ac:dyDescent="0.25">
      <c r="A30" s="46" t="s">
        <v>1929</v>
      </c>
      <c r="B30" s="46" t="s">
        <v>85</v>
      </c>
      <c r="C30" s="98" t="s">
        <v>1849</v>
      </c>
      <c r="D30" s="46" t="s">
        <v>859</v>
      </c>
      <c r="E30" s="98" t="s">
        <v>211</v>
      </c>
      <c r="F30" s="46" t="s">
        <v>213</v>
      </c>
      <c r="G30" s="98" t="s">
        <v>1852</v>
      </c>
      <c r="H30" s="98" t="s">
        <v>1058</v>
      </c>
      <c r="I30" s="98" t="s">
        <v>202</v>
      </c>
      <c r="J30" s="53">
        <v>46185</v>
      </c>
      <c r="K30" s="46">
        <f>K29+1</f>
        <v>24</v>
      </c>
      <c r="L30" s="123">
        <v>14.533045827976281</v>
      </c>
    </row>
    <row r="31" spans="1:12" x14ac:dyDescent="0.25">
      <c r="A31" s="46" t="s">
        <v>1929</v>
      </c>
      <c r="B31" s="46" t="s">
        <v>85</v>
      </c>
      <c r="C31" s="98" t="s">
        <v>123</v>
      </c>
      <c r="D31" s="46" t="s">
        <v>859</v>
      </c>
      <c r="E31" s="98" t="s">
        <v>211</v>
      </c>
      <c r="F31" s="46" t="s">
        <v>213</v>
      </c>
      <c r="G31" s="119" t="s">
        <v>1832</v>
      </c>
      <c r="H31" s="119" t="s">
        <v>77</v>
      </c>
      <c r="I31" s="119" t="s">
        <v>130</v>
      </c>
      <c r="J31" s="53">
        <v>46177</v>
      </c>
      <c r="K31" s="46">
        <f>K30+1</f>
        <v>25</v>
      </c>
      <c r="L31" s="101">
        <v>14.305930706626645</v>
      </c>
    </row>
    <row r="32" spans="1:12" x14ac:dyDescent="0.25">
      <c r="A32" s="46" t="s">
        <v>1929</v>
      </c>
      <c r="B32" s="46" t="s">
        <v>85</v>
      </c>
      <c r="C32" s="46" t="s">
        <v>132</v>
      </c>
      <c r="D32" s="46" t="s">
        <v>431</v>
      </c>
      <c r="E32" s="46" t="s">
        <v>211</v>
      </c>
      <c r="F32" s="46" t="s">
        <v>215</v>
      </c>
      <c r="G32" s="46" t="s">
        <v>1835</v>
      </c>
      <c r="H32" s="46" t="s">
        <v>19</v>
      </c>
      <c r="I32" s="46" t="s">
        <v>138</v>
      </c>
      <c r="J32" s="53">
        <v>46178</v>
      </c>
      <c r="K32" s="46">
        <f>K31+1</f>
        <v>26</v>
      </c>
      <c r="L32" s="123">
        <v>13.925056666531823</v>
      </c>
    </row>
    <row r="33" spans="1:12" x14ac:dyDescent="0.25">
      <c r="A33" s="46" t="s">
        <v>1929</v>
      </c>
      <c r="B33" s="46" t="s">
        <v>85</v>
      </c>
      <c r="C33" s="46" t="s">
        <v>123</v>
      </c>
      <c r="D33" s="98" t="s">
        <v>1012</v>
      </c>
      <c r="E33" s="46" t="s">
        <v>211</v>
      </c>
      <c r="F33" s="46" t="s">
        <v>215</v>
      </c>
      <c r="G33" s="46" t="s">
        <v>1900</v>
      </c>
      <c r="H33" s="46" t="s">
        <v>77</v>
      </c>
      <c r="I33" s="46" t="s">
        <v>182</v>
      </c>
      <c r="J33" s="53">
        <v>46192</v>
      </c>
      <c r="K33" s="46">
        <f>K32+1</f>
        <v>27</v>
      </c>
      <c r="L33" s="123">
        <v>13.8092492947845</v>
      </c>
    </row>
    <row r="34" spans="1:12" x14ac:dyDescent="0.25">
      <c r="A34" s="46" t="s">
        <v>1929</v>
      </c>
      <c r="B34" s="46" t="s">
        <v>85</v>
      </c>
      <c r="C34" s="46" t="s">
        <v>64</v>
      </c>
      <c r="D34" s="46" t="s">
        <v>859</v>
      </c>
      <c r="E34" s="46" t="s">
        <v>211</v>
      </c>
      <c r="F34" s="46" t="s">
        <v>213</v>
      </c>
      <c r="G34" s="98" t="s">
        <v>1874</v>
      </c>
      <c r="H34" s="98" t="s">
        <v>20</v>
      </c>
      <c r="I34" s="98" t="s">
        <v>154</v>
      </c>
      <c r="J34" s="53">
        <v>46190</v>
      </c>
      <c r="K34" s="46">
        <f>K33+1</f>
        <v>28</v>
      </c>
      <c r="L34" s="123">
        <v>13.79301601307778</v>
      </c>
    </row>
    <row r="35" spans="1:12" x14ac:dyDescent="0.25">
      <c r="A35" s="46" t="s">
        <v>1929</v>
      </c>
      <c r="B35" s="46" t="s">
        <v>85</v>
      </c>
      <c r="C35" s="46" t="s">
        <v>1849</v>
      </c>
      <c r="D35" s="98" t="s">
        <v>1013</v>
      </c>
      <c r="E35" s="46" t="s">
        <v>211</v>
      </c>
      <c r="F35" s="46" t="s">
        <v>213</v>
      </c>
      <c r="G35" s="46" t="s">
        <v>1880</v>
      </c>
      <c r="H35" s="46" t="s">
        <v>20</v>
      </c>
      <c r="I35" s="46" t="s">
        <v>124</v>
      </c>
      <c r="J35" s="53">
        <v>46190</v>
      </c>
      <c r="K35" s="46">
        <f>K34+1</f>
        <v>29</v>
      </c>
      <c r="L35" s="123">
        <v>13.736945742414999</v>
      </c>
    </row>
    <row r="36" spans="1:12" x14ac:dyDescent="0.25">
      <c r="A36" s="46" t="s">
        <v>1929</v>
      </c>
      <c r="B36" s="46" t="s">
        <v>85</v>
      </c>
      <c r="C36" s="98" t="s">
        <v>123</v>
      </c>
      <c r="D36" s="46" t="s">
        <v>1013</v>
      </c>
      <c r="E36" s="98" t="s">
        <v>211</v>
      </c>
      <c r="F36" s="46" t="s">
        <v>213</v>
      </c>
      <c r="G36" s="119" t="s">
        <v>1905</v>
      </c>
      <c r="H36" s="119" t="s">
        <v>77</v>
      </c>
      <c r="I36" s="119" t="s">
        <v>145</v>
      </c>
      <c r="J36" s="53">
        <v>46192</v>
      </c>
      <c r="K36" s="46">
        <f>K35+1</f>
        <v>30</v>
      </c>
      <c r="L36" s="123">
        <v>13.721783512734101</v>
      </c>
    </row>
    <row r="37" spans="1:12" x14ac:dyDescent="0.25">
      <c r="A37" s="46" t="s">
        <v>1929</v>
      </c>
      <c r="B37" s="46" t="s">
        <v>85</v>
      </c>
      <c r="C37" s="98" t="s">
        <v>64</v>
      </c>
      <c r="D37" s="98" t="s">
        <v>859</v>
      </c>
      <c r="E37" s="119" t="s">
        <v>211</v>
      </c>
      <c r="F37" s="46" t="s">
        <v>213</v>
      </c>
      <c r="G37" s="98" t="s">
        <v>1875</v>
      </c>
      <c r="H37" s="98" t="s">
        <v>40</v>
      </c>
      <c r="I37" s="98" t="s">
        <v>275</v>
      </c>
      <c r="J37" s="53">
        <v>46190</v>
      </c>
      <c r="K37" s="46">
        <f>K36+1</f>
        <v>31</v>
      </c>
      <c r="L37" s="123">
        <v>13.390688017437</v>
      </c>
    </row>
    <row r="38" spans="1:12" x14ac:dyDescent="0.25">
      <c r="A38" s="46" t="s">
        <v>1929</v>
      </c>
      <c r="B38" s="46" t="s">
        <v>85</v>
      </c>
      <c r="C38" s="46" t="s">
        <v>132</v>
      </c>
      <c r="D38" s="46" t="s">
        <v>456</v>
      </c>
      <c r="E38" s="46" t="s">
        <v>219</v>
      </c>
      <c r="F38" s="46" t="s">
        <v>1908</v>
      </c>
      <c r="G38" s="46" t="s">
        <v>1842</v>
      </c>
      <c r="H38" s="46" t="s">
        <v>19</v>
      </c>
      <c r="I38" s="46" t="s">
        <v>245</v>
      </c>
      <c r="J38" s="53">
        <v>46175</v>
      </c>
      <c r="K38" s="46">
        <f>K37+1</f>
        <v>32</v>
      </c>
      <c r="L38" s="123">
        <v>13.291293847915249</v>
      </c>
    </row>
    <row r="39" spans="1:12" x14ac:dyDescent="0.25">
      <c r="A39" s="46" t="s">
        <v>1929</v>
      </c>
      <c r="B39" s="46" t="s">
        <v>85</v>
      </c>
      <c r="C39" s="46" t="s">
        <v>132</v>
      </c>
      <c r="D39" s="46" t="s">
        <v>456</v>
      </c>
      <c r="E39" s="46" t="s">
        <v>219</v>
      </c>
      <c r="F39" s="46" t="s">
        <v>1908</v>
      </c>
      <c r="G39" s="46" t="s">
        <v>1843</v>
      </c>
      <c r="H39" s="46" t="s">
        <v>19</v>
      </c>
      <c r="I39" s="46" t="s">
        <v>1797</v>
      </c>
      <c r="J39" s="53">
        <v>46179</v>
      </c>
      <c r="K39" s="46">
        <f>K38+1</f>
        <v>33</v>
      </c>
      <c r="L39" s="123">
        <v>13.131151492464983</v>
      </c>
    </row>
    <row r="40" spans="1:12" x14ac:dyDescent="0.25">
      <c r="A40" s="46" t="s">
        <v>1929</v>
      </c>
      <c r="B40" s="46" t="s">
        <v>85</v>
      </c>
      <c r="C40" s="46" t="s">
        <v>123</v>
      </c>
      <c r="D40" s="46" t="s">
        <v>431</v>
      </c>
      <c r="E40" s="46" t="s">
        <v>211</v>
      </c>
      <c r="F40" s="46" t="s">
        <v>215</v>
      </c>
      <c r="G40" s="53" t="s">
        <v>1890</v>
      </c>
      <c r="H40" s="46" t="s">
        <v>77</v>
      </c>
      <c r="I40" s="46" t="s">
        <v>202</v>
      </c>
      <c r="J40" s="53">
        <v>46191</v>
      </c>
      <c r="K40" s="46">
        <f>K39+1</f>
        <v>34</v>
      </c>
      <c r="L40" s="123">
        <v>13.1209622819428</v>
      </c>
    </row>
    <row r="41" spans="1:12" x14ac:dyDescent="0.25">
      <c r="A41" s="46" t="s">
        <v>1929</v>
      </c>
      <c r="B41" s="46" t="s">
        <v>85</v>
      </c>
      <c r="C41" s="46" t="s">
        <v>132</v>
      </c>
      <c r="D41" s="46" t="s">
        <v>859</v>
      </c>
      <c r="E41" s="46" t="s">
        <v>211</v>
      </c>
      <c r="F41" s="46" t="s">
        <v>213</v>
      </c>
      <c r="G41" s="46" t="s">
        <v>1893</v>
      </c>
      <c r="H41" s="46" t="s">
        <v>1058</v>
      </c>
      <c r="I41" s="46" t="s">
        <v>78</v>
      </c>
      <c r="J41" s="53">
        <v>46192</v>
      </c>
      <c r="K41" s="46">
        <f>K40+1</f>
        <v>35</v>
      </c>
      <c r="L41" s="123">
        <v>12.9465782050363</v>
      </c>
    </row>
    <row r="42" spans="1:12" x14ac:dyDescent="0.25">
      <c r="A42" s="46" t="s">
        <v>1929</v>
      </c>
      <c r="B42" s="46" t="s">
        <v>85</v>
      </c>
      <c r="C42" s="98" t="s">
        <v>123</v>
      </c>
      <c r="D42" s="46" t="s">
        <v>859</v>
      </c>
      <c r="E42" s="98" t="s">
        <v>211</v>
      </c>
      <c r="F42" s="46" t="s">
        <v>213</v>
      </c>
      <c r="G42" s="98" t="s">
        <v>1894</v>
      </c>
      <c r="H42" s="98" t="s">
        <v>20</v>
      </c>
      <c r="I42" s="98" t="s">
        <v>216</v>
      </c>
      <c r="J42" s="53">
        <v>46192</v>
      </c>
      <c r="K42" s="46">
        <f>K41+1</f>
        <v>36</v>
      </c>
      <c r="L42" s="123">
        <v>12.8719203845327</v>
      </c>
    </row>
    <row r="43" spans="1:12" x14ac:dyDescent="0.25">
      <c r="A43" s="46" t="s">
        <v>1929</v>
      </c>
      <c r="B43" s="46" t="s">
        <v>85</v>
      </c>
      <c r="C43" s="46" t="s">
        <v>64</v>
      </c>
      <c r="D43" s="46" t="s">
        <v>859</v>
      </c>
      <c r="E43" s="46" t="s">
        <v>211</v>
      </c>
      <c r="F43" s="46" t="s">
        <v>213</v>
      </c>
      <c r="G43" s="53" t="s">
        <v>1879</v>
      </c>
      <c r="H43" s="46" t="s">
        <v>20</v>
      </c>
      <c r="I43" s="46" t="s">
        <v>154</v>
      </c>
      <c r="J43" s="53">
        <v>46190</v>
      </c>
      <c r="K43" s="46">
        <f>K42+1</f>
        <v>37</v>
      </c>
      <c r="L43" s="123">
        <v>12.566970145248643</v>
      </c>
    </row>
    <row r="44" spans="1:12" x14ac:dyDescent="0.25">
      <c r="A44" s="46" t="s">
        <v>1929</v>
      </c>
      <c r="B44" s="46" t="s">
        <v>85</v>
      </c>
      <c r="C44" s="46" t="s">
        <v>123</v>
      </c>
      <c r="D44" s="98" t="s">
        <v>859</v>
      </c>
      <c r="E44" s="46" t="s">
        <v>211</v>
      </c>
      <c r="F44" s="46" t="s">
        <v>213</v>
      </c>
      <c r="G44" s="46" t="s">
        <v>1895</v>
      </c>
      <c r="H44" s="46" t="s">
        <v>1058</v>
      </c>
      <c r="I44" s="46" t="s">
        <v>90</v>
      </c>
      <c r="J44" s="53">
        <v>46192</v>
      </c>
      <c r="K44" s="46">
        <f>K43+1</f>
        <v>38</v>
      </c>
      <c r="L44" s="123">
        <v>12.295893846043599</v>
      </c>
    </row>
    <row r="45" spans="1:12" x14ac:dyDescent="0.25">
      <c r="A45" s="46" t="s">
        <v>1929</v>
      </c>
      <c r="B45" s="46" t="s">
        <v>85</v>
      </c>
      <c r="C45" s="46" t="s">
        <v>64</v>
      </c>
      <c r="D45" s="46" t="s">
        <v>859</v>
      </c>
      <c r="E45" s="46" t="s">
        <v>233</v>
      </c>
      <c r="F45" s="46" t="s">
        <v>213</v>
      </c>
      <c r="G45" s="46" t="s">
        <v>1865</v>
      </c>
      <c r="H45" s="46" t="s">
        <v>23</v>
      </c>
      <c r="I45" s="46" t="s">
        <v>90</v>
      </c>
      <c r="J45" s="53">
        <v>46188</v>
      </c>
      <c r="K45" s="46">
        <f>K44+1</f>
        <v>39</v>
      </c>
      <c r="L45" s="123">
        <v>12.260458678291361</v>
      </c>
    </row>
    <row r="46" spans="1:12" x14ac:dyDescent="0.25">
      <c r="A46" s="46" t="s">
        <v>1929</v>
      </c>
      <c r="B46" s="46" t="s">
        <v>85</v>
      </c>
      <c r="C46" s="46" t="s">
        <v>123</v>
      </c>
      <c r="D46" s="46" t="s">
        <v>859</v>
      </c>
      <c r="E46" s="46" t="s">
        <v>211</v>
      </c>
      <c r="F46" s="46" t="s">
        <v>213</v>
      </c>
      <c r="G46" s="46" t="s">
        <v>1891</v>
      </c>
      <c r="H46" s="46" t="s">
        <v>20</v>
      </c>
      <c r="I46" s="46" t="s">
        <v>381</v>
      </c>
      <c r="J46" s="53">
        <v>46191</v>
      </c>
      <c r="K46" s="46">
        <f>K45+1</f>
        <v>40</v>
      </c>
      <c r="L46" s="123">
        <v>12.059386166583</v>
      </c>
    </row>
    <row r="47" spans="1:12" x14ac:dyDescent="0.25">
      <c r="A47" s="46" t="s">
        <v>1929</v>
      </c>
      <c r="B47" s="46" t="s">
        <v>85</v>
      </c>
      <c r="C47" s="98" t="s">
        <v>64</v>
      </c>
      <c r="D47" s="98" t="s">
        <v>859</v>
      </c>
      <c r="E47" s="98" t="s">
        <v>211</v>
      </c>
      <c r="F47" s="46" t="s">
        <v>213</v>
      </c>
      <c r="G47" s="106" t="s">
        <v>1873</v>
      </c>
      <c r="H47" s="98" t="s">
        <v>20</v>
      </c>
      <c r="I47" s="98" t="s">
        <v>138</v>
      </c>
      <c r="J47" s="53">
        <v>46190</v>
      </c>
      <c r="K47" s="46">
        <f>K46+1</f>
        <v>41</v>
      </c>
      <c r="L47" s="123">
        <v>12</v>
      </c>
    </row>
    <row r="48" spans="1:12" x14ac:dyDescent="0.25">
      <c r="A48" s="46" t="s">
        <v>1929</v>
      </c>
      <c r="B48" s="46" t="s">
        <v>85</v>
      </c>
      <c r="C48" s="46" t="s">
        <v>64</v>
      </c>
      <c r="D48" s="46" t="s">
        <v>859</v>
      </c>
      <c r="E48" s="46" t="s">
        <v>211</v>
      </c>
      <c r="F48" s="46" t="s">
        <v>213</v>
      </c>
      <c r="G48" s="53" t="s">
        <v>1882</v>
      </c>
      <c r="H48" s="46" t="s">
        <v>20</v>
      </c>
      <c r="I48" s="46" t="s">
        <v>145</v>
      </c>
      <c r="J48" s="53">
        <v>46190</v>
      </c>
      <c r="K48" s="46">
        <f>K47+1</f>
        <v>42</v>
      </c>
      <c r="L48" s="123">
        <v>11.800691477855434</v>
      </c>
    </row>
    <row r="49" spans="1:12" x14ac:dyDescent="0.25">
      <c r="A49" s="46" t="s">
        <v>1929</v>
      </c>
      <c r="B49" s="46" t="s">
        <v>85</v>
      </c>
      <c r="C49" s="46" t="s">
        <v>64</v>
      </c>
      <c r="D49" s="46" t="s">
        <v>859</v>
      </c>
      <c r="E49" s="46" t="s">
        <v>211</v>
      </c>
      <c r="F49" s="46" t="s">
        <v>213</v>
      </c>
      <c r="G49" s="46" t="s">
        <v>1878</v>
      </c>
      <c r="H49" s="46" t="s">
        <v>20</v>
      </c>
      <c r="I49" s="46" t="s">
        <v>172</v>
      </c>
      <c r="J49" s="53">
        <v>46190</v>
      </c>
      <c r="K49" s="46">
        <f>K48+1</f>
        <v>43</v>
      </c>
      <c r="L49" s="123">
        <v>11.647435744376793</v>
      </c>
    </row>
    <row r="50" spans="1:12" x14ac:dyDescent="0.25">
      <c r="A50" s="46" t="s">
        <v>1929</v>
      </c>
      <c r="B50" s="46" t="s">
        <v>85</v>
      </c>
      <c r="C50" s="98" t="s">
        <v>123</v>
      </c>
      <c r="D50" s="98" t="s">
        <v>1013</v>
      </c>
      <c r="E50" s="98" t="s">
        <v>211</v>
      </c>
      <c r="F50" s="46" t="s">
        <v>213</v>
      </c>
      <c r="G50" s="98" t="s">
        <v>1906</v>
      </c>
      <c r="H50" s="98" t="s">
        <v>77</v>
      </c>
      <c r="I50" s="98" t="s">
        <v>262</v>
      </c>
      <c r="J50" s="53">
        <v>46192</v>
      </c>
      <c r="K50" s="46">
        <f>K49+1</f>
        <v>44</v>
      </c>
      <c r="L50" s="123">
        <v>11.621236025539901</v>
      </c>
    </row>
    <row r="51" spans="1:12" x14ac:dyDescent="0.25">
      <c r="A51" s="46" t="s">
        <v>1929</v>
      </c>
      <c r="B51" s="46" t="s">
        <v>85</v>
      </c>
      <c r="C51" s="46" t="s">
        <v>64</v>
      </c>
      <c r="D51" s="46" t="s">
        <v>1012</v>
      </c>
      <c r="E51" s="46" t="s">
        <v>211</v>
      </c>
      <c r="F51" s="46" t="s">
        <v>215</v>
      </c>
      <c r="G51" s="46" t="s">
        <v>1866</v>
      </c>
      <c r="H51" s="46" t="s">
        <v>20</v>
      </c>
      <c r="I51" s="46" t="s">
        <v>202</v>
      </c>
      <c r="J51" s="53">
        <v>46188</v>
      </c>
      <c r="K51" s="46">
        <f>K50+1</f>
        <v>45</v>
      </c>
      <c r="L51" s="123">
        <v>11.49418001089815</v>
      </c>
    </row>
    <row r="52" spans="1:12" x14ac:dyDescent="0.25">
      <c r="A52" s="46" t="s">
        <v>1929</v>
      </c>
      <c r="B52" s="46" t="s">
        <v>85</v>
      </c>
      <c r="C52" s="46" t="s">
        <v>123</v>
      </c>
      <c r="D52" s="46" t="s">
        <v>1013</v>
      </c>
      <c r="E52" s="46" t="s">
        <v>211</v>
      </c>
      <c r="F52" s="46" t="s">
        <v>213</v>
      </c>
      <c r="G52" s="46" t="s">
        <v>1836</v>
      </c>
      <c r="H52" s="46" t="s">
        <v>1058</v>
      </c>
      <c r="I52" s="46" t="s">
        <v>154</v>
      </c>
      <c r="J52" s="53">
        <v>46178</v>
      </c>
      <c r="K52" s="46">
        <f>K51+1</f>
        <v>46</v>
      </c>
      <c r="L52" s="123">
        <v>11.483146420810824</v>
      </c>
    </row>
    <row r="53" spans="1:12" x14ac:dyDescent="0.25">
      <c r="A53" s="46" t="s">
        <v>1929</v>
      </c>
      <c r="B53" s="46" t="s">
        <v>85</v>
      </c>
      <c r="C53" s="46" t="s">
        <v>123</v>
      </c>
      <c r="D53" s="46" t="s">
        <v>859</v>
      </c>
      <c r="E53" s="46" t="s">
        <v>211</v>
      </c>
      <c r="F53" s="46" t="s">
        <v>213</v>
      </c>
      <c r="G53" s="46" t="s">
        <v>1867</v>
      </c>
      <c r="H53" s="46" t="s">
        <v>19</v>
      </c>
      <c r="I53" s="46" t="s">
        <v>172</v>
      </c>
      <c r="J53" s="53">
        <v>46188</v>
      </c>
      <c r="K53" s="46">
        <f>K52+1</f>
        <v>47</v>
      </c>
      <c r="L53" s="123">
        <v>11.3705516665472</v>
      </c>
    </row>
    <row r="54" spans="1:12" x14ac:dyDescent="0.25">
      <c r="A54" s="46" t="s">
        <v>1929</v>
      </c>
      <c r="B54" s="46" t="s">
        <v>85</v>
      </c>
      <c r="C54" s="46" t="s">
        <v>114</v>
      </c>
      <c r="D54" s="46" t="s">
        <v>859</v>
      </c>
      <c r="E54" s="46" t="s">
        <v>211</v>
      </c>
      <c r="F54" s="46" t="s">
        <v>213</v>
      </c>
      <c r="G54" s="46" t="s">
        <v>1892</v>
      </c>
      <c r="H54" s="46" t="s">
        <v>19</v>
      </c>
      <c r="I54" s="46" t="s">
        <v>170</v>
      </c>
      <c r="J54" s="53">
        <v>46192</v>
      </c>
      <c r="K54" s="46">
        <f>K53+1</f>
        <v>48</v>
      </c>
      <c r="L54" s="123">
        <v>11.3644887378675</v>
      </c>
    </row>
    <row r="55" spans="1:12" x14ac:dyDescent="0.25">
      <c r="A55" s="46" t="s">
        <v>1929</v>
      </c>
      <c r="B55" s="46" t="s">
        <v>85</v>
      </c>
      <c r="C55" s="46" t="s">
        <v>64</v>
      </c>
      <c r="D55" s="98" t="s">
        <v>859</v>
      </c>
      <c r="E55" s="46" t="s">
        <v>211</v>
      </c>
      <c r="F55" s="46" t="s">
        <v>213</v>
      </c>
      <c r="G55" s="46" t="s">
        <v>1881</v>
      </c>
      <c r="H55" s="46" t="s">
        <v>20</v>
      </c>
      <c r="I55" s="46" t="s">
        <v>279</v>
      </c>
      <c r="J55" s="53">
        <v>46190</v>
      </c>
      <c r="K55" s="46">
        <f>K54+1</f>
        <v>49</v>
      </c>
      <c r="L55" s="123">
        <v>11.187668543940866</v>
      </c>
    </row>
    <row r="56" spans="1:12" x14ac:dyDescent="0.25">
      <c r="A56" s="46" t="s">
        <v>1929</v>
      </c>
      <c r="B56" s="46" t="s">
        <v>85</v>
      </c>
      <c r="C56" s="46" t="s">
        <v>114</v>
      </c>
      <c r="D56" s="46" t="s">
        <v>859</v>
      </c>
      <c r="E56" s="46" t="s">
        <v>211</v>
      </c>
      <c r="F56" s="46" t="s">
        <v>213</v>
      </c>
      <c r="G56" s="53" t="s">
        <v>1899</v>
      </c>
      <c r="H56" s="46" t="s">
        <v>1058</v>
      </c>
      <c r="I56" s="46" t="s">
        <v>216</v>
      </c>
      <c r="J56" s="53">
        <v>46192</v>
      </c>
      <c r="K56" s="46">
        <f>K55+1</f>
        <v>50</v>
      </c>
      <c r="L56" s="123">
        <v>11.164488737867501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6"/>
    </row>
    <row r="58" spans="1:12" ht="15.75" thickBot="1" x14ac:dyDescent="0.3"/>
    <row r="59" spans="1:12" ht="15.75" thickBot="1" x14ac:dyDescent="0.3">
      <c r="C59" s="130" t="s">
        <v>878</v>
      </c>
      <c r="D59" s="131"/>
    </row>
    <row r="60" spans="1:12" x14ac:dyDescent="0.25">
      <c r="A60" s="128" t="s">
        <v>385</v>
      </c>
      <c r="B60" s="47" t="s">
        <v>384</v>
      </c>
      <c r="C60" s="127" t="s">
        <v>1</v>
      </c>
      <c r="D60" s="57" t="s">
        <v>2</v>
      </c>
    </row>
    <row r="61" spans="1:12" x14ac:dyDescent="0.25">
      <c r="A61" s="54" t="s">
        <v>64</v>
      </c>
      <c r="B61" s="67">
        <v>361.64643320813178</v>
      </c>
      <c r="C61" s="69">
        <f>VLOOKUP(A:A,'Updated SES'!B:J,8,0)</f>
        <v>0.52</v>
      </c>
      <c r="D61" s="65">
        <f>VLOOKUP(A:A,'Updated SES'!B:J,9,0)</f>
        <v>0.48</v>
      </c>
      <c r="E61" s="118"/>
    </row>
    <row r="62" spans="1:12" x14ac:dyDescent="0.25">
      <c r="A62" s="54" t="s">
        <v>1849</v>
      </c>
      <c r="B62" s="67">
        <v>329.92806048729369</v>
      </c>
      <c r="C62" s="69">
        <f>VLOOKUP(A:A,'Updated SES'!B:J,8,0)</f>
        <v>0.625</v>
      </c>
      <c r="D62" s="65">
        <f>VLOOKUP(A:A,'Updated SES'!B:J,9,0)</f>
        <v>0.375</v>
      </c>
    </row>
    <row r="63" spans="1:12" x14ac:dyDescent="0.25">
      <c r="A63" s="54" t="s">
        <v>123</v>
      </c>
      <c r="B63" s="67">
        <v>269.72523616315027</v>
      </c>
      <c r="C63" s="69">
        <f>VLOOKUP(A:A,'Updated SES'!B:J,8,0)</f>
        <v>0.49</v>
      </c>
      <c r="D63" s="65">
        <f>VLOOKUP(A:A,'Updated SES'!B:J,9,0)</f>
        <v>0.51</v>
      </c>
    </row>
    <row r="64" spans="1:12" x14ac:dyDescent="0.25">
      <c r="A64" s="54" t="s">
        <v>132</v>
      </c>
      <c r="B64" s="67">
        <v>90.716173394888642</v>
      </c>
      <c r="C64" s="69">
        <f>VLOOKUP(A:A,'Updated SES'!B:J,8,0)</f>
        <v>0.65</v>
      </c>
      <c r="D64" s="65">
        <f>VLOOKUP(A:A,'Updated SES'!B:J,9,0)</f>
        <v>0.35</v>
      </c>
    </row>
    <row r="65" spans="1:4" ht="15.75" thickBot="1" x14ac:dyDescent="0.3">
      <c r="A65" s="55" t="s">
        <v>1229</v>
      </c>
      <c r="B65" s="68">
        <v>61.935931544286262</v>
      </c>
      <c r="C65" s="70">
        <f>VLOOKUP(A:A,'Updated SES'!B:J,8,0)</f>
        <v>0.8</v>
      </c>
      <c r="D65" s="71">
        <f>VLOOKUP(A:A,'Updated SES'!B:J,9,0)</f>
        <v>0.2</v>
      </c>
    </row>
  </sheetData>
  <autoFilter ref="A6:L56" xr:uid="{B07D9D77-D343-4F54-B586-23FE787EB415}"/>
  <mergeCells count="1">
    <mergeCell ref="C59:D5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>
    <tabColor rgb="FFFFC000"/>
  </sheetPr>
  <dimension ref="A1:T124"/>
  <sheetViews>
    <sheetView showGridLines="0" zoomScale="85" zoomScaleNormal="85" workbookViewId="0">
      <selection activeCell="A4" sqref="A4"/>
    </sheetView>
  </sheetViews>
  <sheetFormatPr defaultColWidth="8.85546875" defaultRowHeight="15" x14ac:dyDescent="0.25"/>
  <cols>
    <col min="1" max="1" width="17" bestFit="1" customWidth="1"/>
    <col min="2" max="2" width="14.5703125" bestFit="1" customWidth="1"/>
    <col min="3" max="3" width="21.5703125" bestFit="1" customWidth="1"/>
    <col min="4" max="4" width="23.85546875" bestFit="1" customWidth="1"/>
    <col min="5" max="5" width="16.5703125" bestFit="1" customWidth="1"/>
    <col min="6" max="6" width="11.7109375" bestFit="1" customWidth="1"/>
    <col min="7" max="7" width="58.5703125" bestFit="1" customWidth="1"/>
    <col min="8" max="8" width="77.7109375" style="8" bestFit="1" customWidth="1"/>
    <col min="9" max="9" width="18.7109375" bestFit="1" customWidth="1"/>
    <col min="10" max="10" width="14.140625" bestFit="1" customWidth="1"/>
    <col min="11" max="11" width="29.5703125" bestFit="1" customWidth="1"/>
    <col min="12" max="12" width="16.28515625" bestFit="1" customWidth="1"/>
    <col min="13" max="13" width="11.42578125" bestFit="1" customWidth="1"/>
    <col min="14" max="14" width="13.5703125" bestFit="1" customWidth="1"/>
    <col min="15" max="15" width="16.5703125" bestFit="1" customWidth="1"/>
    <col min="16" max="16" width="17.140625" style="8" bestFit="1" customWidth="1"/>
    <col min="17" max="17" width="12.28515625" style="8" bestFit="1" customWidth="1"/>
    <col min="18" max="18" width="15.140625" style="8" bestFit="1" customWidth="1"/>
    <col min="19" max="19" width="12.28515625" style="8" bestFit="1" customWidth="1"/>
    <col min="20" max="20" width="13" bestFit="1" customWidth="1"/>
  </cols>
  <sheetData>
    <row r="1" spans="1:20" x14ac:dyDescent="0.25">
      <c r="G1" s="72" t="s">
        <v>1860</v>
      </c>
    </row>
    <row r="3" spans="1:20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32" t="s">
        <v>222</v>
      </c>
      <c r="N3" s="132"/>
      <c r="O3" s="117"/>
      <c r="P3" s="117"/>
      <c r="Q3" s="117"/>
      <c r="R3" s="117"/>
      <c r="S3" s="117"/>
      <c r="T3" s="117"/>
    </row>
    <row r="4" spans="1:20" s="8" customFormat="1" ht="30" x14ac:dyDescent="0.25">
      <c r="A4" s="47" t="s">
        <v>205</v>
      </c>
      <c r="B4" s="47" t="s">
        <v>257</v>
      </c>
      <c r="C4" s="47" t="s">
        <v>204</v>
      </c>
      <c r="D4" s="47" t="s">
        <v>437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  <c r="T4" s="105" t="s">
        <v>1909</v>
      </c>
    </row>
    <row r="5" spans="1:20" x14ac:dyDescent="0.25">
      <c r="A5" s="98" t="s">
        <v>1057</v>
      </c>
      <c r="B5" s="98" t="s">
        <v>85</v>
      </c>
      <c r="C5" s="46" t="s">
        <v>1849</v>
      </c>
      <c r="D5" s="46" t="s">
        <v>859</v>
      </c>
      <c r="E5" s="46" t="s">
        <v>211</v>
      </c>
      <c r="F5" s="46" t="s">
        <v>213</v>
      </c>
      <c r="G5" s="46" t="s">
        <v>1859</v>
      </c>
      <c r="H5" s="46" t="s">
        <v>1058</v>
      </c>
      <c r="I5" s="53">
        <v>46177</v>
      </c>
      <c r="J5" s="119">
        <v>3</v>
      </c>
      <c r="K5" s="46" t="s">
        <v>90</v>
      </c>
      <c r="L5" s="123">
        <f>VLOOKUP($C5&amp;$E5,'Updated SES'!A:N,14,0)</f>
        <v>127.11702000000001</v>
      </c>
      <c r="M5" s="124">
        <f>VLOOKUP($K5,'Genre Penetration'!A:B,2,0)*VLOOKUP($C5&amp;$E5,'Updated SES'!A:I,9,0)</f>
        <v>0.48239999999999994</v>
      </c>
      <c r="N5" s="124">
        <f>VLOOKUP(K:K,'Genre Penetration'!A:C,3,0)*VLOOKUP($C5&amp;$E5,'Updated SES'!A:J,10,0)</f>
        <v>9.2399999999999996E-2</v>
      </c>
      <c r="O5" s="124">
        <f>VLOOKUP($B5,'Language Penetration'!$B$1:$BE$14,MATCH('Compile data Working'!$H5,'Language Penetration'!$B$1:$BE$1,0),0)</f>
        <v>0.20400000000000001</v>
      </c>
      <c r="P5" s="124" t="str">
        <f ca="1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27%</v>
      </c>
      <c r="Q5" s="123">
        <f ca="1">IFERROR(L5*(M5+N5)*O5*P5,RANDBETWEEN(1,2)%*L5*(M5+N5)*O5)</f>
        <v>4.0245228193276814</v>
      </c>
      <c r="R5" s="125">
        <f>VLOOKUP(D:D,ranking!W:X,2,0)</f>
        <v>0.7</v>
      </c>
      <c r="S5" s="126">
        <f ca="1">R5*Q5</f>
        <v>2.8171659735293768</v>
      </c>
      <c r="T5" s="123">
        <v>56.557615696652903</v>
      </c>
    </row>
    <row r="6" spans="1:20" x14ac:dyDescent="0.25">
      <c r="A6" s="98" t="s">
        <v>1861</v>
      </c>
      <c r="B6" s="98" t="s">
        <v>85</v>
      </c>
      <c r="C6" s="46" t="s">
        <v>1849</v>
      </c>
      <c r="D6" s="46" t="s">
        <v>437</v>
      </c>
      <c r="E6" s="46" t="s">
        <v>211</v>
      </c>
      <c r="F6" s="46" t="s">
        <v>451</v>
      </c>
      <c r="G6" s="46" t="s">
        <v>1862</v>
      </c>
      <c r="H6" s="46" t="s">
        <v>1927</v>
      </c>
      <c r="I6" s="53">
        <v>46186</v>
      </c>
      <c r="J6" s="98"/>
      <c r="K6" s="46" t="s">
        <v>451</v>
      </c>
      <c r="L6" s="123">
        <f>VLOOKUP($C6&amp;$E6,'Updated SES'!A:N,14,0)</f>
        <v>127.11702000000001</v>
      </c>
      <c r="M6" s="124">
        <f>VLOOKUP($K6,'Genre Penetration'!A:B,2,0)*VLOOKUP($C6&amp;$E6,'Updated SES'!A:I,9,0)</f>
        <v>0.50249999999999995</v>
      </c>
      <c r="N6" s="124">
        <f>VLOOKUP(K:K,'Genre Penetration'!A:C,3,0)*VLOOKUP($C6&amp;$E6,'Updated SES'!A:J,10,0)</f>
        <v>8.249999999999999E-2</v>
      </c>
      <c r="O6" s="124" t="e">
        <f>VLOOKUP($B6,'Language Penetration'!$B$1:$BE$14,MATCH('Compile data Working'!$H6,'Language Penetration'!$B$1:$BE$1,0),0)</f>
        <v>#N/A</v>
      </c>
      <c r="P6" s="124" t="str">
        <f ca="1">IF(ISBLANK(J6),RANDBETWEEN(1,2)&amp;"%",IF(J6=1,RANDBETWEEN(35,40)&amp;"%",IF(J6=2,RANDBETWEEN(30,35)&amp;"%",IF(J6=3,RANDBETWEEN(25,30)&amp;"%",IF(J6=4,RANDBETWEEN(20,25)&amp;"%",IF(J6=5,RANDBETWEEN(15,20)&amp;"%",IF(J6=6,RANDBETWEEN(10,15)&amp;"%",IF(J6=7,RANDBETWEEN(8,10)&amp;"%",IF(J6=8,RANDBETWEEN(6,8)&amp;"%",IF(J6=9,RANDBETWEEN(4,6)&amp;"%",IF(J6=10,RANDBETWEEN(2,4)&amp;"%","")))))))))))</f>
        <v>2%</v>
      </c>
      <c r="Q6" s="123" t="e">
        <f ca="1">IFERROR(L6*(M6+N6)*O6*P6,RANDBETWEEN(1,2)%*L6*(M6+N6)*O6)</f>
        <v>#N/A</v>
      </c>
      <c r="R6" s="125">
        <f>VLOOKUP(D:D,ranking!W:X,2,0)</f>
        <v>0.1</v>
      </c>
      <c r="S6" s="126" t="e">
        <f ca="1">R6*Q6</f>
        <v>#N/A</v>
      </c>
      <c r="T6" s="123">
        <v>46.138629133905653</v>
      </c>
    </row>
    <row r="7" spans="1:20" x14ac:dyDescent="0.25">
      <c r="A7" s="98" t="s">
        <v>1781</v>
      </c>
      <c r="B7" s="98" t="s">
        <v>85</v>
      </c>
      <c r="C7" s="46" t="s">
        <v>1849</v>
      </c>
      <c r="D7" s="98" t="s">
        <v>437</v>
      </c>
      <c r="E7" s="98" t="s">
        <v>211</v>
      </c>
      <c r="F7" s="46" t="s">
        <v>451</v>
      </c>
      <c r="G7" s="46" t="s">
        <v>1853</v>
      </c>
      <c r="H7" s="46" t="s">
        <v>19</v>
      </c>
      <c r="I7" s="129">
        <v>46185</v>
      </c>
      <c r="J7" s="46"/>
      <c r="K7" s="46" t="s">
        <v>902</v>
      </c>
      <c r="L7" s="123">
        <f>VLOOKUP($C7&amp;$E7,'Updated SES'!A:N,14,0)</f>
        <v>127.11702000000001</v>
      </c>
      <c r="M7" s="124">
        <f>VLOOKUP($K7,'Genre Penetration'!A:B,2,0)*VLOOKUP($C7&amp;$E7,'Updated SES'!A:I,9,0)</f>
        <v>0.50249999999999995</v>
      </c>
      <c r="N7" s="124">
        <f>VLOOKUP(K:K,'Genre Penetration'!A:C,3,0)*VLOOKUP($C7&amp;$E7,'Updated SES'!A:J,10,0)</f>
        <v>8.249999999999999E-2</v>
      </c>
      <c r="O7" s="124">
        <f>VLOOKUP($B7,'Language Penetration'!$B$1:$BE$14,MATCH('Compile data Working'!$H7,'Language Penetration'!$B$1:$BE$1,0),0)</f>
        <v>0.6</v>
      </c>
      <c r="P7" s="124" t="str">
        <f ca="1">IF(ISBLANK(J7),RANDBETWEEN(1,2)&amp;"%",IF(J7=1,RANDBETWEEN(35,40)&amp;"%",IF(J7=2,RANDBETWEEN(30,35)&amp;"%",IF(J7=3,RANDBETWEEN(25,30)&amp;"%",IF(J7=4,RANDBETWEEN(20,25)&amp;"%",IF(J7=5,RANDBETWEEN(15,20)&amp;"%",IF(J7=6,RANDBETWEEN(10,15)&amp;"%",IF(J7=7,RANDBETWEEN(8,10)&amp;"%",IF(J7=8,RANDBETWEEN(6,8)&amp;"%",IF(J7=9,RANDBETWEEN(4,6)&amp;"%",IF(J7=10,RANDBETWEEN(2,4)&amp;"%","")))))))))))</f>
        <v>1%</v>
      </c>
      <c r="Q7" s="123">
        <f ca="1">IFERROR(L7*(M7+N7)*O7*P7,RANDBETWEEN(1,2)%*L7*(M7+N7)*O7)</f>
        <v>0.44618074020000004</v>
      </c>
      <c r="R7" s="125">
        <f>VLOOKUP(D:D,ranking!W:X,2,0)</f>
        <v>0.1</v>
      </c>
      <c r="S7" s="126">
        <f ca="1">R7*Q7</f>
        <v>4.4618074020000009E-2</v>
      </c>
      <c r="T7" s="123">
        <v>45.834994698197498</v>
      </c>
    </row>
    <row r="8" spans="1:20" x14ac:dyDescent="0.25">
      <c r="A8" s="98" t="s">
        <v>1057</v>
      </c>
      <c r="B8" s="98" t="s">
        <v>85</v>
      </c>
      <c r="C8" s="98" t="s">
        <v>64</v>
      </c>
      <c r="D8" s="46" t="s">
        <v>859</v>
      </c>
      <c r="E8" s="119" t="s">
        <v>211</v>
      </c>
      <c r="F8" s="46" t="s">
        <v>213</v>
      </c>
      <c r="G8" s="46" t="s">
        <v>1854</v>
      </c>
      <c r="H8" s="46" t="s">
        <v>1911</v>
      </c>
      <c r="I8" s="53">
        <v>46185</v>
      </c>
      <c r="J8" s="119">
        <v>3</v>
      </c>
      <c r="K8" s="46" t="s">
        <v>78</v>
      </c>
      <c r="L8" s="123">
        <f>VLOOKUP($C8&amp;$E8,'Updated SES'!A:N,14,0)</f>
        <v>36.498239999999996</v>
      </c>
      <c r="M8" s="124">
        <f>VLOOKUP($K8,'Genre Penetration'!A:B,2,0)*VLOOKUP($C8&amp;$E8,'Updated SES'!A:I,9,0)</f>
        <v>0.24959999999999999</v>
      </c>
      <c r="N8" s="124">
        <f>VLOOKUP(K:K,'Genre Penetration'!A:C,3,0)*VLOOKUP($C8&amp;$E8,'Updated SES'!A:J,10,0)</f>
        <v>0.24959999999999999</v>
      </c>
      <c r="O8" s="124">
        <f>VLOOKUP($B8,'Language Penetration'!$B$1:$BE$14,MATCH('Compile data Working'!$H23,'Language Penetration'!$B$1:$BE$1,0),0)</f>
        <v>0.17714285714285719</v>
      </c>
      <c r="P8" s="124" t="str">
        <f ca="1">IF(ISBLANK(J8),RANDBETWEEN(1,2)&amp;"%",IF(J8=1,RANDBETWEEN(35,40)&amp;"%",IF(J8=2,RANDBETWEEN(30,35)&amp;"%",IF(J8=3,RANDBETWEEN(25,30)&amp;"%",IF(J8=4,RANDBETWEEN(20,25)&amp;"%",IF(J8=5,RANDBETWEEN(15,20)&amp;"%",IF(J8=6,RANDBETWEEN(10,15)&amp;"%",IF(J8=7,RANDBETWEEN(8,10)&amp;"%",IF(J8=8,RANDBETWEEN(6,8)&amp;"%",IF(J8=9,RANDBETWEEN(4,6)&amp;"%",IF(J8=10,RANDBETWEEN(2,4)&amp;"%","")))))))))))</f>
        <v>30%</v>
      </c>
      <c r="Q8" s="123">
        <f ca="1">IFERROR(L8*(M8+N8)*O8*P8,RANDBETWEEN(1,2)%*L8*(M8+N8)*O8)</f>
        <v>0.96825868053942865</v>
      </c>
      <c r="R8" s="125">
        <f>VLOOKUP(D:D,ranking!W:X,2,0)</f>
        <v>0.7</v>
      </c>
      <c r="S8" s="126">
        <f ca="1">R8*Q8</f>
        <v>0.67778107637759999</v>
      </c>
      <c r="T8" s="123">
        <v>26.9033157825302</v>
      </c>
    </row>
    <row r="9" spans="1:20" x14ac:dyDescent="0.25">
      <c r="A9" s="98" t="s">
        <v>1057</v>
      </c>
      <c r="B9" s="98" t="s">
        <v>85</v>
      </c>
      <c r="C9" s="98" t="s">
        <v>64</v>
      </c>
      <c r="D9" s="98" t="s">
        <v>431</v>
      </c>
      <c r="E9" s="98" t="s">
        <v>211</v>
      </c>
      <c r="F9" s="46" t="s">
        <v>215</v>
      </c>
      <c r="G9" s="46" t="s">
        <v>1856</v>
      </c>
      <c r="H9" s="46" t="s">
        <v>40</v>
      </c>
      <c r="I9" s="53">
        <v>46185</v>
      </c>
      <c r="J9" s="46">
        <v>1</v>
      </c>
      <c r="K9" s="46" t="s">
        <v>202</v>
      </c>
      <c r="L9" s="123">
        <f>VLOOKUP($C9&amp;$E9,'Updated SES'!A:N,14,0)</f>
        <v>36.498239999999996</v>
      </c>
      <c r="M9" s="124">
        <f>VLOOKUP($K9,'Genre Penetration'!A:B,2,0)*VLOOKUP($C9&amp;$E9,'Updated SES'!A:I,9,0)</f>
        <v>0.37440000000000001</v>
      </c>
      <c r="N9" s="124">
        <f>VLOOKUP(K:K,'Genre Penetration'!A:C,3,0)*VLOOKUP($C9&amp;$E9,'Updated SES'!A:J,10,0)</f>
        <v>0.13440000000000002</v>
      </c>
      <c r="O9" s="124">
        <f>VLOOKUP($B9,'Language Penetration'!$B$1:$BE$14,MATCH('Compile data Working'!$H13,'Language Penetration'!$B$1:$BE$1,0),0)</f>
        <v>0.20400000000000001</v>
      </c>
      <c r="P9" s="124" t="str">
        <f ca="1">IF(ISBLANK(J9),RANDBETWEEN(1,2)&amp;"%",IF(J9=1,RANDBETWEEN(35,40)&amp;"%",IF(J9=2,RANDBETWEEN(30,35)&amp;"%",IF(J9=3,RANDBETWEEN(25,30)&amp;"%",IF(J9=4,RANDBETWEEN(20,25)&amp;"%",IF(J9=5,RANDBETWEEN(15,20)&amp;"%",IF(J9=6,RANDBETWEEN(10,15)&amp;"%",IF(J9=7,RANDBETWEEN(8,10)&amp;"%",IF(J9=8,RANDBETWEEN(6,8)&amp;"%",IF(J9=9,RANDBETWEEN(4,6)&amp;"%",IF(J9=10,RANDBETWEEN(2,4)&amp;"%","")))))))))))</f>
        <v>37%</v>
      </c>
      <c r="Q9" s="123">
        <f ca="1">IFERROR(L9*(M9+N9)*O9*P9,RANDBETWEEN(1,2)%*L9*(M9+N9)*O9)</f>
        <v>1.40168658456576</v>
      </c>
      <c r="R9" s="125">
        <f>VLOOKUP(D:D,ranking!W:X,2,0)</f>
        <v>0.6</v>
      </c>
      <c r="S9" s="126">
        <f ca="1">R9*Q9</f>
        <v>0.841011950739456</v>
      </c>
      <c r="T9" s="123">
        <v>26.705002514533899</v>
      </c>
    </row>
    <row r="10" spans="1:20" x14ac:dyDescent="0.25">
      <c r="A10" s="98" t="s">
        <v>1057</v>
      </c>
      <c r="B10" s="98" t="s">
        <v>85</v>
      </c>
      <c r="C10" s="46" t="s">
        <v>1229</v>
      </c>
      <c r="D10" s="46" t="s">
        <v>433</v>
      </c>
      <c r="E10" s="46" t="s">
        <v>219</v>
      </c>
      <c r="F10" s="46" t="s">
        <v>215</v>
      </c>
      <c r="G10" s="46" t="s">
        <v>1888</v>
      </c>
      <c r="H10" s="46" t="s">
        <v>19</v>
      </c>
      <c r="I10" s="53">
        <v>46191</v>
      </c>
      <c r="J10" s="46">
        <v>1</v>
      </c>
      <c r="K10" s="46" t="s">
        <v>202</v>
      </c>
      <c r="L10" s="123">
        <f>VLOOKUP($C10&amp;$E10,'Updated SES'!A:N,14,0)</f>
        <v>78.939870000000013</v>
      </c>
      <c r="M10" s="124">
        <f>VLOOKUP($K10,'Genre Penetration'!A:B,2,0)*VLOOKUP($C10&amp;$E10,'Updated SES'!A:I,9,0)</f>
        <v>0.57599999999999996</v>
      </c>
      <c r="N10" s="124">
        <f>VLOOKUP(K:K,'Genre Penetration'!A:C,3,0)*VLOOKUP($C10&amp;$E10,'Updated SES'!A:J,10,0)</f>
        <v>5.6000000000000008E-2</v>
      </c>
      <c r="O10" s="124">
        <f>VLOOKUP($B10,'Language Penetration'!$B$1:$BE$14,MATCH('Compile data Working'!$H9,'Language Penetration'!$B$1:$BE$1,0),0)</f>
        <v>0.28333333333333333</v>
      </c>
      <c r="P10" s="124" t="str">
        <f ca="1">IF(ISBLANK(J10),RANDBETWEEN(1,2)&amp;"%",IF(J10=1,RANDBETWEEN(35,40)&amp;"%",IF(J10=2,RANDBETWEEN(30,35)&amp;"%",IF(J10=3,RANDBETWEEN(25,30)&amp;"%",IF(J10=4,RANDBETWEEN(20,25)&amp;"%",IF(J10=5,RANDBETWEEN(15,20)&amp;"%",IF(J10=6,RANDBETWEEN(10,15)&amp;"%",IF(J10=7,RANDBETWEEN(8,10)&amp;"%",IF(J10=8,RANDBETWEEN(6,8)&amp;"%",IF(J10=9,RANDBETWEEN(4,6)&amp;"%",IF(J10=10,RANDBETWEEN(2,4)&amp;"%","")))))))))))</f>
        <v>38%</v>
      </c>
      <c r="Q10" s="123">
        <f ca="1">IFERROR(L10*(M10+N10)*O10*P10,RANDBETWEEN(1,2)%*L10*(M10+N10)*O10)</f>
        <v>5.3714897674400008</v>
      </c>
      <c r="R10" s="125">
        <f>VLOOKUP(D:D,ranking!W:X,2,0)</f>
        <v>0.6</v>
      </c>
      <c r="S10" s="126">
        <f ca="1">R10*Q10</f>
        <v>3.2228938604640005</v>
      </c>
      <c r="T10" s="123">
        <v>24.8702063569065</v>
      </c>
    </row>
    <row r="11" spans="1:20" x14ac:dyDescent="0.25">
      <c r="A11" s="98" t="s">
        <v>1781</v>
      </c>
      <c r="B11" s="98" t="s">
        <v>85</v>
      </c>
      <c r="C11" s="46" t="s">
        <v>1849</v>
      </c>
      <c r="D11" s="46" t="s">
        <v>456</v>
      </c>
      <c r="E11" s="119" t="s">
        <v>211</v>
      </c>
      <c r="F11" s="46" t="s">
        <v>1908</v>
      </c>
      <c r="G11" s="98" t="s">
        <v>1796</v>
      </c>
      <c r="H11" s="46" t="s">
        <v>19</v>
      </c>
      <c r="I11" s="129">
        <v>45983</v>
      </c>
      <c r="J11" s="98">
        <v>2</v>
      </c>
      <c r="K11" s="46" t="s">
        <v>1122</v>
      </c>
      <c r="L11" s="123">
        <f>VLOOKUP($C11&amp;$E11,'Updated SES'!A:N,14,0)</f>
        <v>127.11702000000001</v>
      </c>
      <c r="M11" s="124">
        <f>VLOOKUP($K11,'Genre Penetration'!A:B,2,0)*VLOOKUP($C11&amp;$E11,'Updated SES'!A:I,9,0)</f>
        <v>0.33499999999999996</v>
      </c>
      <c r="N11" s="124">
        <f>VLOOKUP(K:K,'Genre Penetration'!A:C,3,0)*VLOOKUP($C11&amp;$E11,'Updated SES'!A:J,10,0)</f>
        <v>0.16499999999999998</v>
      </c>
      <c r="O11" s="124">
        <f>VLOOKUP($B11,'Language Penetration'!$B$1:$BE$14,MATCH('Compile data Working'!$H10,'Language Penetration'!$B$1:$BE$1,0),0)</f>
        <v>0.6</v>
      </c>
      <c r="P11" s="124" t="str">
        <f ca="1">IF(ISBLANK(J11),RANDBETWEEN(1,2)&amp;"%",IF(J11=1,RANDBETWEEN(35,40)&amp;"%",IF(J11=2,RANDBETWEEN(30,35)&amp;"%",IF(J11=3,RANDBETWEEN(25,30)&amp;"%",IF(J11=4,RANDBETWEEN(20,25)&amp;"%",IF(J11=5,RANDBETWEEN(15,20)&amp;"%",IF(J11=6,RANDBETWEEN(10,15)&amp;"%",IF(J11=7,RANDBETWEEN(8,10)&amp;"%",IF(J11=8,RANDBETWEEN(6,8)&amp;"%",IF(J11=9,RANDBETWEEN(4,6)&amp;"%",IF(J11=10,RANDBETWEEN(2,4)&amp;"%","")))))))))))</f>
        <v>34%</v>
      </c>
      <c r="Q11" s="123">
        <f ca="1">IFERROR(L11*(M11+N11)*O11*P11,RANDBETWEEN(1,2)%*L11*(M11+N11)*O11)</f>
        <v>12.965936040000001</v>
      </c>
      <c r="R11" s="125">
        <f>VLOOKUP(D:D,ranking!W:X,2,0)</f>
        <v>0.3</v>
      </c>
      <c r="S11" s="126">
        <f ca="1">R11*Q11</f>
        <v>3.8897808120000001</v>
      </c>
      <c r="T11" s="123">
        <v>21.996204599779613</v>
      </c>
    </row>
    <row r="12" spans="1:20" x14ac:dyDescent="0.25">
      <c r="A12" s="98" t="s">
        <v>1057</v>
      </c>
      <c r="B12" s="98" t="s">
        <v>85</v>
      </c>
      <c r="C12" s="46" t="s">
        <v>1849</v>
      </c>
      <c r="D12" s="46" t="s">
        <v>431</v>
      </c>
      <c r="E12" s="46" t="s">
        <v>211</v>
      </c>
      <c r="F12" s="46" t="s">
        <v>215</v>
      </c>
      <c r="G12" s="46" t="s">
        <v>1904</v>
      </c>
      <c r="H12" s="46" t="s">
        <v>1910</v>
      </c>
      <c r="I12" s="53">
        <v>46192</v>
      </c>
      <c r="J12" s="46">
        <v>1</v>
      </c>
      <c r="K12" s="46" t="s">
        <v>279</v>
      </c>
      <c r="L12" s="123">
        <f>VLOOKUP($C12&amp;$E12,'Updated SES'!A:N,14,0)</f>
        <v>127.11702000000001</v>
      </c>
      <c r="M12" s="124">
        <f>VLOOKUP($K12,'Genre Penetration'!A:B,2,0)*VLOOKUP($C12&amp;$E12,'Updated SES'!A:I,9,0)</f>
        <v>0.30149999999999999</v>
      </c>
      <c r="N12" s="124">
        <f>VLOOKUP(K:K,'Genre Penetration'!A:C,3,0)*VLOOKUP($C12&amp;$E12,'Updated SES'!A:J,10,0)</f>
        <v>0.18149999999999999</v>
      </c>
      <c r="O12" s="124">
        <f>VLOOKUP($B12,'Language Penetration'!$B$1:$BE$14,MATCH('Compile data Working'!$H11,'Language Penetration'!$B$1:$BE$1,0),0)</f>
        <v>0.6</v>
      </c>
      <c r="P12" s="124" t="str">
        <f ca="1">IF(ISBLANK(J12),RANDBETWEEN(1,2)&amp;"%",IF(J12=1,RANDBETWEEN(35,40)&amp;"%",IF(J12=2,RANDBETWEEN(30,35)&amp;"%",IF(J12=3,RANDBETWEEN(25,30)&amp;"%",IF(J12=4,RANDBETWEEN(20,25)&amp;"%",IF(J12=5,RANDBETWEEN(15,20)&amp;"%",IF(J12=6,RANDBETWEEN(10,15)&amp;"%",IF(J12=7,RANDBETWEEN(8,10)&amp;"%",IF(J12=8,RANDBETWEEN(6,8)&amp;"%",IF(J12=9,RANDBETWEEN(4,6)&amp;"%",IF(J12=10,RANDBETWEEN(2,4)&amp;"%","")))))))))))</f>
        <v>37%</v>
      </c>
      <c r="Q12" s="123">
        <f ca="1">IFERROR(L12*(M12+N12)*O12*P12,RANDBETWEEN(1,2)%*L12*(M12+N12)*O12)</f>
        <v>13.63024958652</v>
      </c>
      <c r="R12" s="125">
        <f>VLOOKUP(D:D,ranking!W:X,2,0)</f>
        <v>0.6</v>
      </c>
      <c r="S12" s="126">
        <f ca="1">R12*Q12</f>
        <v>8.1781497519119988</v>
      </c>
      <c r="T12" s="123">
        <v>21.448857611588</v>
      </c>
    </row>
    <row r="13" spans="1:20" x14ac:dyDescent="0.25">
      <c r="A13" s="98" t="s">
        <v>1057</v>
      </c>
      <c r="B13" s="98" t="s">
        <v>85</v>
      </c>
      <c r="C13" s="46" t="s">
        <v>123</v>
      </c>
      <c r="D13" s="46" t="s">
        <v>859</v>
      </c>
      <c r="E13" s="46" t="s">
        <v>211</v>
      </c>
      <c r="F13" s="46" t="s">
        <v>213</v>
      </c>
      <c r="G13" s="46" t="s">
        <v>1895</v>
      </c>
      <c r="H13" s="46" t="s">
        <v>1058</v>
      </c>
      <c r="I13" s="53">
        <v>46192</v>
      </c>
      <c r="J13" s="119">
        <v>2</v>
      </c>
      <c r="K13" s="46" t="s">
        <v>90</v>
      </c>
      <c r="L13" s="123">
        <f>VLOOKUP($C13&amp;$E13,'Updated SES'!A:N,14,0)</f>
        <v>55.459200000000003</v>
      </c>
      <c r="M13" s="124">
        <f>VLOOKUP($K13,'Genre Penetration'!A:B,2,0)*VLOOKUP($C13&amp;$E13,'Updated SES'!A:I,9,0)</f>
        <v>0.3528</v>
      </c>
      <c r="N13" s="124">
        <f>VLOOKUP(K:K,'Genre Penetration'!A:C,3,0)*VLOOKUP($C13&amp;$E13,'Updated SES'!A:J,10,0)</f>
        <v>0.14280000000000001</v>
      </c>
      <c r="O13" s="124" t="e">
        <f>VLOOKUP($B13,'Language Penetration'!$B$1:$BE$14,MATCH('Compile data Working'!$H12,'Language Penetration'!$B$1:$BE$1,0),0)</f>
        <v>#N/A</v>
      </c>
      <c r="P13" s="124" t="str">
        <f ca="1">IF(ISBLANK(J13),RANDBETWEEN(1,2)&amp;"%",IF(J13=1,RANDBETWEEN(35,40)&amp;"%",IF(J13=2,RANDBETWEEN(30,35)&amp;"%",IF(J13=3,RANDBETWEEN(25,30)&amp;"%",IF(J13=4,RANDBETWEEN(20,25)&amp;"%",IF(J13=5,RANDBETWEEN(15,20)&amp;"%",IF(J13=6,RANDBETWEEN(10,15)&amp;"%",IF(J13=7,RANDBETWEEN(8,10)&amp;"%",IF(J13=8,RANDBETWEEN(6,8)&amp;"%",IF(J13=9,RANDBETWEEN(4,6)&amp;"%",IF(J13=10,RANDBETWEEN(2,4)&amp;"%","")))))))))))</f>
        <v>35%</v>
      </c>
      <c r="Q13" s="123" t="e">
        <f ca="1">IFERROR(L13*(M13+N13)*O13*P13,RANDBETWEEN(1,2)%*L13*(M13+N13)*O13)</f>
        <v>#N/A</v>
      </c>
      <c r="R13" s="125">
        <f>VLOOKUP(D:D,ranking!W:X,2,0)</f>
        <v>0.7</v>
      </c>
      <c r="S13" s="126" t="e">
        <f ca="1">R13*Q13</f>
        <v>#N/A</v>
      </c>
      <c r="T13" s="123">
        <v>21.295893846043601</v>
      </c>
    </row>
    <row r="14" spans="1:20" x14ac:dyDescent="0.25">
      <c r="A14" s="98" t="s">
        <v>1057</v>
      </c>
      <c r="B14" s="98" t="s">
        <v>85</v>
      </c>
      <c r="C14" s="46" t="s">
        <v>123</v>
      </c>
      <c r="D14" s="46" t="s">
        <v>859</v>
      </c>
      <c r="E14" s="46" t="s">
        <v>211</v>
      </c>
      <c r="F14" s="46" t="s">
        <v>213</v>
      </c>
      <c r="G14" s="46" t="s">
        <v>1851</v>
      </c>
      <c r="H14" s="46" t="s">
        <v>19</v>
      </c>
      <c r="I14" s="53">
        <v>46185</v>
      </c>
      <c r="J14" s="46">
        <v>1</v>
      </c>
      <c r="K14" s="46" t="s">
        <v>149</v>
      </c>
      <c r="L14" s="123">
        <f>VLOOKUP($C14&amp;$E14,'Updated SES'!A:N,14,0)</f>
        <v>55.459200000000003</v>
      </c>
      <c r="M14" s="124">
        <f>VLOOKUP($K14,'Genre Penetration'!A:B,2,0)*VLOOKUP($C14&amp;$E14,'Updated SES'!A:I,9,0)</f>
        <v>0.2989</v>
      </c>
      <c r="N14" s="124">
        <f>VLOOKUP(K:K,'Genre Penetration'!A:C,3,0)*VLOOKUP($C14&amp;$E14,'Updated SES'!A:J,10,0)</f>
        <v>0.19890000000000002</v>
      </c>
      <c r="O14" s="124">
        <f>VLOOKUP($B14,'Language Penetration'!$B$1:$BE$14,MATCH('Compile data Working'!$H42,'Language Penetration'!$B$1:$BE$1,0),0)</f>
        <v>0.2</v>
      </c>
      <c r="P14" s="124" t="str">
        <f ca="1">IF(ISBLANK(J14),RANDBETWEEN(1,2)&amp;"%",IF(J14=1,RANDBETWEEN(35,40)&amp;"%",IF(J14=2,RANDBETWEEN(30,35)&amp;"%",IF(J14=3,RANDBETWEEN(25,30)&amp;"%",IF(J14=4,RANDBETWEEN(20,25)&amp;"%",IF(J14=5,RANDBETWEEN(15,20)&amp;"%",IF(J14=6,RANDBETWEEN(10,15)&amp;"%",IF(J14=7,RANDBETWEEN(8,10)&amp;"%",IF(J14=8,RANDBETWEEN(6,8)&amp;"%",IF(J14=9,RANDBETWEEN(4,6)&amp;"%",IF(J14=10,RANDBETWEEN(2,4)&amp;"%","")))))))))))</f>
        <v>37%</v>
      </c>
      <c r="Q14" s="123">
        <f ca="1">IFERROR(L14*(M14+N14)*O14*P14,RANDBETWEEN(1,2)%*L14*(M14+N14)*O14)</f>
        <v>2.0429616422400003</v>
      </c>
      <c r="R14" s="125">
        <f>VLOOKUP(D:D,ranking!W:X,2,0)</f>
        <v>0.7</v>
      </c>
      <c r="S14" s="126">
        <f ca="1">R14*Q14</f>
        <v>1.4300731495680001</v>
      </c>
      <c r="T14" s="123">
        <v>19.5276260108641</v>
      </c>
    </row>
    <row r="15" spans="1:20" x14ac:dyDescent="0.25">
      <c r="A15" s="98" t="s">
        <v>1057</v>
      </c>
      <c r="B15" s="98" t="s">
        <v>85</v>
      </c>
      <c r="C15" s="98" t="s">
        <v>64</v>
      </c>
      <c r="D15" s="46" t="s">
        <v>1013</v>
      </c>
      <c r="E15" s="98" t="s">
        <v>211</v>
      </c>
      <c r="F15" s="46" t="s">
        <v>213</v>
      </c>
      <c r="G15" s="46" t="s">
        <v>1887</v>
      </c>
      <c r="H15" s="46" t="s">
        <v>1432</v>
      </c>
      <c r="I15" s="53">
        <v>46190</v>
      </c>
      <c r="J15" s="119">
        <v>5</v>
      </c>
      <c r="K15" s="46" t="s">
        <v>172</v>
      </c>
      <c r="L15" s="123">
        <f>VLOOKUP($C15&amp;$E15,'Updated SES'!A:N,14,0)</f>
        <v>36.498239999999996</v>
      </c>
      <c r="M15" s="124">
        <f>VLOOKUP($K15,'Genre Penetration'!A:B,2,0)*VLOOKUP($C15&amp;$E15,'Updated SES'!A:I,9,0)</f>
        <v>0.20800000000000002</v>
      </c>
      <c r="N15" s="124">
        <f>VLOOKUP(K:K,'Genre Penetration'!A:C,3,0)*VLOOKUP($C15&amp;$E15,'Updated SES'!A:J,10,0)</f>
        <v>0.28799999999999998</v>
      </c>
      <c r="O15" s="124" t="e">
        <f>VLOOKUP($B15,'Language Penetration'!$B$1:$BE$14,MATCH('Compile data Working'!$H8,'Language Penetration'!$B$1:$BE$1,0),0)</f>
        <v>#N/A</v>
      </c>
      <c r="P15" s="124" t="str">
        <f ca="1">IF(ISBLANK(J15),RANDBETWEEN(1,2)&amp;"%",IF(J15=1,RANDBETWEEN(35,40)&amp;"%",IF(J15=2,RANDBETWEEN(30,35)&amp;"%",IF(J15=3,RANDBETWEEN(25,30)&amp;"%",IF(J15=4,RANDBETWEEN(20,25)&amp;"%",IF(J15=5,RANDBETWEEN(15,20)&amp;"%",IF(J15=6,RANDBETWEEN(10,15)&amp;"%",IF(J15=7,RANDBETWEEN(8,10)&amp;"%",IF(J15=8,RANDBETWEEN(6,8)&amp;"%",IF(J15=9,RANDBETWEEN(4,6)&amp;"%",IF(J15=10,RANDBETWEEN(2,4)&amp;"%","")))))))))))</f>
        <v>19%</v>
      </c>
      <c r="Q15" s="123" t="e">
        <f ca="1">IFERROR(L15*(M15+N15)*O15*P15,RANDBETWEEN(1,2)%*L15*(M15+N15)*O15)</f>
        <v>#N/A</v>
      </c>
      <c r="R15" s="125">
        <f>VLOOKUP(D:D,ranking!W:X,2,0)</f>
        <v>0.8</v>
      </c>
      <c r="S15" s="126" t="e">
        <f ca="1">R15*Q15</f>
        <v>#N/A</v>
      </c>
      <c r="T15" s="101">
        <v>18.9232453522235</v>
      </c>
    </row>
    <row r="16" spans="1:20" x14ac:dyDescent="0.25">
      <c r="A16" s="98" t="s">
        <v>1781</v>
      </c>
      <c r="B16" s="98" t="s">
        <v>85</v>
      </c>
      <c r="C16" s="46" t="s">
        <v>1849</v>
      </c>
      <c r="D16" s="46" t="s">
        <v>456</v>
      </c>
      <c r="E16" s="98" t="s">
        <v>211</v>
      </c>
      <c r="F16" s="46" t="s">
        <v>1908</v>
      </c>
      <c r="G16" s="46" t="s">
        <v>1784</v>
      </c>
      <c r="H16" s="46" t="s">
        <v>19</v>
      </c>
      <c r="I16" s="129">
        <v>44025</v>
      </c>
      <c r="J16" s="46"/>
      <c r="K16" s="46" t="s">
        <v>216</v>
      </c>
      <c r="L16" s="123">
        <f>VLOOKUP($C16&amp;$E16,'Updated SES'!A:N,14,0)</f>
        <v>127.11702000000001</v>
      </c>
      <c r="M16" s="124">
        <f>VLOOKUP($K16,'Genre Penetration'!A:B,2,0)*VLOOKUP($C16&amp;$E16,'Updated SES'!A:I,9,0)</f>
        <v>0.33499999999999996</v>
      </c>
      <c r="N16" s="124">
        <f>VLOOKUP(K:K,'Genre Penetration'!A:C,3,0)*VLOOKUP($C16&amp;$E16,'Updated SES'!A:J,10,0)</f>
        <v>0.16499999999999998</v>
      </c>
      <c r="O16" s="124">
        <f>VLOOKUP($B16,'Language Penetration'!$B$1:$BE$14,MATCH('Compile data Working'!$H17,'Language Penetration'!$B$1:$BE$1,0),0)</f>
        <v>0.4</v>
      </c>
      <c r="P16" s="124" t="str">
        <f ca="1">IF(ISBLANK(J16),RANDBETWEEN(1,2)&amp;"%",IF(J16=1,RANDBETWEEN(35,40)&amp;"%",IF(J16=2,RANDBETWEEN(30,35)&amp;"%",IF(J16=3,RANDBETWEEN(25,30)&amp;"%",IF(J16=4,RANDBETWEEN(20,25)&amp;"%",IF(J16=5,RANDBETWEEN(15,20)&amp;"%",IF(J16=6,RANDBETWEEN(10,15)&amp;"%",IF(J16=7,RANDBETWEEN(8,10)&amp;"%",IF(J16=8,RANDBETWEEN(6,8)&amp;"%",IF(J16=9,RANDBETWEEN(4,6)&amp;"%",IF(J16=10,RANDBETWEEN(2,4)&amp;"%","")))))))))))</f>
        <v>1%</v>
      </c>
      <c r="Q16" s="123">
        <f ca="1">IFERROR(L16*(M16+N16)*O16*P16,RANDBETWEEN(1,2)%*L16*(M16+N16)*O16)</f>
        <v>0.25423403999999999</v>
      </c>
      <c r="R16" s="125">
        <f>VLOOKUP(D:D,ranking!W:X,2,0)</f>
        <v>0.3</v>
      </c>
      <c r="S16" s="126">
        <f ca="1">R16*Q16</f>
        <v>7.627021199999999E-2</v>
      </c>
      <c r="T16" s="123">
        <v>18.374667562276223</v>
      </c>
    </row>
    <row r="17" spans="1:20" x14ac:dyDescent="0.25">
      <c r="A17" s="98" t="s">
        <v>1057</v>
      </c>
      <c r="B17" s="98" t="s">
        <v>85</v>
      </c>
      <c r="C17" s="98" t="s">
        <v>64</v>
      </c>
      <c r="D17" s="98" t="s">
        <v>431</v>
      </c>
      <c r="E17" s="98" t="s">
        <v>211</v>
      </c>
      <c r="F17" s="46" t="s">
        <v>215</v>
      </c>
      <c r="G17" s="119" t="s">
        <v>1808</v>
      </c>
      <c r="H17" s="119" t="s">
        <v>1818</v>
      </c>
      <c r="I17" s="121">
        <v>46131</v>
      </c>
      <c r="J17" s="119">
        <v>9</v>
      </c>
      <c r="K17" s="119" t="s">
        <v>201</v>
      </c>
      <c r="L17" s="123">
        <f>VLOOKUP($C17&amp;$E17,'Updated SES'!A:N,14,0)</f>
        <v>36.498239999999996</v>
      </c>
      <c r="M17" s="124">
        <f>VLOOKUP($K17,'Genre Penetration'!A:B,2,0)*VLOOKUP($C17&amp;$E17,'Updated SES'!A:I,9,0)</f>
        <v>0.28600000000000003</v>
      </c>
      <c r="N17" s="124">
        <f>VLOOKUP(K:K,'Genre Penetration'!A:C,3,0)*VLOOKUP($C17&amp;$E17,'Updated SES'!A:J,10,0)</f>
        <v>0.216</v>
      </c>
      <c r="O17" s="124">
        <f>VLOOKUP($B17,'Language Penetration'!$B$1:$BE$14,MATCH('Compile data Working'!$H18,'Language Penetration'!$B$1:$BE$1,0),0)</f>
        <v>0.6</v>
      </c>
      <c r="P17" s="124" t="str">
        <f ca="1">IF(ISBLANK(J17),RANDBETWEEN(1,2)&amp;"%",IF(J17=1,RANDBETWEEN(35,40)&amp;"%",IF(J17=2,RANDBETWEEN(30,35)&amp;"%",IF(J17=3,RANDBETWEEN(25,30)&amp;"%",IF(J17=4,RANDBETWEEN(20,25)&amp;"%",IF(J17=5,RANDBETWEEN(15,20)&amp;"%",IF(J17=6,RANDBETWEEN(10,15)&amp;"%",IF(J17=7,RANDBETWEEN(8,10)&amp;"%",IF(J17=8,RANDBETWEEN(6,8)&amp;"%",IF(J17=9,RANDBETWEEN(4,6)&amp;"%",IF(J17=10,RANDBETWEEN(2,4)&amp;"%","")))))))))))</f>
        <v>4%</v>
      </c>
      <c r="Q17" s="123">
        <f ca="1">IFERROR(L17*(M17+N17)*O17*P17,RANDBETWEEN(1,2)%*L17*(M17+N17)*O17)</f>
        <v>0.43973079551999994</v>
      </c>
      <c r="R17" s="125">
        <f>VLOOKUP(D:D,ranking!W:X,2,0)</f>
        <v>0.6</v>
      </c>
      <c r="S17" s="126">
        <f ca="1">R17*Q17</f>
        <v>0.26383847731199994</v>
      </c>
      <c r="T17" s="123">
        <v>17.994455269978001</v>
      </c>
    </row>
    <row r="18" spans="1:20" x14ac:dyDescent="0.25">
      <c r="A18" s="98" t="s">
        <v>1057</v>
      </c>
      <c r="B18" s="98" t="s">
        <v>85</v>
      </c>
      <c r="C18" s="98" t="s">
        <v>64</v>
      </c>
      <c r="D18" s="98" t="s">
        <v>431</v>
      </c>
      <c r="E18" s="98" t="s">
        <v>211</v>
      </c>
      <c r="F18" s="46" t="s">
        <v>215</v>
      </c>
      <c r="G18" s="46" t="s">
        <v>1839</v>
      </c>
      <c r="H18" s="46" t="s">
        <v>19</v>
      </c>
      <c r="I18" s="53">
        <v>46178</v>
      </c>
      <c r="J18" s="119">
        <v>6</v>
      </c>
      <c r="K18" s="46" t="s">
        <v>138</v>
      </c>
      <c r="L18" s="123">
        <f>VLOOKUP($C18&amp;$E18,'Updated SES'!A:N,14,0)</f>
        <v>36.498239999999996</v>
      </c>
      <c r="M18" s="124">
        <f>VLOOKUP($K18,'Genre Penetration'!A:B,2,0)*VLOOKUP($C18&amp;$E18,'Updated SES'!A:I,9,0)</f>
        <v>0.24440000000000001</v>
      </c>
      <c r="N18" s="124">
        <f>VLOOKUP(K:K,'Genre Penetration'!A:C,3,0)*VLOOKUP($C18&amp;$E18,'Updated SES'!A:J,10,0)</f>
        <v>0.25440000000000002</v>
      </c>
      <c r="O18" s="124">
        <f>VLOOKUP($B18,'Language Penetration'!$B$1:$BE$14,MATCH('Compile data Working'!$H20,'Language Penetration'!$B$1:$BE$1,0),0)</f>
        <v>0.6</v>
      </c>
      <c r="P18" s="124" t="str">
        <f ca="1">IF(ISBLANK(J18),RANDBETWEEN(1,2)&amp;"%",IF(J18=1,RANDBETWEEN(35,40)&amp;"%",IF(J18=2,RANDBETWEEN(30,35)&amp;"%",IF(J18=3,RANDBETWEEN(25,30)&amp;"%",IF(J18=4,RANDBETWEEN(20,25)&amp;"%",IF(J18=5,RANDBETWEEN(15,20)&amp;"%",IF(J18=6,RANDBETWEEN(10,15)&amp;"%",IF(J18=7,RANDBETWEEN(8,10)&amp;"%",IF(J18=8,RANDBETWEEN(6,8)&amp;"%",IF(J18=9,RANDBETWEEN(4,6)&amp;"%",IF(J18=10,RANDBETWEEN(2,4)&amp;"%","")))))))))))</f>
        <v>10%</v>
      </c>
      <c r="Q18" s="123">
        <f ca="1">IFERROR(L18*(M18+N18)*O18*P18,RANDBETWEEN(1,2)%*L18*(M18+N18)*O18)</f>
        <v>1.09231932672</v>
      </c>
      <c r="R18" s="125">
        <f>VLOOKUP(D:D,ranking!W:X,2,0)</f>
        <v>0.6</v>
      </c>
      <c r="S18" s="126">
        <f ca="1">R18*Q18</f>
        <v>0.65539159603199992</v>
      </c>
      <c r="T18" s="123">
        <v>17.507985762893501</v>
      </c>
    </row>
    <row r="19" spans="1:20" x14ac:dyDescent="0.25">
      <c r="A19" s="98" t="s">
        <v>1057</v>
      </c>
      <c r="B19" s="98" t="s">
        <v>85</v>
      </c>
      <c r="C19" s="98" t="s">
        <v>64</v>
      </c>
      <c r="D19" s="46" t="s">
        <v>859</v>
      </c>
      <c r="E19" s="119" t="s">
        <v>211</v>
      </c>
      <c r="F19" s="46" t="s">
        <v>213</v>
      </c>
      <c r="G19" s="46" t="s">
        <v>1889</v>
      </c>
      <c r="H19" s="46" t="s">
        <v>1059</v>
      </c>
      <c r="I19" s="53">
        <v>46191</v>
      </c>
      <c r="J19" s="119">
        <v>2</v>
      </c>
      <c r="K19" s="46" t="s">
        <v>202</v>
      </c>
      <c r="L19" s="123">
        <f>VLOOKUP($C19&amp;$E19,'Updated SES'!A:N,14,0)</f>
        <v>36.498239999999996</v>
      </c>
      <c r="M19" s="124">
        <f>VLOOKUP($K19,'Genre Penetration'!A:B,2,0)*VLOOKUP($C19&amp;$E19,'Updated SES'!A:I,9,0)</f>
        <v>0.37440000000000001</v>
      </c>
      <c r="N19" s="124">
        <f>VLOOKUP(K:K,'Genre Penetration'!A:C,3,0)*VLOOKUP($C19&amp;$E19,'Updated SES'!A:J,10,0)</f>
        <v>0.13440000000000002</v>
      </c>
      <c r="O19" s="124">
        <f>VLOOKUP($B19,'Language Penetration'!$B$1:$BE$14,MATCH('Compile data Working'!$H25,'Language Penetration'!$B$1:$BE$1,0),0)</f>
        <v>0.2</v>
      </c>
      <c r="P19" s="124" t="str">
        <f ca="1">IF(ISBLANK(J19),RANDBETWEEN(1,2)&amp;"%",IF(J19=1,RANDBETWEEN(35,40)&amp;"%",IF(J19=2,RANDBETWEEN(30,35)&amp;"%",IF(J19=3,RANDBETWEEN(25,30)&amp;"%",IF(J19=4,RANDBETWEEN(20,25)&amp;"%",IF(J19=5,RANDBETWEEN(15,20)&amp;"%",IF(J19=6,RANDBETWEEN(10,15)&amp;"%",IF(J19=7,RANDBETWEEN(8,10)&amp;"%",IF(J19=8,RANDBETWEEN(6,8)&amp;"%",IF(J19=9,RANDBETWEEN(4,6)&amp;"%",IF(J19=10,RANDBETWEEN(2,4)&amp;"%","")))))))))))</f>
        <v>35%</v>
      </c>
      <c r="Q19" s="123">
        <f ca="1">IFERROR(L19*(M19+N19)*O19*P19,RANDBETWEEN(1,2)%*L19*(M19+N19)*O19)</f>
        <v>1.2999213158399998</v>
      </c>
      <c r="R19" s="125">
        <f>VLOOKUP(D:D,ranking!W:X,2,0)</f>
        <v>0.7</v>
      </c>
      <c r="S19" s="126">
        <f ca="1">R19*Q19</f>
        <v>0.90994492108799985</v>
      </c>
      <c r="T19" s="123">
        <v>16.858130682650621</v>
      </c>
    </row>
    <row r="20" spans="1:20" x14ac:dyDescent="0.25">
      <c r="A20" s="98" t="s">
        <v>1057</v>
      </c>
      <c r="B20" s="98" t="s">
        <v>85</v>
      </c>
      <c r="C20" s="98" t="s">
        <v>64</v>
      </c>
      <c r="D20" s="46" t="s">
        <v>859</v>
      </c>
      <c r="E20" s="119" t="s">
        <v>211</v>
      </c>
      <c r="F20" s="46" t="s">
        <v>213</v>
      </c>
      <c r="G20" s="53" t="s">
        <v>1896</v>
      </c>
      <c r="H20" s="46" t="s">
        <v>19</v>
      </c>
      <c r="I20" s="53">
        <v>46192</v>
      </c>
      <c r="J20" s="119">
        <v>7</v>
      </c>
      <c r="K20" s="46" t="s">
        <v>161</v>
      </c>
      <c r="L20" s="123">
        <f>VLOOKUP($C20&amp;$E20,'Updated SES'!A:N,14,0)</f>
        <v>36.498239999999996</v>
      </c>
      <c r="M20" s="124">
        <f>VLOOKUP($K20,'Genre Penetration'!A:B,2,0)*VLOOKUP($C20&amp;$E20,'Updated SES'!A:I,9,0)</f>
        <v>0.20800000000000002</v>
      </c>
      <c r="N20" s="124">
        <f>VLOOKUP(K:K,'Genre Penetration'!A:C,3,0)*VLOOKUP($C20&amp;$E20,'Updated SES'!A:J,10,0)</f>
        <v>0.28799999999999998</v>
      </c>
      <c r="O20" s="124">
        <f>VLOOKUP($B20,'Language Penetration'!$B$1:$BE$14,MATCH('Compile data Working'!$H26,'Language Penetration'!$B$1:$BE$1,0),0)</f>
        <v>0.6</v>
      </c>
      <c r="P20" s="124" t="str">
        <f ca="1">IF(ISBLANK(J20),RANDBETWEEN(1,2)&amp;"%",IF(J20=1,RANDBETWEEN(35,40)&amp;"%",IF(J20=2,RANDBETWEEN(30,35)&amp;"%",IF(J20=3,RANDBETWEEN(25,30)&amp;"%",IF(J20=4,RANDBETWEEN(20,25)&amp;"%",IF(J20=5,RANDBETWEEN(15,20)&amp;"%",IF(J20=6,RANDBETWEEN(10,15)&amp;"%",IF(J20=7,RANDBETWEEN(8,10)&amp;"%",IF(J20=8,RANDBETWEEN(6,8)&amp;"%",IF(J20=9,RANDBETWEEN(4,6)&amp;"%",IF(J20=10,RANDBETWEEN(2,4)&amp;"%","")))))))))))</f>
        <v>10%</v>
      </c>
      <c r="Q20" s="123">
        <f ca="1">IFERROR(L20*(M20+N20)*O20*P20,RANDBETWEEN(1,2)%*L20*(M20+N20)*O20)</f>
        <v>1.0861876223999998</v>
      </c>
      <c r="R20" s="125">
        <f>VLOOKUP(D:D,ranking!W:X,2,0)</f>
        <v>0.7</v>
      </c>
      <c r="S20" s="126">
        <f ca="1">R20*Q20</f>
        <v>0.76033133567999978</v>
      </c>
      <c r="T20" s="123">
        <v>16.624409350043798</v>
      </c>
    </row>
    <row r="21" spans="1:20" x14ac:dyDescent="0.25">
      <c r="A21" s="98" t="s">
        <v>1057</v>
      </c>
      <c r="B21" s="98" t="s">
        <v>85</v>
      </c>
      <c r="C21" s="46" t="s">
        <v>123</v>
      </c>
      <c r="D21" s="46" t="s">
        <v>859</v>
      </c>
      <c r="E21" s="46" t="s">
        <v>211</v>
      </c>
      <c r="F21" s="46" t="s">
        <v>213</v>
      </c>
      <c r="G21" s="46">
        <v>29</v>
      </c>
      <c r="H21" s="46" t="s">
        <v>1058</v>
      </c>
      <c r="I21" s="53">
        <v>46178</v>
      </c>
      <c r="J21" s="119">
        <v>5</v>
      </c>
      <c r="K21" s="46" t="s">
        <v>145</v>
      </c>
      <c r="L21" s="123">
        <f>VLOOKUP($C21&amp;$E21,'Updated SES'!A:N,14,0)</f>
        <v>55.459200000000003</v>
      </c>
      <c r="M21" s="124">
        <f>VLOOKUP($K21,'Genre Penetration'!A:B,2,0)*VLOOKUP($C21&amp;$E21,'Updated SES'!A:I,9,0)</f>
        <v>0.18129999999999999</v>
      </c>
      <c r="N21" s="124">
        <f>VLOOKUP(K:K,'Genre Penetration'!A:C,3,0)*VLOOKUP($C21&amp;$E21,'Updated SES'!A:J,10,0)</f>
        <v>0.32130000000000003</v>
      </c>
      <c r="O21" s="124">
        <f>VLOOKUP($B21,'Language Penetration'!$B$1:$BE$14,MATCH('Compile data Working'!$H27,'Language Penetration'!$B$1:$BE$1,0),0)</f>
        <v>0.2</v>
      </c>
      <c r="P21" s="124" t="str">
        <f ca="1">IF(ISBLANK(J21),RANDBETWEEN(1,2)&amp;"%",IF(J21=1,RANDBETWEEN(35,40)&amp;"%",IF(J21=2,RANDBETWEEN(30,35)&amp;"%",IF(J21=3,RANDBETWEEN(25,30)&amp;"%",IF(J21=4,RANDBETWEEN(20,25)&amp;"%",IF(J21=5,RANDBETWEEN(15,20)&amp;"%",IF(J21=6,RANDBETWEEN(10,15)&amp;"%",IF(J21=7,RANDBETWEEN(8,10)&amp;"%",IF(J21=8,RANDBETWEEN(6,8)&amp;"%",IF(J21=9,RANDBETWEEN(4,6)&amp;"%",IF(J21=10,RANDBETWEEN(2,4)&amp;"%","")))))))))))</f>
        <v>15%</v>
      </c>
      <c r="Q21" s="123">
        <f ca="1">IFERROR(L21*(M21+N21)*O21*P21,RANDBETWEEN(1,2)%*L21*(M21+N21)*O21)</f>
        <v>0.83621381760000013</v>
      </c>
      <c r="R21" s="125">
        <f>VLOOKUP(D:D,ranking!W:X,2,0)</f>
        <v>0.7</v>
      </c>
      <c r="S21" s="126">
        <f ca="1">R21*Q21</f>
        <v>0.58534967232000001</v>
      </c>
      <c r="T21" s="123">
        <v>16.496988820431945</v>
      </c>
    </row>
    <row r="22" spans="1:20" x14ac:dyDescent="0.25">
      <c r="A22" s="98" t="s">
        <v>1861</v>
      </c>
      <c r="B22" s="98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1868</v>
      </c>
      <c r="H22" s="46" t="s">
        <v>20</v>
      </c>
      <c r="I22" s="53">
        <v>46188</v>
      </c>
      <c r="J22" s="98"/>
      <c r="K22" s="46" t="s">
        <v>977</v>
      </c>
      <c r="L22" s="123">
        <f>VLOOKUP($C22&amp;$E22,'Updated SES'!A:N,14,0)</f>
        <v>55.459200000000003</v>
      </c>
      <c r="M22" s="124">
        <f>VLOOKUP($K22,'Genre Penetration'!A:B,2,0)*VLOOKUP($C22&amp;$E22,'Updated SES'!A:I,9,0)</f>
        <v>0.26950000000000002</v>
      </c>
      <c r="N22" s="124">
        <f>VLOOKUP(K:K,'Genre Penetration'!A:C,3,0)*VLOOKUP($C22&amp;$E22,'Updated SES'!A:J,10,0)</f>
        <v>0.22950000000000001</v>
      </c>
      <c r="O22" s="124">
        <f>VLOOKUP($B22,'Language Penetration'!$B$1:$BE$14,MATCH('Compile data Working'!$H28,'Language Penetration'!$B$1:$BE$1,0),0)</f>
        <v>0.17714285714285719</v>
      </c>
      <c r="P22" s="124" t="str">
        <f ca="1">IF(ISBLANK(J22),RANDBETWEEN(1,2)&amp;"%",IF(J22=1,RANDBETWEEN(35,40)&amp;"%",IF(J22=2,RANDBETWEEN(30,35)&amp;"%",IF(J22=3,RANDBETWEEN(25,30)&amp;"%",IF(J22=4,RANDBETWEEN(20,25)&amp;"%",IF(J22=5,RANDBETWEEN(15,20)&amp;"%",IF(J22=6,RANDBETWEEN(10,15)&amp;"%",IF(J22=7,RANDBETWEEN(8,10)&amp;"%",IF(J22=8,RANDBETWEEN(6,8)&amp;"%",IF(J22=9,RANDBETWEEN(4,6)&amp;"%",IF(J22=10,RANDBETWEEN(2,4)&amp;"%","")))))))))))</f>
        <v>2%</v>
      </c>
      <c r="Q22" s="123">
        <f ca="1">IFERROR(L22*(M22+N22)*O22*P22,RANDBETWEEN(1,2)%*L22*(M22+N22)*O22)</f>
        <v>9.8045527405714317E-2</v>
      </c>
      <c r="R22" s="125">
        <f>VLOOKUP(D:D,ranking!W:X,2,0)</f>
        <v>0.6</v>
      </c>
      <c r="S22" s="126">
        <f ca="1">R22*Q22</f>
        <v>5.882731644342859E-2</v>
      </c>
      <c r="T22" s="123">
        <v>16.496988820431945</v>
      </c>
    </row>
    <row r="23" spans="1:20" x14ac:dyDescent="0.25">
      <c r="A23" s="98" t="s">
        <v>1861</v>
      </c>
      <c r="B23" s="98" t="s">
        <v>85</v>
      </c>
      <c r="C23" s="46" t="s">
        <v>1849</v>
      </c>
      <c r="D23" s="46" t="s">
        <v>859</v>
      </c>
      <c r="E23" s="46" t="s">
        <v>211</v>
      </c>
      <c r="F23" s="46" t="s">
        <v>213</v>
      </c>
      <c r="G23" s="46" t="s">
        <v>1871</v>
      </c>
      <c r="H23" s="46" t="s">
        <v>1222</v>
      </c>
      <c r="I23" s="53">
        <v>46189</v>
      </c>
      <c r="J23" s="98"/>
      <c r="K23" s="46" t="s">
        <v>138</v>
      </c>
      <c r="L23" s="123">
        <f>VLOOKUP($C23&amp;$E23,'Updated SES'!A:N,14,0)</f>
        <v>127.11702000000001</v>
      </c>
      <c r="M23" s="124">
        <f>VLOOKUP($K23,'Genre Penetration'!A:B,2,0)*VLOOKUP($C23&amp;$E23,'Updated SES'!A:I,9,0)</f>
        <v>0.31489999999999996</v>
      </c>
      <c r="N23" s="124">
        <f>VLOOKUP(K:K,'Genre Penetration'!A:C,3,0)*VLOOKUP($C23&amp;$E23,'Updated SES'!A:J,10,0)</f>
        <v>0.1749</v>
      </c>
      <c r="O23" s="124">
        <f>VLOOKUP($B23,'Language Penetration'!$B$1:$BE$14,MATCH('Compile data Working'!$H29,'Language Penetration'!$B$1:$BE$1,0),0)</f>
        <v>0.20400000000000001</v>
      </c>
      <c r="P23" s="124" t="str">
        <f ca="1">IF(ISBLANK(J23),RANDBETWEEN(1,2)&amp;"%",IF(J23=1,RANDBETWEEN(35,40)&amp;"%",IF(J23=2,RANDBETWEEN(30,35)&amp;"%",IF(J23=3,RANDBETWEEN(25,30)&amp;"%",IF(J23=4,RANDBETWEEN(20,25)&amp;"%",IF(J23=5,RANDBETWEEN(15,20)&amp;"%",IF(J23=6,RANDBETWEEN(10,15)&amp;"%",IF(J23=7,RANDBETWEEN(8,10)&amp;"%",IF(J23=8,RANDBETWEEN(6,8)&amp;"%",IF(J23=9,RANDBETWEEN(4,6)&amp;"%",IF(J23=10,RANDBETWEEN(2,4)&amp;"%","")))))))))))</f>
        <v>1%</v>
      </c>
      <c r="Q23" s="123">
        <f ca="1">IFERROR(L23*(M23+N23)*O23*P23,RANDBETWEEN(1,2)%*L23*(M23+N23)*O23)</f>
        <v>0.12701430944784001</v>
      </c>
      <c r="R23" s="125">
        <f>VLOOKUP(D:D,ranking!W:X,2,0)</f>
        <v>0.7</v>
      </c>
      <c r="S23" s="126">
        <f ca="1">R23*Q23</f>
        <v>8.8910016613488005E-2</v>
      </c>
      <c r="T23" s="123">
        <v>16.210640316656502</v>
      </c>
    </row>
    <row r="24" spans="1:20" x14ac:dyDescent="0.25">
      <c r="A24" s="98" t="s">
        <v>1057</v>
      </c>
      <c r="B24" s="98" t="s">
        <v>85</v>
      </c>
      <c r="C24" s="46" t="s">
        <v>123</v>
      </c>
      <c r="D24" s="46" t="s">
        <v>431</v>
      </c>
      <c r="E24" s="46" t="s">
        <v>211</v>
      </c>
      <c r="F24" s="46" t="s">
        <v>215</v>
      </c>
      <c r="G24" s="46" t="s">
        <v>1838</v>
      </c>
      <c r="H24" s="46" t="s">
        <v>77</v>
      </c>
      <c r="I24" s="53">
        <v>46178</v>
      </c>
      <c r="J24" s="46">
        <v>1</v>
      </c>
      <c r="K24" s="46" t="s">
        <v>92</v>
      </c>
      <c r="L24" s="123">
        <f>VLOOKUP($C24&amp;$E24,'Updated SES'!A:N,14,0)</f>
        <v>55.459200000000003</v>
      </c>
      <c r="M24" s="124">
        <f>VLOOKUP($K24,'Genre Penetration'!A:B,2,0)*VLOOKUP($C24&amp;$E24,'Updated SES'!A:I,9,0)</f>
        <v>0.25969999999999999</v>
      </c>
      <c r="N24" s="124">
        <f>VLOOKUP(K:K,'Genre Penetration'!A:C,3,0)*VLOOKUP($C24&amp;$E24,'Updated SES'!A:J,10,0)</f>
        <v>0.2397</v>
      </c>
      <c r="O24" s="124">
        <f>VLOOKUP($B24,'Language Penetration'!$B$1:$BE$14,MATCH('Compile data Working'!$H30,'Language Penetration'!$B$1:$BE$1,0),0)</f>
        <v>0.26250000000000001</v>
      </c>
      <c r="P24" s="124" t="str">
        <f ca="1">IF(ISBLANK(J24),RANDBETWEEN(1,2)&amp;"%",IF(J24=1,RANDBETWEEN(35,40)&amp;"%",IF(J24=2,RANDBETWEEN(30,35)&amp;"%",IF(J24=3,RANDBETWEEN(25,30)&amp;"%",IF(J24=4,RANDBETWEEN(20,25)&amp;"%",IF(J24=5,RANDBETWEEN(15,20)&amp;"%",IF(J24=6,RANDBETWEEN(10,15)&amp;"%",IF(J24=7,RANDBETWEEN(8,10)&amp;"%",IF(J24=8,RANDBETWEEN(6,8)&amp;"%",IF(J24=9,RANDBETWEEN(4,6)&amp;"%",IF(J24=10,RANDBETWEEN(2,4)&amp;"%","")))))))))))</f>
        <v>36%</v>
      </c>
      <c r="Q24" s="123">
        <f ca="1">IFERROR(L24*(M24+N24)*O24*P24,RANDBETWEEN(1,2)%*L24*(M24+N24)*O24)</f>
        <v>2.6173026633599998</v>
      </c>
      <c r="R24" s="125">
        <f>VLOOKUP(D:D,ranking!W:X,2,0)</f>
        <v>0.6</v>
      </c>
      <c r="S24" s="126">
        <f ca="1">R24*Q24</f>
        <v>1.5703815980159999</v>
      </c>
      <c r="T24" s="123">
        <v>16.161189560038828</v>
      </c>
    </row>
    <row r="25" spans="1:20" x14ac:dyDescent="0.25">
      <c r="A25" s="98" t="s">
        <v>1861</v>
      </c>
      <c r="B25" s="98" t="s">
        <v>85</v>
      </c>
      <c r="C25" s="46" t="s">
        <v>123</v>
      </c>
      <c r="D25" s="46" t="s">
        <v>1012</v>
      </c>
      <c r="E25" s="46" t="s">
        <v>211</v>
      </c>
      <c r="F25" s="46" t="s">
        <v>215</v>
      </c>
      <c r="G25" s="46" t="s">
        <v>1864</v>
      </c>
      <c r="H25" s="46" t="s">
        <v>20</v>
      </c>
      <c r="I25" s="53">
        <v>46188</v>
      </c>
      <c r="J25" s="98"/>
      <c r="K25" s="46" t="s">
        <v>890</v>
      </c>
      <c r="L25" s="123">
        <f>VLOOKUP($C25&amp;$E25,'Updated SES'!A:N,14,0)</f>
        <v>55.459200000000003</v>
      </c>
      <c r="M25" s="124">
        <f>VLOOKUP($K25,'Genre Penetration'!A:B,2,0)*VLOOKUP($C25&amp;$E25,'Updated SES'!A:I,9,0)</f>
        <v>0.26950000000000002</v>
      </c>
      <c r="N25" s="124">
        <f>VLOOKUP(K:K,'Genre Penetration'!A:C,3,0)*VLOOKUP($C25&amp;$E25,'Updated SES'!A:J,10,0)</f>
        <v>0.22950000000000001</v>
      </c>
      <c r="O25" s="124">
        <f>VLOOKUP($B25,'Language Penetration'!$B$1:$BE$14,MATCH('Compile data Working'!$H31,'Language Penetration'!$B$1:$BE$1,0),0)</f>
        <v>0.6</v>
      </c>
      <c r="P25" s="124" t="str">
        <f ca="1">IF(ISBLANK(J25),RANDBETWEEN(1,2)&amp;"%",IF(J25=1,RANDBETWEEN(35,40)&amp;"%",IF(J25=2,RANDBETWEEN(30,35)&amp;"%",IF(J25=3,RANDBETWEEN(25,30)&amp;"%",IF(J25=4,RANDBETWEEN(20,25)&amp;"%",IF(J25=5,RANDBETWEEN(15,20)&amp;"%",IF(J25=6,RANDBETWEEN(10,15)&amp;"%",IF(J25=7,RANDBETWEEN(8,10)&amp;"%",IF(J25=8,RANDBETWEEN(6,8)&amp;"%",IF(J25=9,RANDBETWEEN(4,6)&amp;"%",IF(J25=10,RANDBETWEEN(2,4)&amp;"%","")))))))))))</f>
        <v>1%</v>
      </c>
      <c r="Q25" s="123">
        <f ca="1">IFERROR(L25*(M25+N25)*O25*P25,RANDBETWEEN(1,2)%*L25*(M25+N25)*O25)</f>
        <v>0.16604484480000001</v>
      </c>
      <c r="R25" s="125">
        <f>VLOOKUP(D:D,ranking!W:X,2,0)</f>
        <v>0.6</v>
      </c>
      <c r="S25" s="126">
        <f ca="1">R25*Q25</f>
        <v>9.9626906880000005E-2</v>
      </c>
      <c r="T25" s="123">
        <v>15.934591474280856</v>
      </c>
    </row>
    <row r="26" spans="1:20" x14ac:dyDescent="0.25">
      <c r="A26" s="98" t="s">
        <v>1057</v>
      </c>
      <c r="B26" s="98" t="s">
        <v>85</v>
      </c>
      <c r="C26" s="98" t="s">
        <v>64</v>
      </c>
      <c r="D26" s="46" t="s">
        <v>859</v>
      </c>
      <c r="E26" s="119" t="s">
        <v>211</v>
      </c>
      <c r="F26" s="46" t="s">
        <v>213</v>
      </c>
      <c r="G26" s="46" t="s">
        <v>1834</v>
      </c>
      <c r="H26" s="46" t="s">
        <v>19</v>
      </c>
      <c r="I26" s="53">
        <v>46178</v>
      </c>
      <c r="J26" s="119">
        <v>10</v>
      </c>
      <c r="K26" s="46" t="s">
        <v>97</v>
      </c>
      <c r="L26" s="123">
        <f>VLOOKUP($C26&amp;$E26,'Updated SES'!A:N,14,0)</f>
        <v>36.498239999999996</v>
      </c>
      <c r="M26" s="124">
        <f>VLOOKUP($K26,'Genre Penetration'!A:B,2,0)*VLOOKUP($C26&amp;$E26,'Updated SES'!A:I,9,0)</f>
        <v>0.35360000000000003</v>
      </c>
      <c r="N26" s="124">
        <f>VLOOKUP(K:K,'Genre Penetration'!A:C,3,0)*VLOOKUP($C26&amp;$E26,'Updated SES'!A:J,10,0)</f>
        <v>0.15359999999999999</v>
      </c>
      <c r="O26" s="124">
        <f>VLOOKUP($B26,'Language Penetration'!$B$1:$BE$14,MATCH('Compile data Working'!$H33,'Language Penetration'!$B$1:$BE$1,0),0)</f>
        <v>0.2</v>
      </c>
      <c r="P26" s="124" t="str">
        <f ca="1">IF(ISBLANK(J26),RANDBETWEEN(1,2)&amp;"%",IF(J26=1,RANDBETWEEN(35,40)&amp;"%",IF(J26=2,RANDBETWEEN(30,35)&amp;"%",IF(J26=3,RANDBETWEEN(25,30)&amp;"%",IF(J26=4,RANDBETWEEN(20,25)&amp;"%",IF(J26=5,RANDBETWEEN(15,20)&amp;"%",IF(J26=6,RANDBETWEEN(10,15)&amp;"%",IF(J26=7,RANDBETWEEN(8,10)&amp;"%",IF(J26=8,RANDBETWEEN(6,8)&amp;"%",IF(J26=9,RANDBETWEEN(4,6)&amp;"%",IF(J26=10,RANDBETWEEN(2,4)&amp;"%","")))))))))))</f>
        <v>3%</v>
      </c>
      <c r="Q26" s="123">
        <f ca="1">IFERROR(L26*(M26+N26)*O26*P26,RANDBETWEEN(1,2)%*L26*(M26+N26)*O26)</f>
        <v>0.11107144396799998</v>
      </c>
      <c r="R26" s="125">
        <f>VLOOKUP(D:D,ranking!W:X,2,0)</f>
        <v>0.7</v>
      </c>
      <c r="S26" s="126">
        <f ca="1">R26*Q26</f>
        <v>7.7750010777599979E-2</v>
      </c>
      <c r="T26" s="123">
        <v>15.240957438960089</v>
      </c>
    </row>
    <row r="27" spans="1:20" x14ac:dyDescent="0.25">
      <c r="A27" s="98" t="s">
        <v>1861</v>
      </c>
      <c r="B27" s="98" t="s">
        <v>85</v>
      </c>
      <c r="C27" s="46" t="s">
        <v>1849</v>
      </c>
      <c r="D27" s="46" t="s">
        <v>1012</v>
      </c>
      <c r="E27" s="46" t="s">
        <v>211</v>
      </c>
      <c r="F27" s="46" t="s">
        <v>215</v>
      </c>
      <c r="G27" s="46" t="s">
        <v>1877</v>
      </c>
      <c r="H27" s="46" t="s">
        <v>20</v>
      </c>
      <c r="I27" s="53">
        <v>46190</v>
      </c>
      <c r="J27" s="98"/>
      <c r="K27" s="46" t="s">
        <v>910</v>
      </c>
      <c r="L27" s="123">
        <f>VLOOKUP($C27&amp;$E27,'Updated SES'!A:N,14,0)</f>
        <v>127.11702000000001</v>
      </c>
      <c r="M27" s="124">
        <f>VLOOKUP($K27,'Genre Penetration'!A:B,2,0)*VLOOKUP($C27&amp;$E27,'Updated SES'!A:I,9,0)</f>
        <v>0.33499999999999996</v>
      </c>
      <c r="N27" s="124">
        <f>VLOOKUP(K:K,'Genre Penetration'!A:C,3,0)*VLOOKUP($C27&amp;$E27,'Updated SES'!A:J,10,0)</f>
        <v>0.16499999999999998</v>
      </c>
      <c r="O27" s="124">
        <f>VLOOKUP($B27,'Language Penetration'!$B$1:$BE$14,MATCH('Compile data Working'!$H34,'Language Penetration'!$B$1:$BE$1,0),0)</f>
        <v>0.2</v>
      </c>
      <c r="P27" s="124" t="str">
        <f ca="1">IF(ISBLANK(J27),RANDBETWEEN(1,2)&amp;"%",IF(J27=1,RANDBETWEEN(35,40)&amp;"%",IF(J27=2,RANDBETWEEN(30,35)&amp;"%",IF(J27=3,RANDBETWEEN(25,30)&amp;"%",IF(J27=4,RANDBETWEEN(20,25)&amp;"%",IF(J27=5,RANDBETWEEN(15,20)&amp;"%",IF(J27=6,RANDBETWEEN(10,15)&amp;"%",IF(J27=7,RANDBETWEEN(8,10)&amp;"%",IF(J27=8,RANDBETWEEN(6,8)&amp;"%",IF(J27=9,RANDBETWEEN(4,6)&amp;"%",IF(J27=10,RANDBETWEEN(2,4)&amp;"%","")))))))))))</f>
        <v>2%</v>
      </c>
      <c r="Q27" s="123">
        <f ca="1">IFERROR(L27*(M27+N27)*O27*P27,RANDBETWEEN(1,2)%*L27*(M27+N27)*O27)</f>
        <v>0.25423403999999999</v>
      </c>
      <c r="R27" s="125">
        <f>VLOOKUP(D:D,ranking!W:X,2,0)</f>
        <v>0.6</v>
      </c>
      <c r="S27" s="126">
        <f ca="1">R27*Q27</f>
        <v>0.15254042399999998</v>
      </c>
      <c r="T27" s="123">
        <v>14.736945742414999</v>
      </c>
    </row>
    <row r="28" spans="1:20" x14ac:dyDescent="0.25">
      <c r="A28" s="98" t="s">
        <v>1861</v>
      </c>
      <c r="B28" s="98" t="s">
        <v>85</v>
      </c>
      <c r="C28" s="46" t="s">
        <v>1849</v>
      </c>
      <c r="D28" s="46" t="s">
        <v>1012</v>
      </c>
      <c r="E28" s="46" t="s">
        <v>211</v>
      </c>
      <c r="F28" s="46" t="s">
        <v>215</v>
      </c>
      <c r="G28" s="53" t="s">
        <v>1902</v>
      </c>
      <c r="H28" s="46" t="s">
        <v>1222</v>
      </c>
      <c r="I28" s="53">
        <v>46192</v>
      </c>
      <c r="J28" s="98"/>
      <c r="K28" s="46" t="s">
        <v>355</v>
      </c>
      <c r="L28" s="123">
        <f>VLOOKUP($C28&amp;$E28,'Updated SES'!A:N,14,0)</f>
        <v>127.11702000000001</v>
      </c>
      <c r="M28" s="124">
        <f>VLOOKUP($K28,'Genre Penetration'!A:B,2,0)*VLOOKUP($C28&amp;$E28,'Updated SES'!A:I,9,0)</f>
        <v>0.38859999999999995</v>
      </c>
      <c r="N28" s="124">
        <f>VLOOKUP(K:K,'Genre Penetration'!A:C,3,0)*VLOOKUP($C28&amp;$E28,'Updated SES'!A:J,10,0)</f>
        <v>0.13859999999999997</v>
      </c>
      <c r="O28" s="124">
        <f>VLOOKUP($B28,'Language Penetration'!$B$1:$BE$14,MATCH('Compile data Working'!$H35,'Language Penetration'!$B$1:$BE$1,0),0)</f>
        <v>0.26250000000000001</v>
      </c>
      <c r="P28" s="124" t="str">
        <f ca="1">IF(ISBLANK(J28),RANDBETWEEN(1,2)&amp;"%",IF(J28=1,RANDBETWEEN(35,40)&amp;"%",IF(J28=2,RANDBETWEEN(30,35)&amp;"%",IF(J28=3,RANDBETWEEN(25,30)&amp;"%",IF(J28=4,RANDBETWEEN(20,25)&amp;"%",IF(J28=5,RANDBETWEEN(15,20)&amp;"%",IF(J28=6,RANDBETWEEN(10,15)&amp;"%",IF(J28=7,RANDBETWEEN(8,10)&amp;"%",IF(J28=8,RANDBETWEEN(6,8)&amp;"%",IF(J28=9,RANDBETWEEN(4,6)&amp;"%",IF(J28=10,RANDBETWEEN(2,4)&amp;"%","")))))))))))</f>
        <v>1%</v>
      </c>
      <c r="Q28" s="123">
        <f ca="1">IFERROR(L28*(M28+N28)*O28*P28,RANDBETWEEN(1,2)%*L28*(M28+N28)*O28)</f>
        <v>0.17591724397800002</v>
      </c>
      <c r="R28" s="125">
        <f>VLOOKUP(D:D,ranking!W:X,2,0)</f>
        <v>0.6</v>
      </c>
      <c r="S28" s="126">
        <f ca="1">R28*Q28</f>
        <v>0.10555034638680001</v>
      </c>
      <c r="T28" s="123">
        <v>14.589576284990851</v>
      </c>
    </row>
    <row r="29" spans="1:20" x14ac:dyDescent="0.25">
      <c r="A29" s="98" t="s">
        <v>1057</v>
      </c>
      <c r="B29" s="98" t="s">
        <v>85</v>
      </c>
      <c r="C29" s="46" t="s">
        <v>1849</v>
      </c>
      <c r="D29" s="46" t="s">
        <v>859</v>
      </c>
      <c r="E29" s="46" t="s">
        <v>211</v>
      </c>
      <c r="F29" s="46" t="s">
        <v>213</v>
      </c>
      <c r="G29" s="46" t="s">
        <v>1852</v>
      </c>
      <c r="H29" s="46" t="s">
        <v>1058</v>
      </c>
      <c r="I29" s="53">
        <v>46185</v>
      </c>
      <c r="J29" s="119">
        <v>5</v>
      </c>
      <c r="K29" s="46" t="s">
        <v>202</v>
      </c>
      <c r="L29" s="123">
        <f>VLOOKUP($C29&amp;$E29,'Updated SES'!A:N,14,0)</f>
        <v>127.11702000000001</v>
      </c>
      <c r="M29" s="124">
        <f>VLOOKUP($K29,'Genre Penetration'!A:B,2,0)*VLOOKUP($C29&amp;$E29,'Updated SES'!A:I,9,0)</f>
        <v>0.48239999999999994</v>
      </c>
      <c r="N29" s="124">
        <f>VLOOKUP(K:K,'Genre Penetration'!A:C,3,0)*VLOOKUP($C29&amp;$E29,'Updated SES'!A:J,10,0)</f>
        <v>9.2399999999999996E-2</v>
      </c>
      <c r="O29" s="124">
        <f>VLOOKUP($B29,'Language Penetration'!$B$1:$BE$14,MATCH('Compile data Working'!$H36,'Language Penetration'!$B$1:$BE$1,0),0)</f>
        <v>0.28333333333333333</v>
      </c>
      <c r="P29" s="124" t="str">
        <f ca="1">IF(ISBLANK(J29),RANDBETWEEN(1,2)&amp;"%",IF(J29=1,RANDBETWEEN(35,40)&amp;"%",IF(J29=2,RANDBETWEEN(30,35)&amp;"%",IF(J29=3,RANDBETWEEN(25,30)&amp;"%",IF(J29=4,RANDBETWEEN(20,25)&amp;"%",IF(J29=5,RANDBETWEEN(15,20)&amp;"%",IF(J29=6,RANDBETWEEN(10,15)&amp;"%",IF(J29=7,RANDBETWEEN(8,10)&amp;"%",IF(J29=8,RANDBETWEEN(6,8)&amp;"%",IF(J29=9,RANDBETWEEN(4,6)&amp;"%",IF(J29=10,RANDBETWEEN(2,4)&amp;"%","")))))))))))</f>
        <v>19%</v>
      </c>
      <c r="Q29" s="123">
        <f ca="1">IFERROR(L29*(M29+N29)*O29*P29,RANDBETWEEN(1,2)%*L29*(M29+N29)*O29)</f>
        <v>3.9334327966680003</v>
      </c>
      <c r="R29" s="125">
        <f>VLOOKUP(D:D,ranking!W:X,2,0)</f>
        <v>0.7</v>
      </c>
      <c r="S29" s="126">
        <f ca="1">R29*Q29</f>
        <v>2.7534029576676002</v>
      </c>
      <c r="T29" s="123">
        <v>14.533045827976281</v>
      </c>
    </row>
    <row r="30" spans="1:20" x14ac:dyDescent="0.25">
      <c r="A30" s="98" t="s">
        <v>1057</v>
      </c>
      <c r="B30" s="98" t="s">
        <v>85</v>
      </c>
      <c r="C30" s="46" t="s">
        <v>123</v>
      </c>
      <c r="D30" s="46" t="s">
        <v>859</v>
      </c>
      <c r="E30" s="46" t="s">
        <v>211</v>
      </c>
      <c r="F30" s="46" t="s">
        <v>213</v>
      </c>
      <c r="G30" s="53" t="s">
        <v>1832</v>
      </c>
      <c r="H30" s="46" t="s">
        <v>77</v>
      </c>
      <c r="I30" s="53">
        <v>46177</v>
      </c>
      <c r="J30" s="119">
        <v>3</v>
      </c>
      <c r="K30" s="46" t="s">
        <v>130</v>
      </c>
      <c r="L30" s="123">
        <f>VLOOKUP($C30&amp;$E30,'Updated SES'!A:N,14,0)</f>
        <v>55.459200000000003</v>
      </c>
      <c r="M30" s="124">
        <f>VLOOKUP($K30,'Genre Penetration'!A:B,2,0)*VLOOKUP($C30&amp;$E30,'Updated SES'!A:I,9,0)</f>
        <v>0.27440000000000003</v>
      </c>
      <c r="N30" s="124">
        <f>VLOOKUP(K:K,'Genre Penetration'!A:C,3,0)*VLOOKUP($C30&amp;$E30,'Updated SES'!A:J,10,0)</f>
        <v>0.22440000000000002</v>
      </c>
      <c r="O30" s="124">
        <f>VLOOKUP($B30,'Language Penetration'!$B$1:$BE$14,MATCH('Compile data Working'!$H37,'Language Penetration'!$B$1:$BE$1,0),0)</f>
        <v>0.6</v>
      </c>
      <c r="P30" s="124" t="str">
        <f ca="1">IF(ISBLANK(J30),RANDBETWEEN(1,2)&amp;"%",IF(J30=1,RANDBETWEEN(35,40)&amp;"%",IF(J30=2,RANDBETWEEN(30,35)&amp;"%",IF(J30=3,RANDBETWEEN(25,30)&amp;"%",IF(J30=4,RANDBETWEEN(20,25)&amp;"%",IF(J30=5,RANDBETWEEN(15,20)&amp;"%",IF(J30=6,RANDBETWEEN(10,15)&amp;"%",IF(J30=7,RANDBETWEEN(8,10)&amp;"%",IF(J30=8,RANDBETWEEN(6,8)&amp;"%",IF(J30=9,RANDBETWEEN(4,6)&amp;"%",IF(J30=10,RANDBETWEEN(2,4)&amp;"%","")))))))))))</f>
        <v>29%</v>
      </c>
      <c r="Q30" s="123">
        <f ca="1">IFERROR(L30*(M30+N30)*O30*P30,RANDBETWEEN(1,2)%*L30*(M30+N30)*O30)</f>
        <v>4.8133705190399994</v>
      </c>
      <c r="R30" s="125">
        <f>VLOOKUP(D:D,ranking!W:X,2,0)</f>
        <v>0.7</v>
      </c>
      <c r="S30" s="126">
        <f ca="1">R30*Q30</f>
        <v>3.3693593633279995</v>
      </c>
      <c r="T30" s="123">
        <v>14.305930706626645</v>
      </c>
    </row>
    <row r="31" spans="1:20" x14ac:dyDescent="0.25">
      <c r="A31" s="98" t="s">
        <v>1057</v>
      </c>
      <c r="B31" s="98" t="s">
        <v>85</v>
      </c>
      <c r="C31" s="98" t="s">
        <v>132</v>
      </c>
      <c r="D31" s="98" t="s">
        <v>431</v>
      </c>
      <c r="E31" s="98" t="s">
        <v>211</v>
      </c>
      <c r="F31" s="46" t="s">
        <v>215</v>
      </c>
      <c r="G31" s="53" t="s">
        <v>1835</v>
      </c>
      <c r="H31" s="46" t="s">
        <v>19</v>
      </c>
      <c r="I31" s="53">
        <v>46178</v>
      </c>
      <c r="J31" s="119">
        <v>6</v>
      </c>
      <c r="K31" s="46" t="s">
        <v>138</v>
      </c>
      <c r="L31" s="123">
        <f>VLOOKUP($C31&amp;$E31,'Updated SES'!A:N,14,0)</f>
        <v>21.682040000000004</v>
      </c>
      <c r="M31" s="124">
        <f>VLOOKUP($K31,'Genre Penetration'!A:B,2,0)*VLOOKUP($C31&amp;$E31,'Updated SES'!A:I,9,0)</f>
        <v>0.30549999999999999</v>
      </c>
      <c r="N31" s="124">
        <f>VLOOKUP(K:K,'Genre Penetration'!A:C,3,0)*VLOOKUP($C31&amp;$E31,'Updated SES'!A:J,10,0)</f>
        <v>0.1855</v>
      </c>
      <c r="O31" s="124">
        <f>VLOOKUP($B31,'Language Penetration'!$B$1:$BE$14,MATCH('Compile data Working'!$H39,'Language Penetration'!$B$1:$BE$1,0),0)</f>
        <v>0.26250000000000001</v>
      </c>
      <c r="P31" s="124" t="str">
        <f ca="1">IF(ISBLANK(J31),RANDBETWEEN(1,2)&amp;"%",IF(J31=1,RANDBETWEEN(35,40)&amp;"%",IF(J31=2,RANDBETWEEN(30,35)&amp;"%",IF(J31=3,RANDBETWEEN(25,30)&amp;"%",IF(J31=4,RANDBETWEEN(20,25)&amp;"%",IF(J31=5,RANDBETWEEN(15,20)&amp;"%",IF(J31=6,RANDBETWEEN(10,15)&amp;"%",IF(J31=7,RANDBETWEEN(8,10)&amp;"%",IF(J31=8,RANDBETWEEN(6,8)&amp;"%",IF(J31=9,RANDBETWEEN(4,6)&amp;"%",IF(J31=10,RANDBETWEEN(2,4)&amp;"%","")))))))))))</f>
        <v>13%</v>
      </c>
      <c r="Q31" s="123">
        <f ca="1">IFERROR(L31*(M31+N31)*O31*P31,RANDBETWEEN(1,2)%*L31*(M31+N31)*O31)</f>
        <v>0.3632907109650001</v>
      </c>
      <c r="R31" s="125">
        <f>VLOOKUP(D:D,ranking!W:X,2,0)</f>
        <v>0.6</v>
      </c>
      <c r="S31" s="126">
        <f ca="1">R31*Q31</f>
        <v>0.21797442657900004</v>
      </c>
      <c r="T31" s="123">
        <v>13.925056666531823</v>
      </c>
    </row>
    <row r="32" spans="1:20" x14ac:dyDescent="0.25">
      <c r="A32" s="98" t="s">
        <v>1861</v>
      </c>
      <c r="B32" s="98" t="s">
        <v>85</v>
      </c>
      <c r="C32" s="46" t="s">
        <v>123</v>
      </c>
      <c r="D32" s="46" t="s">
        <v>1012</v>
      </c>
      <c r="E32" s="46" t="s">
        <v>211</v>
      </c>
      <c r="F32" s="46" t="s">
        <v>215</v>
      </c>
      <c r="G32" s="46" t="s">
        <v>1900</v>
      </c>
      <c r="H32" s="46" t="s">
        <v>77</v>
      </c>
      <c r="I32" s="53">
        <v>46192</v>
      </c>
      <c r="J32" s="98"/>
      <c r="K32" s="46" t="s">
        <v>182</v>
      </c>
      <c r="L32" s="123">
        <f>VLOOKUP($C32&amp;$E32,'Updated SES'!A:N,14,0)</f>
        <v>55.459200000000003</v>
      </c>
      <c r="M32" s="124">
        <f>VLOOKUP($K32,'Genre Penetration'!A:B,2,0)*VLOOKUP($C32&amp;$E32,'Updated SES'!A:I,9,0)</f>
        <v>0.29399999999999998</v>
      </c>
      <c r="N32" s="124">
        <f>VLOOKUP(K:K,'Genre Penetration'!A:C,3,0)*VLOOKUP($C32&amp;$E32,'Updated SES'!A:J,10,0)</f>
        <v>0.20400000000000001</v>
      </c>
      <c r="O32" s="124">
        <f>VLOOKUP($B32,'Language Penetration'!$B$1:$BE$14,MATCH('Compile data Working'!$H19,'Language Penetration'!$B$1:$BE$1,0),0)</f>
        <v>0.10500000000000001</v>
      </c>
      <c r="P32" s="124" t="str">
        <f ca="1">IF(ISBLANK(J32),RANDBETWEEN(1,2)&amp;"%",IF(J32=1,RANDBETWEEN(35,40)&amp;"%",IF(J32=2,RANDBETWEEN(30,35)&amp;"%",IF(J32=3,RANDBETWEEN(25,30)&amp;"%",IF(J32=4,RANDBETWEEN(20,25)&amp;"%",IF(J32=5,RANDBETWEEN(15,20)&amp;"%",IF(J32=6,RANDBETWEEN(10,15)&amp;"%",IF(J32=7,RANDBETWEEN(8,10)&amp;"%",IF(J32=8,RANDBETWEEN(6,8)&amp;"%",IF(J32=9,RANDBETWEEN(4,6)&amp;"%",IF(J32=10,RANDBETWEEN(2,4)&amp;"%","")))))))))))</f>
        <v>1%</v>
      </c>
      <c r="Q32" s="123">
        <f ca="1">IFERROR(L32*(M32+N32)*O32*P32,RANDBETWEEN(1,2)%*L32*(M32+N32)*O32)</f>
        <v>2.8999615680000007E-2</v>
      </c>
      <c r="R32" s="125">
        <f>VLOOKUP(D:D,ranking!W:X,2,0)</f>
        <v>0.6</v>
      </c>
      <c r="S32" s="126">
        <f ca="1">R32*Q32</f>
        <v>1.7399769408000004E-2</v>
      </c>
      <c r="T32" s="123">
        <v>13.8092492947845</v>
      </c>
    </row>
    <row r="33" spans="1:20" x14ac:dyDescent="0.25">
      <c r="A33" s="98" t="s">
        <v>1861</v>
      </c>
      <c r="B33" s="98" t="s">
        <v>85</v>
      </c>
      <c r="C33" s="46" t="s">
        <v>64</v>
      </c>
      <c r="D33" s="46" t="s">
        <v>859</v>
      </c>
      <c r="E33" s="46" t="s">
        <v>211</v>
      </c>
      <c r="F33" s="46" t="s">
        <v>213</v>
      </c>
      <c r="G33" s="46" t="s">
        <v>1874</v>
      </c>
      <c r="H33" s="46" t="s">
        <v>20</v>
      </c>
      <c r="I33" s="53">
        <v>46190</v>
      </c>
      <c r="J33" s="98"/>
      <c r="K33" s="46" t="s">
        <v>154</v>
      </c>
      <c r="L33" s="123">
        <f>VLOOKUP($C33&amp;$E33,'Updated SES'!A:N,14,0)</f>
        <v>36.498239999999996</v>
      </c>
      <c r="M33" s="124">
        <f>VLOOKUP($K33,'Genre Penetration'!A:B,2,0)*VLOOKUP($C33&amp;$E33,'Updated SES'!A:I,9,0)</f>
        <v>0.156</v>
      </c>
      <c r="N33" s="124">
        <f>VLOOKUP(K:K,'Genre Penetration'!A:C,3,0)*VLOOKUP($C33&amp;$E33,'Updated SES'!A:J,10,0)</f>
        <v>0.33599999999999997</v>
      </c>
      <c r="O33" s="124">
        <f>VLOOKUP($B33,'Language Penetration'!$B$1:$BE$14,MATCH('Compile data Working'!$H40,'Language Penetration'!$B$1:$BE$1,0),0)</f>
        <v>0.20400000000000001</v>
      </c>
      <c r="P33" s="124" t="str">
        <f ca="1">IF(ISBLANK(J33),RANDBETWEEN(1,2)&amp;"%",IF(J33=1,RANDBETWEEN(35,40)&amp;"%",IF(J33=2,RANDBETWEEN(30,35)&amp;"%",IF(J33=3,RANDBETWEEN(25,30)&amp;"%",IF(J33=4,RANDBETWEEN(20,25)&amp;"%",IF(J33=5,RANDBETWEEN(15,20)&amp;"%",IF(J33=6,RANDBETWEEN(10,15)&amp;"%",IF(J33=7,RANDBETWEEN(8,10)&amp;"%",IF(J33=8,RANDBETWEEN(6,8)&amp;"%",IF(J33=9,RANDBETWEEN(4,6)&amp;"%",IF(J33=10,RANDBETWEEN(2,4)&amp;"%","")))))))))))</f>
        <v>1%</v>
      </c>
      <c r="Q33" s="123">
        <f ca="1">IFERROR(L33*(M33+N33)*O33*P33,RANDBETWEEN(1,2)%*L33*(M33+N33)*O33)</f>
        <v>3.6632553523199995E-2</v>
      </c>
      <c r="R33" s="125">
        <f>VLOOKUP(D:D,ranking!W:X,2,0)</f>
        <v>0.7</v>
      </c>
      <c r="S33" s="126">
        <f ca="1">R33*Q33</f>
        <v>2.5642787466239995E-2</v>
      </c>
      <c r="T33" s="123">
        <v>13.79301601307778</v>
      </c>
    </row>
    <row r="34" spans="1:20" x14ac:dyDescent="0.25">
      <c r="A34" s="98" t="s">
        <v>1861</v>
      </c>
      <c r="B34" s="98" t="s">
        <v>85</v>
      </c>
      <c r="C34" s="46" t="s">
        <v>1849</v>
      </c>
      <c r="D34" s="46" t="s">
        <v>1013</v>
      </c>
      <c r="E34" s="46" t="s">
        <v>211</v>
      </c>
      <c r="F34" s="46" t="s">
        <v>213</v>
      </c>
      <c r="G34" s="46" t="s">
        <v>1880</v>
      </c>
      <c r="H34" s="46" t="s">
        <v>20</v>
      </c>
      <c r="I34" s="53">
        <v>46190</v>
      </c>
      <c r="J34" s="98"/>
      <c r="K34" s="46" t="s">
        <v>124</v>
      </c>
      <c r="L34" s="123">
        <f>VLOOKUP($C34&amp;$E34,'Updated SES'!A:N,14,0)</f>
        <v>127.11702000000001</v>
      </c>
      <c r="M34" s="124">
        <f>VLOOKUP($K34,'Genre Penetration'!A:B,2,0)*VLOOKUP($C34&amp;$E34,'Updated SES'!A:I,9,0)</f>
        <v>0.30149999999999999</v>
      </c>
      <c r="N34" s="124">
        <f>VLOOKUP(K:K,'Genre Penetration'!A:C,3,0)*VLOOKUP($C34&amp;$E34,'Updated SES'!A:J,10,0)</f>
        <v>0.18149999999999999</v>
      </c>
      <c r="O34" s="124">
        <f>VLOOKUP($B34,'Language Penetration'!$B$1:$BE$14,MATCH('Compile data Working'!$H41,'Language Penetration'!$B$1:$BE$1,0),0)</f>
        <v>0.2</v>
      </c>
      <c r="P34" s="124" t="str">
        <f ca="1">IF(ISBLANK(J34),RANDBETWEEN(1,2)&amp;"%",IF(J34=1,RANDBETWEEN(35,40)&amp;"%",IF(J34=2,RANDBETWEEN(30,35)&amp;"%",IF(J34=3,RANDBETWEEN(25,30)&amp;"%",IF(J34=4,RANDBETWEEN(20,25)&amp;"%",IF(J34=5,RANDBETWEEN(15,20)&amp;"%",IF(J34=6,RANDBETWEEN(10,15)&amp;"%",IF(J34=7,RANDBETWEEN(8,10)&amp;"%",IF(J34=8,RANDBETWEEN(6,8)&amp;"%",IF(J34=9,RANDBETWEEN(4,6)&amp;"%",IF(J34=10,RANDBETWEEN(2,4)&amp;"%","")))))))))))</f>
        <v>2%</v>
      </c>
      <c r="Q34" s="123">
        <f ca="1">IFERROR(L34*(M34+N34)*O34*P34,RANDBETWEEN(1,2)%*L34*(M34+N34)*O34)</f>
        <v>0.24559008264000004</v>
      </c>
      <c r="R34" s="125">
        <f>VLOOKUP(D:D,ranking!W:X,2,0)</f>
        <v>0.8</v>
      </c>
      <c r="S34" s="126">
        <f ca="1">R34*Q34</f>
        <v>0.19647206611200005</v>
      </c>
      <c r="T34" s="123">
        <v>13.736945742414999</v>
      </c>
    </row>
    <row r="35" spans="1:20" x14ac:dyDescent="0.25">
      <c r="A35" s="98" t="s">
        <v>1057</v>
      </c>
      <c r="B35" s="98" t="s">
        <v>85</v>
      </c>
      <c r="C35" s="46" t="s">
        <v>123</v>
      </c>
      <c r="D35" s="46" t="s">
        <v>1013</v>
      </c>
      <c r="E35" s="46" t="s">
        <v>211</v>
      </c>
      <c r="F35" s="46" t="s">
        <v>213</v>
      </c>
      <c r="G35" s="46" t="s">
        <v>1905</v>
      </c>
      <c r="H35" s="46" t="s">
        <v>77</v>
      </c>
      <c r="I35" s="53">
        <v>46192</v>
      </c>
      <c r="J35" s="119">
        <v>6</v>
      </c>
      <c r="K35" s="46" t="s">
        <v>145</v>
      </c>
      <c r="L35" s="123">
        <f>VLOOKUP($C35&amp;$E35,'Updated SES'!A:N,14,0)</f>
        <v>55.459200000000003</v>
      </c>
      <c r="M35" s="124">
        <f>VLOOKUP($K35,'Genre Penetration'!A:B,2,0)*VLOOKUP($C35&amp;$E35,'Updated SES'!A:I,9,0)</f>
        <v>0.18129999999999999</v>
      </c>
      <c r="N35" s="124">
        <f>VLOOKUP(K:K,'Genre Penetration'!A:C,3,0)*VLOOKUP($C35&amp;$E35,'Updated SES'!A:J,10,0)</f>
        <v>0.32130000000000003</v>
      </c>
      <c r="O35" s="124">
        <f>VLOOKUP($B35,'Language Penetration'!$B$1:$BE$14,MATCH('Compile data Working'!$H32,'Language Penetration'!$B$1:$BE$1,0),0)</f>
        <v>0.26250000000000001</v>
      </c>
      <c r="P35" s="124" t="str">
        <f ca="1">IF(ISBLANK(J35),RANDBETWEEN(1,2)&amp;"%",IF(J35=1,RANDBETWEEN(35,40)&amp;"%",IF(J35=2,RANDBETWEEN(30,35)&amp;"%",IF(J35=3,RANDBETWEEN(25,30)&amp;"%",IF(J35=4,RANDBETWEEN(20,25)&amp;"%",IF(J35=5,RANDBETWEEN(15,20)&amp;"%",IF(J35=6,RANDBETWEEN(10,15)&amp;"%",IF(J35=7,RANDBETWEEN(8,10)&amp;"%",IF(J35=8,RANDBETWEEN(6,8)&amp;"%",IF(J35=9,RANDBETWEEN(4,6)&amp;"%",IF(J35=10,RANDBETWEEN(2,4)&amp;"%","")))))))))))</f>
        <v>13%</v>
      </c>
      <c r="Q35" s="123">
        <f ca="1">IFERROR(L35*(M35+N35)*O35*P35,RANDBETWEEN(1,2)%*L35*(M35+N35)*O35)</f>
        <v>0.9511932175200003</v>
      </c>
      <c r="R35" s="125">
        <f>VLOOKUP(D:D,ranking!W:X,2,0)</f>
        <v>0.8</v>
      </c>
      <c r="S35" s="126">
        <f ca="1">R35*Q35</f>
        <v>0.76095457401600031</v>
      </c>
      <c r="T35" s="123">
        <v>13.721783512734101</v>
      </c>
    </row>
    <row r="36" spans="1:20" x14ac:dyDescent="0.25">
      <c r="A36" s="98" t="s">
        <v>1861</v>
      </c>
      <c r="B36" s="98" t="s">
        <v>85</v>
      </c>
      <c r="C36" s="46" t="s">
        <v>64</v>
      </c>
      <c r="D36" s="46" t="s">
        <v>859</v>
      </c>
      <c r="E36" s="46" t="s">
        <v>211</v>
      </c>
      <c r="F36" s="46" t="s">
        <v>213</v>
      </c>
      <c r="G36" s="46" t="s">
        <v>1875</v>
      </c>
      <c r="H36" s="46" t="s">
        <v>40</v>
      </c>
      <c r="I36" s="53">
        <v>46190</v>
      </c>
      <c r="J36" s="98"/>
      <c r="K36" s="46" t="s">
        <v>275</v>
      </c>
      <c r="L36" s="123">
        <f>VLOOKUP($C36&amp;$E36,'Updated SES'!A:N,14,0)</f>
        <v>36.498239999999996</v>
      </c>
      <c r="M36" s="124">
        <f>VLOOKUP($K36,'Genre Penetration'!A:B,2,0)*VLOOKUP($C36&amp;$E36,'Updated SES'!A:I,9,0)</f>
        <v>0.28600000000000003</v>
      </c>
      <c r="N36" s="124">
        <f>VLOOKUP(K:K,'Genre Penetration'!A:C,3,0)*VLOOKUP($C36&amp;$E36,'Updated SES'!A:J,10,0)</f>
        <v>0.216</v>
      </c>
      <c r="O36" s="124">
        <f>VLOOKUP($B36,'Language Penetration'!$B$1:$BE$14,MATCH('Compile data Working'!$H16,'Language Penetration'!$B$1:$BE$1,0),0)</f>
        <v>0.6</v>
      </c>
      <c r="P36" s="124" t="str">
        <f ca="1">IF(ISBLANK(J36),RANDBETWEEN(1,2)&amp;"%",IF(J36=1,RANDBETWEEN(35,40)&amp;"%",IF(J36=2,RANDBETWEEN(30,35)&amp;"%",IF(J36=3,RANDBETWEEN(25,30)&amp;"%",IF(J36=4,RANDBETWEEN(20,25)&amp;"%",IF(J36=5,RANDBETWEEN(15,20)&amp;"%",IF(J36=6,RANDBETWEEN(10,15)&amp;"%",IF(J36=7,RANDBETWEEN(8,10)&amp;"%",IF(J36=8,RANDBETWEEN(6,8)&amp;"%",IF(J36=9,RANDBETWEEN(4,6)&amp;"%",IF(J36=10,RANDBETWEEN(2,4)&amp;"%","")))))))))))</f>
        <v>2%</v>
      </c>
      <c r="Q36" s="123">
        <f ca="1">IFERROR(L36*(M36+N36)*O36*P36,RANDBETWEEN(1,2)%*L36*(M36+N36)*O36)</f>
        <v>0.21986539775999997</v>
      </c>
      <c r="R36" s="125">
        <f>VLOOKUP(D:D,ranking!W:X,2,0)</f>
        <v>0.7</v>
      </c>
      <c r="S36" s="126">
        <f ca="1">R36*Q36</f>
        <v>0.15390577843199996</v>
      </c>
      <c r="T36" s="123">
        <v>13.390688017437</v>
      </c>
    </row>
    <row r="37" spans="1:20" x14ac:dyDescent="0.25">
      <c r="A37" s="98" t="s">
        <v>1057</v>
      </c>
      <c r="B37" s="98" t="s">
        <v>85</v>
      </c>
      <c r="C37" s="98" t="s">
        <v>132</v>
      </c>
      <c r="D37" s="98" t="s">
        <v>456</v>
      </c>
      <c r="E37" s="98" t="s">
        <v>219</v>
      </c>
      <c r="F37" s="46" t="s">
        <v>215</v>
      </c>
      <c r="G37" s="46" t="s">
        <v>1842</v>
      </c>
      <c r="H37" s="98" t="s">
        <v>19</v>
      </c>
      <c r="I37" s="53">
        <v>46175</v>
      </c>
      <c r="J37" s="119">
        <v>2</v>
      </c>
      <c r="K37" s="46" t="s">
        <v>245</v>
      </c>
      <c r="L37" s="123">
        <f>VLOOKUP($C37&amp;$E37,'Updated SES'!A:N,14,0)</f>
        <v>5.2679999999999998</v>
      </c>
      <c r="M37" s="124">
        <f>VLOOKUP($K37,'Genre Penetration'!A:B,2,0)*VLOOKUP($C37&amp;$E37,'Updated SES'!A:I,9,0)</f>
        <v>0.38279999999999997</v>
      </c>
      <c r="N37" s="124">
        <f>VLOOKUP(K:K,'Genre Penetration'!A:C,3,0)*VLOOKUP($C37&amp;$E37,'Updated SES'!A:J,10,0)</f>
        <v>0.14280000000000001</v>
      </c>
      <c r="O37" s="124">
        <f>VLOOKUP($B37,'Language Penetration'!$B$1:$BE$14,MATCH('Compile data Working'!$H43,'Language Penetration'!$B$1:$BE$1,0),0)</f>
        <v>0.15</v>
      </c>
      <c r="P37" s="124" t="str">
        <f ca="1">IF(ISBLANK(J37),RANDBETWEEN(1,2)&amp;"%",IF(J37=1,RANDBETWEEN(35,40)&amp;"%",IF(J37=2,RANDBETWEEN(30,35)&amp;"%",IF(J37=3,RANDBETWEEN(25,30)&amp;"%",IF(J37=4,RANDBETWEEN(20,25)&amp;"%",IF(J37=5,RANDBETWEEN(15,20)&amp;"%",IF(J37=6,RANDBETWEEN(10,15)&amp;"%",IF(J37=7,RANDBETWEEN(8,10)&amp;"%",IF(J37=8,RANDBETWEEN(6,8)&amp;"%",IF(J37=9,RANDBETWEEN(4,6)&amp;"%",IF(J37=10,RANDBETWEEN(2,4)&amp;"%","")))))))))))</f>
        <v>30%</v>
      </c>
      <c r="Q37" s="123">
        <f ca="1">IFERROR(L37*(M37+N37)*O37*P37,RANDBETWEEN(1,2)%*L37*(M37+N37)*O37)</f>
        <v>0.12459873599999997</v>
      </c>
      <c r="R37" s="125">
        <f>VLOOKUP(D:D,ranking!W:X,2,0)</f>
        <v>0.3</v>
      </c>
      <c r="S37" s="126">
        <f ca="1">R37*Q37</f>
        <v>3.7379620799999992E-2</v>
      </c>
      <c r="T37" s="123">
        <v>13.291293847915249</v>
      </c>
    </row>
    <row r="38" spans="1:20" x14ac:dyDescent="0.25">
      <c r="A38" s="98" t="s">
        <v>1057</v>
      </c>
      <c r="B38" s="98" t="s">
        <v>85</v>
      </c>
      <c r="C38" s="98" t="s">
        <v>132</v>
      </c>
      <c r="D38" s="98" t="s">
        <v>456</v>
      </c>
      <c r="E38" s="98" t="s">
        <v>219</v>
      </c>
      <c r="F38" s="46" t="s">
        <v>215</v>
      </c>
      <c r="G38" s="46" t="s">
        <v>1843</v>
      </c>
      <c r="H38" s="98" t="s">
        <v>19</v>
      </c>
      <c r="I38" s="53">
        <v>46179</v>
      </c>
      <c r="J38" s="119">
        <v>5</v>
      </c>
      <c r="K38" s="46" t="s">
        <v>1797</v>
      </c>
      <c r="L38" s="123">
        <f>VLOOKUP($C38&amp;$E38,'Updated SES'!A:N,14,0)</f>
        <v>5.2679999999999998</v>
      </c>
      <c r="M38" s="124">
        <f>VLOOKUP($K38,'Genre Penetration'!A:B,2,0)*VLOOKUP($C38&amp;$E38,'Updated SES'!A:I,9,0)</f>
        <v>0.26400000000000001</v>
      </c>
      <c r="N38" s="124">
        <f>VLOOKUP(K:K,'Genre Penetration'!A:C,3,0)*VLOOKUP($C38&amp;$E38,'Updated SES'!A:J,10,0)</f>
        <v>0.20400000000000001</v>
      </c>
      <c r="O38" s="124">
        <f>VLOOKUP($B38,'Language Penetration'!$B$1:$BE$14,MATCH('Compile data Working'!$H44,'Language Penetration'!$B$1:$BE$1,0),0)</f>
        <v>0.2</v>
      </c>
      <c r="P38" s="124" t="str">
        <f ca="1">IF(ISBLANK(J38),RANDBETWEEN(1,2)&amp;"%",IF(J38=1,RANDBETWEEN(35,40)&amp;"%",IF(J38=2,RANDBETWEEN(30,35)&amp;"%",IF(J38=3,RANDBETWEEN(25,30)&amp;"%",IF(J38=4,RANDBETWEEN(20,25)&amp;"%",IF(J38=5,RANDBETWEEN(15,20)&amp;"%",IF(J38=6,RANDBETWEEN(10,15)&amp;"%",IF(J38=7,RANDBETWEEN(8,10)&amp;"%",IF(J38=8,RANDBETWEEN(6,8)&amp;"%",IF(J38=9,RANDBETWEEN(4,6)&amp;"%",IF(J38=10,RANDBETWEEN(2,4)&amp;"%","")))))))))))</f>
        <v>19%</v>
      </c>
      <c r="Q38" s="123">
        <f ca="1">IFERROR(L38*(M38+N38)*O38*P38,RANDBETWEEN(1,2)%*L38*(M38+N38)*O38)</f>
        <v>9.3686112000000016E-2</v>
      </c>
      <c r="R38" s="125">
        <f>VLOOKUP(D:D,ranking!W:X,2,0)</f>
        <v>0.3</v>
      </c>
      <c r="S38" s="126">
        <f ca="1">R38*Q38</f>
        <v>2.8105833600000005E-2</v>
      </c>
      <c r="T38" s="123">
        <v>13.131151492464983</v>
      </c>
    </row>
    <row r="39" spans="1:20" x14ac:dyDescent="0.25">
      <c r="A39" s="98" t="s">
        <v>1057</v>
      </c>
      <c r="B39" s="98" t="s">
        <v>85</v>
      </c>
      <c r="C39" s="46" t="s">
        <v>123</v>
      </c>
      <c r="D39" s="46" t="s">
        <v>431</v>
      </c>
      <c r="E39" s="46" t="s">
        <v>211</v>
      </c>
      <c r="F39" s="46" t="s">
        <v>215</v>
      </c>
      <c r="G39" s="46" t="s">
        <v>1890</v>
      </c>
      <c r="H39" s="46" t="s">
        <v>77</v>
      </c>
      <c r="I39" s="53">
        <v>46191</v>
      </c>
      <c r="J39" s="119">
        <v>2</v>
      </c>
      <c r="K39" s="46" t="s">
        <v>202</v>
      </c>
      <c r="L39" s="123">
        <f>VLOOKUP($C39&amp;$E39,'Updated SES'!A:N,14,0)</f>
        <v>55.459200000000003</v>
      </c>
      <c r="M39" s="124">
        <f>VLOOKUP($K39,'Genre Penetration'!A:B,2,0)*VLOOKUP($C39&amp;$E39,'Updated SES'!A:I,9,0)</f>
        <v>0.3528</v>
      </c>
      <c r="N39" s="124">
        <f>VLOOKUP(K:K,'Genre Penetration'!A:C,3,0)*VLOOKUP($C39&amp;$E39,'Updated SES'!A:J,10,0)</f>
        <v>0.14280000000000001</v>
      </c>
      <c r="O39" s="124">
        <f>VLOOKUP($B39,'Language Penetration'!$B$1:$BE$14,MATCH('Compile data Working'!$H21,'Language Penetration'!$B$1:$BE$1,0),0)</f>
        <v>0.20400000000000001</v>
      </c>
      <c r="P39" s="124" t="str">
        <f ca="1">IF(ISBLANK(J39),RANDBETWEEN(1,2)&amp;"%",IF(J39=1,RANDBETWEEN(35,40)&amp;"%",IF(J39=2,RANDBETWEEN(30,35)&amp;"%",IF(J39=3,RANDBETWEEN(25,30)&amp;"%",IF(J39=4,RANDBETWEEN(20,25)&amp;"%",IF(J39=5,RANDBETWEEN(15,20)&amp;"%",IF(J39=6,RANDBETWEEN(10,15)&amp;"%",IF(J39=7,RANDBETWEEN(8,10)&amp;"%",IF(J39=8,RANDBETWEEN(6,8)&amp;"%",IF(J39=9,RANDBETWEEN(4,6)&amp;"%",IF(J39=10,RANDBETWEEN(2,4)&amp;"%","")))))))))))</f>
        <v>35%</v>
      </c>
      <c r="Q39" s="123">
        <f ca="1">IFERROR(L39*(M39+N39)*O39*P39,RANDBETWEEN(1,2)%*L39*(M39+N39)*O39)</f>
        <v>1.9624703777280006</v>
      </c>
      <c r="R39" s="125">
        <f>VLOOKUP(D:D,ranking!W:X,2,0)</f>
        <v>0.6</v>
      </c>
      <c r="S39" s="126">
        <f ca="1">R39*Q39</f>
        <v>1.1774822266368004</v>
      </c>
      <c r="T39" s="123">
        <v>13.1209622819428</v>
      </c>
    </row>
    <row r="40" spans="1:20" x14ac:dyDescent="0.25">
      <c r="A40" s="98" t="s">
        <v>1057</v>
      </c>
      <c r="B40" s="98" t="s">
        <v>85</v>
      </c>
      <c r="C40" s="98" t="s">
        <v>132</v>
      </c>
      <c r="D40" s="46" t="s">
        <v>859</v>
      </c>
      <c r="E40" s="98" t="s">
        <v>211</v>
      </c>
      <c r="F40" s="46" t="s">
        <v>213</v>
      </c>
      <c r="G40" s="53" t="s">
        <v>1893</v>
      </c>
      <c r="H40" s="46" t="s">
        <v>1058</v>
      </c>
      <c r="I40" s="53">
        <v>46192</v>
      </c>
      <c r="J40" s="46">
        <v>1</v>
      </c>
      <c r="K40" s="46" t="s">
        <v>78</v>
      </c>
      <c r="L40" s="123">
        <f>VLOOKUP($C40&amp;$E40,'Updated SES'!A:N,14,0)</f>
        <v>21.682040000000004</v>
      </c>
      <c r="M40" s="124">
        <f>VLOOKUP($K40,'Genre Penetration'!A:B,2,0)*VLOOKUP($C40&amp;$E40,'Updated SES'!A:I,9,0)</f>
        <v>0.312</v>
      </c>
      <c r="N40" s="124">
        <f>VLOOKUP(K:K,'Genre Penetration'!A:C,3,0)*VLOOKUP($C40&amp;$E40,'Updated SES'!A:J,10,0)</f>
        <v>0.182</v>
      </c>
      <c r="O40" s="124">
        <f>VLOOKUP($B40,'Language Penetration'!$B$1:$BE$14,MATCH('Compile data Working'!$H45,'Language Penetration'!$B$1:$BE$1,0),0)</f>
        <v>0.2</v>
      </c>
      <c r="P40" s="124" t="str">
        <f ca="1">IF(ISBLANK(J40),RANDBETWEEN(1,2)&amp;"%",IF(J40=1,RANDBETWEEN(35,40)&amp;"%",IF(J40=2,RANDBETWEEN(30,35)&amp;"%",IF(J40=3,RANDBETWEEN(25,30)&amp;"%",IF(J40=4,RANDBETWEEN(20,25)&amp;"%",IF(J40=5,RANDBETWEEN(15,20)&amp;"%",IF(J40=6,RANDBETWEEN(10,15)&amp;"%",IF(J40=7,RANDBETWEEN(8,10)&amp;"%",IF(J40=8,RANDBETWEEN(6,8)&amp;"%",IF(J40=9,RANDBETWEEN(4,6)&amp;"%",IF(J40=10,RANDBETWEEN(2,4)&amp;"%","")))))))))))</f>
        <v>35%</v>
      </c>
      <c r="Q40" s="123">
        <f ca="1">IFERROR(L40*(M40+N40)*O40*P40,RANDBETWEEN(1,2)%*L40*(M40+N40)*O40)</f>
        <v>0.74976494320000009</v>
      </c>
      <c r="R40" s="125">
        <f>VLOOKUP(D:D,ranking!W:X,2,0)</f>
        <v>0.7</v>
      </c>
      <c r="S40" s="126">
        <f ca="1">R40*Q40</f>
        <v>0.52483546024000005</v>
      </c>
      <c r="T40" s="123">
        <v>12.9465782050363</v>
      </c>
    </row>
    <row r="41" spans="1:20" x14ac:dyDescent="0.25">
      <c r="A41" s="98" t="s">
        <v>1861</v>
      </c>
      <c r="B41" s="98" t="s">
        <v>85</v>
      </c>
      <c r="C41" s="46" t="s">
        <v>123</v>
      </c>
      <c r="D41" s="46" t="s">
        <v>859</v>
      </c>
      <c r="E41" s="46" t="s">
        <v>211</v>
      </c>
      <c r="F41" s="46" t="s">
        <v>213</v>
      </c>
      <c r="G41" s="46" t="s">
        <v>1894</v>
      </c>
      <c r="H41" s="46" t="s">
        <v>20</v>
      </c>
      <c r="I41" s="53">
        <v>46192</v>
      </c>
      <c r="J41" s="98"/>
      <c r="K41" s="46" t="s">
        <v>216</v>
      </c>
      <c r="L41" s="123">
        <f>VLOOKUP($C41&amp;$E41,'Updated SES'!A:N,14,0)</f>
        <v>55.459200000000003</v>
      </c>
      <c r="M41" s="124">
        <f>VLOOKUP($K41,'Genre Penetration'!A:B,2,0)*VLOOKUP($C41&amp;$E41,'Updated SES'!A:I,9,0)</f>
        <v>0.245</v>
      </c>
      <c r="N41" s="124">
        <f>VLOOKUP(K:K,'Genre Penetration'!A:C,3,0)*VLOOKUP($C41&amp;$E41,'Updated SES'!A:J,10,0)</f>
        <v>0.255</v>
      </c>
      <c r="O41" s="124">
        <f>VLOOKUP($B41,'Language Penetration'!$B$1:$BE$14,MATCH('Compile data Working'!$H24,'Language Penetration'!$B$1:$BE$1,0),0)</f>
        <v>0.26250000000000001</v>
      </c>
      <c r="P41" s="124" t="str">
        <f ca="1">IF(ISBLANK(J41),RANDBETWEEN(1,2)&amp;"%",IF(J41=1,RANDBETWEEN(35,40)&amp;"%",IF(J41=2,RANDBETWEEN(30,35)&amp;"%",IF(J41=3,RANDBETWEEN(25,30)&amp;"%",IF(J41=4,RANDBETWEEN(20,25)&amp;"%",IF(J41=5,RANDBETWEEN(15,20)&amp;"%",IF(J41=6,RANDBETWEEN(10,15)&amp;"%",IF(J41=7,RANDBETWEEN(8,10)&amp;"%",IF(J41=8,RANDBETWEEN(6,8)&amp;"%",IF(J41=9,RANDBETWEEN(4,6)&amp;"%",IF(J41=10,RANDBETWEEN(2,4)&amp;"%","")))))))))))</f>
        <v>1%</v>
      </c>
      <c r="Q41" s="123">
        <f ca="1">IFERROR(L41*(M41+N41)*O41*P41,RANDBETWEEN(1,2)%*L41*(M41+N41)*O41)</f>
        <v>7.2790200000000013E-2</v>
      </c>
      <c r="R41" s="125">
        <f>VLOOKUP(D:D,ranking!W:X,2,0)</f>
        <v>0.7</v>
      </c>
      <c r="S41" s="126">
        <f ca="1">R41*Q41</f>
        <v>5.0953140000000008E-2</v>
      </c>
      <c r="T41" s="123">
        <v>12.8719203845327</v>
      </c>
    </row>
    <row r="42" spans="1:20" x14ac:dyDescent="0.25">
      <c r="A42" s="98" t="s">
        <v>1861</v>
      </c>
      <c r="B42" s="98" t="s">
        <v>85</v>
      </c>
      <c r="C42" s="46" t="s">
        <v>64</v>
      </c>
      <c r="D42" s="46" t="s">
        <v>859</v>
      </c>
      <c r="E42" s="46" t="s">
        <v>211</v>
      </c>
      <c r="F42" s="46" t="s">
        <v>213</v>
      </c>
      <c r="G42" s="46" t="s">
        <v>1879</v>
      </c>
      <c r="H42" s="46" t="s">
        <v>20</v>
      </c>
      <c r="I42" s="53">
        <v>46190</v>
      </c>
      <c r="J42" s="98"/>
      <c r="K42" s="46" t="s">
        <v>154</v>
      </c>
      <c r="L42" s="123">
        <f>VLOOKUP($C42&amp;$E42,'Updated SES'!A:N,14,0)</f>
        <v>36.498239999999996</v>
      </c>
      <c r="M42" s="124">
        <f>VLOOKUP($K42,'Genre Penetration'!A:B,2,0)*VLOOKUP($C42&amp;$E42,'Updated SES'!A:I,9,0)</f>
        <v>0.156</v>
      </c>
      <c r="N42" s="124">
        <f>VLOOKUP(K:K,'Genre Penetration'!A:C,3,0)*VLOOKUP($C42&amp;$E42,'Updated SES'!A:J,10,0)</f>
        <v>0.33599999999999997</v>
      </c>
      <c r="O42" s="124">
        <f>VLOOKUP($B42,'Language Penetration'!$B$1:$BE$14,MATCH('Compile data Working'!$H46,'Language Penetration'!$B$1:$BE$1,0),0)</f>
        <v>0.2</v>
      </c>
      <c r="P42" s="124" t="str">
        <f ca="1">IF(ISBLANK(J42),RANDBETWEEN(1,2)&amp;"%",IF(J42=1,RANDBETWEEN(35,40)&amp;"%",IF(J42=2,RANDBETWEEN(30,35)&amp;"%",IF(J42=3,RANDBETWEEN(25,30)&amp;"%",IF(J42=4,RANDBETWEEN(20,25)&amp;"%",IF(J42=5,RANDBETWEEN(15,20)&amp;"%",IF(J42=6,RANDBETWEEN(10,15)&amp;"%",IF(J42=7,RANDBETWEEN(8,10)&amp;"%",IF(J42=8,RANDBETWEEN(6,8)&amp;"%",IF(J42=9,RANDBETWEEN(4,6)&amp;"%",IF(J42=10,RANDBETWEEN(2,4)&amp;"%","")))))))))))</f>
        <v>2%</v>
      </c>
      <c r="Q42" s="123">
        <f ca="1">IFERROR(L42*(M42+N42)*O42*P42,RANDBETWEEN(1,2)%*L42*(M42+N42)*O42)</f>
        <v>7.1828536319999983E-2</v>
      </c>
      <c r="R42" s="125">
        <f>VLOOKUP(D:D,ranking!W:X,2,0)</f>
        <v>0.7</v>
      </c>
      <c r="S42" s="126">
        <f ca="1">R42*Q42</f>
        <v>5.0279975423999985E-2</v>
      </c>
      <c r="T42" s="123">
        <v>12.566970145248643</v>
      </c>
    </row>
    <row r="43" spans="1:20" x14ac:dyDescent="0.25">
      <c r="A43" s="98" t="s">
        <v>1861</v>
      </c>
      <c r="B43" s="98" t="s">
        <v>85</v>
      </c>
      <c r="C43" s="46" t="s">
        <v>64</v>
      </c>
      <c r="D43" s="46" t="s">
        <v>859</v>
      </c>
      <c r="E43" s="46" t="s">
        <v>233</v>
      </c>
      <c r="F43" s="46" t="s">
        <v>213</v>
      </c>
      <c r="G43" s="46" t="s">
        <v>1865</v>
      </c>
      <c r="H43" s="46" t="s">
        <v>23</v>
      </c>
      <c r="I43" s="53">
        <v>46188</v>
      </c>
      <c r="J43" s="98"/>
      <c r="K43" s="46" t="s">
        <v>90</v>
      </c>
      <c r="L43" s="123">
        <f>VLOOKUP($C43&amp;$E43,'Updated SES'!A:N,14,0)</f>
        <v>4.6890000000000001</v>
      </c>
      <c r="M43" s="124">
        <f>VLOOKUP($K43,'Genre Penetration'!A:B,2,0)*VLOOKUP($C43&amp;$E43,'Updated SES'!A:I,9,0)</f>
        <v>0.48960000000000004</v>
      </c>
      <c r="N43" s="124">
        <f>VLOOKUP(K:K,'Genre Penetration'!A:C,3,0)*VLOOKUP($C43&amp;$E43,'Updated SES'!A:J,10,0)</f>
        <v>8.9600000000000013E-2</v>
      </c>
      <c r="O43" s="124">
        <f>VLOOKUP($B43,'Language Penetration'!$B$1:$BE$14,MATCH('Compile data Working'!$H47,'Language Penetration'!$B$1:$BE$1,0),0)</f>
        <v>0.2</v>
      </c>
      <c r="P43" s="124" t="str">
        <f ca="1">IF(ISBLANK(J43),RANDBETWEEN(1,2)&amp;"%",IF(J43=1,RANDBETWEEN(35,40)&amp;"%",IF(J43=2,RANDBETWEEN(30,35)&amp;"%",IF(J43=3,RANDBETWEEN(25,30)&amp;"%",IF(J43=4,RANDBETWEEN(20,25)&amp;"%",IF(J43=5,RANDBETWEEN(15,20)&amp;"%",IF(J43=6,RANDBETWEEN(10,15)&amp;"%",IF(J43=7,RANDBETWEEN(8,10)&amp;"%",IF(J43=8,RANDBETWEEN(6,8)&amp;"%",IF(J43=9,RANDBETWEEN(4,6)&amp;"%",IF(J43=10,RANDBETWEEN(2,4)&amp;"%","")))))))))))</f>
        <v>2%</v>
      </c>
      <c r="Q43" s="123">
        <f ca="1">IFERROR(L43*(M43+N43)*O43*P43,RANDBETWEEN(1,2)%*L43*(M43+N43)*O43)</f>
        <v>1.0863475200000002E-2</v>
      </c>
      <c r="R43" s="125">
        <f>VLOOKUP(D:D,ranking!W:X,2,0)</f>
        <v>0.7</v>
      </c>
      <c r="S43" s="126">
        <f ca="1">R43*Q43</f>
        <v>7.6044326400000004E-3</v>
      </c>
      <c r="T43" s="123">
        <v>12.260458678291361</v>
      </c>
    </row>
    <row r="44" spans="1:20" x14ac:dyDescent="0.25">
      <c r="A44" s="98" t="s">
        <v>1861</v>
      </c>
      <c r="B44" s="98" t="s">
        <v>85</v>
      </c>
      <c r="C44" s="46" t="s">
        <v>123</v>
      </c>
      <c r="D44" s="46" t="s">
        <v>859</v>
      </c>
      <c r="E44" s="46" t="s">
        <v>211</v>
      </c>
      <c r="F44" s="46" t="s">
        <v>213</v>
      </c>
      <c r="G44" s="53" t="s">
        <v>1891</v>
      </c>
      <c r="H44" s="46" t="s">
        <v>20</v>
      </c>
      <c r="I44" s="53">
        <v>46191</v>
      </c>
      <c r="J44" s="98"/>
      <c r="K44" s="46" t="s">
        <v>381</v>
      </c>
      <c r="L44" s="123">
        <f>VLOOKUP($C44&amp;$E44,'Updated SES'!A:N,14,0)</f>
        <v>55.459200000000003</v>
      </c>
      <c r="M44" s="124">
        <f>VLOOKUP($K44,'Genre Penetration'!A:B,2,0)*VLOOKUP($C44&amp;$E44,'Updated SES'!A:I,9,0)</f>
        <v>0.26950000000000002</v>
      </c>
      <c r="N44" s="124">
        <f>VLOOKUP(K:K,'Genre Penetration'!A:C,3,0)*VLOOKUP($C44&amp;$E44,'Updated SES'!A:J,10,0)</f>
        <v>0.22950000000000001</v>
      </c>
      <c r="O44" s="124">
        <f>VLOOKUP($B44,'Language Penetration'!$B$1:$BE$14,MATCH('Compile data Working'!$H22,'Language Penetration'!$B$1:$BE$1,0),0)</f>
        <v>0.2</v>
      </c>
      <c r="P44" s="124" t="str">
        <f ca="1">IF(ISBLANK(J44),RANDBETWEEN(1,2)&amp;"%",IF(J44=1,RANDBETWEEN(35,40)&amp;"%",IF(J44=2,RANDBETWEEN(30,35)&amp;"%",IF(J44=3,RANDBETWEEN(25,30)&amp;"%",IF(J44=4,RANDBETWEEN(20,25)&amp;"%",IF(J44=5,RANDBETWEEN(15,20)&amp;"%",IF(J44=6,RANDBETWEEN(10,15)&amp;"%",IF(J44=7,RANDBETWEEN(8,10)&amp;"%",IF(J44=8,RANDBETWEEN(6,8)&amp;"%",IF(J44=9,RANDBETWEEN(4,6)&amp;"%",IF(J44=10,RANDBETWEEN(2,4)&amp;"%","")))))))))))</f>
        <v>2%</v>
      </c>
      <c r="Q44" s="123">
        <f ca="1">IFERROR(L44*(M44+N44)*O44*P44,RANDBETWEEN(1,2)%*L44*(M44+N44)*O44)</f>
        <v>0.1106965632</v>
      </c>
      <c r="R44" s="125">
        <f>VLOOKUP(D:D,ranking!W:X,2,0)</f>
        <v>0.7</v>
      </c>
      <c r="S44" s="126">
        <f ca="1">R44*Q44</f>
        <v>7.7487594239999999E-2</v>
      </c>
      <c r="T44" s="123">
        <v>12.059386166583</v>
      </c>
    </row>
    <row r="45" spans="1:20" x14ac:dyDescent="0.25">
      <c r="A45" s="98" t="s">
        <v>1861</v>
      </c>
      <c r="B45" s="98" t="s">
        <v>85</v>
      </c>
      <c r="C45" s="46" t="s">
        <v>64</v>
      </c>
      <c r="D45" s="46" t="s">
        <v>859</v>
      </c>
      <c r="E45" s="46" t="s">
        <v>211</v>
      </c>
      <c r="F45" s="46" t="s">
        <v>213</v>
      </c>
      <c r="G45" s="46" t="s">
        <v>1873</v>
      </c>
      <c r="H45" s="46" t="s">
        <v>20</v>
      </c>
      <c r="I45" s="53">
        <v>46190</v>
      </c>
      <c r="J45" s="98"/>
      <c r="K45" s="46" t="s">
        <v>138</v>
      </c>
      <c r="L45" s="123">
        <f>VLOOKUP($C45&amp;$E45,'Updated SES'!A:N,14,0)</f>
        <v>36.498239999999996</v>
      </c>
      <c r="M45" s="124">
        <f>VLOOKUP($K45,'Genre Penetration'!A:B,2,0)*VLOOKUP($C45&amp;$E45,'Updated SES'!A:I,9,0)</f>
        <v>0.24440000000000001</v>
      </c>
      <c r="N45" s="124">
        <f>VLOOKUP(K:K,'Genre Penetration'!A:C,3,0)*VLOOKUP($C45&amp;$E45,'Updated SES'!A:J,10,0)</f>
        <v>0.25440000000000002</v>
      </c>
      <c r="O45" s="124">
        <f>VLOOKUP($B45,'Language Penetration'!$B$1:$BE$14,MATCH('Compile data Working'!$H48,'Language Penetration'!$B$1:$BE$1,0),0)</f>
        <v>0.26250000000000001</v>
      </c>
      <c r="P45" s="124" t="str">
        <f ca="1">IF(ISBLANK(J45),RANDBETWEEN(1,2)&amp;"%",IF(J45=1,RANDBETWEEN(35,40)&amp;"%",IF(J45=2,RANDBETWEEN(30,35)&amp;"%",IF(J45=3,RANDBETWEEN(25,30)&amp;"%",IF(J45=4,RANDBETWEEN(20,25)&amp;"%",IF(J45=5,RANDBETWEEN(15,20)&amp;"%",IF(J45=6,RANDBETWEEN(10,15)&amp;"%",IF(J45=7,RANDBETWEEN(8,10)&amp;"%",IF(J45=8,RANDBETWEEN(6,8)&amp;"%",IF(J45=9,RANDBETWEEN(4,6)&amp;"%",IF(J45=10,RANDBETWEEN(2,4)&amp;"%","")))))))))))</f>
        <v>2%</v>
      </c>
      <c r="Q45" s="123">
        <f ca="1">IFERROR(L45*(M45+N45)*O45*P45,RANDBETWEEN(1,2)%*L45*(M45+N45)*O45)</f>
        <v>9.5577941087999996E-2</v>
      </c>
      <c r="R45" s="125">
        <f>VLOOKUP(D:D,ranking!W:X,2,0)</f>
        <v>0.7</v>
      </c>
      <c r="S45" s="126">
        <f ca="1">R45*Q45</f>
        <v>6.6904558761599994E-2</v>
      </c>
      <c r="T45" s="123">
        <v>12</v>
      </c>
    </row>
    <row r="46" spans="1:20" x14ac:dyDescent="0.25">
      <c r="A46" s="98" t="s">
        <v>1861</v>
      </c>
      <c r="B46" s="98" t="s">
        <v>85</v>
      </c>
      <c r="C46" s="46" t="s">
        <v>64</v>
      </c>
      <c r="D46" s="46" t="s">
        <v>859</v>
      </c>
      <c r="E46" s="46" t="s">
        <v>211</v>
      </c>
      <c r="F46" s="46" t="s">
        <v>213</v>
      </c>
      <c r="G46" s="46" t="s">
        <v>1882</v>
      </c>
      <c r="H46" s="46" t="s">
        <v>20</v>
      </c>
      <c r="I46" s="53">
        <v>46190</v>
      </c>
      <c r="J46" s="98"/>
      <c r="K46" s="46" t="s">
        <v>145</v>
      </c>
      <c r="L46" s="123">
        <f>VLOOKUP($C46&amp;$E46,'Updated SES'!A:N,14,0)</f>
        <v>36.498239999999996</v>
      </c>
      <c r="M46" s="124">
        <f>VLOOKUP($K46,'Genre Penetration'!A:B,2,0)*VLOOKUP($C46&amp;$E46,'Updated SES'!A:I,9,0)</f>
        <v>0.19240000000000002</v>
      </c>
      <c r="N46" s="124">
        <f>VLOOKUP(K:K,'Genre Penetration'!A:C,3,0)*VLOOKUP($C46&amp;$E46,'Updated SES'!A:J,10,0)</f>
        <v>0.3024</v>
      </c>
      <c r="O46" s="124">
        <f>VLOOKUP($B46,'Language Penetration'!$B$1:$BE$14,MATCH('Compile data Working'!$H49,'Language Penetration'!$B$1:$BE$1,0),0)</f>
        <v>0.2</v>
      </c>
      <c r="P46" s="124" t="str">
        <f ca="1">IF(ISBLANK(J46),RANDBETWEEN(1,2)&amp;"%",IF(J46=1,RANDBETWEEN(35,40)&amp;"%",IF(J46=2,RANDBETWEEN(30,35)&amp;"%",IF(J46=3,RANDBETWEEN(25,30)&amp;"%",IF(J46=4,RANDBETWEEN(20,25)&amp;"%",IF(J46=5,RANDBETWEEN(15,20)&amp;"%",IF(J46=6,RANDBETWEEN(10,15)&amp;"%",IF(J46=7,RANDBETWEEN(8,10)&amp;"%",IF(J46=8,RANDBETWEEN(6,8)&amp;"%",IF(J46=9,RANDBETWEEN(4,6)&amp;"%",IF(J46=10,RANDBETWEEN(2,4)&amp;"%","")))))))))))</f>
        <v>2%</v>
      </c>
      <c r="Q46" s="123">
        <f ca="1">IFERROR(L46*(M46+N46)*O46*P46,RANDBETWEEN(1,2)%*L46*(M46+N46)*O46)</f>
        <v>7.2237316608000007E-2</v>
      </c>
      <c r="R46" s="125">
        <f>VLOOKUP(D:D,ranking!W:X,2,0)</f>
        <v>0.7</v>
      </c>
      <c r="S46" s="126">
        <f ca="1">R46*Q46</f>
        <v>5.0566121625600001E-2</v>
      </c>
      <c r="T46" s="123">
        <v>11.800691477855434</v>
      </c>
    </row>
    <row r="47" spans="1:20" x14ac:dyDescent="0.25">
      <c r="A47" s="98" t="s">
        <v>1861</v>
      </c>
      <c r="B47" s="98" t="s">
        <v>85</v>
      </c>
      <c r="C47" s="46" t="s">
        <v>64</v>
      </c>
      <c r="D47" s="46" t="s">
        <v>859</v>
      </c>
      <c r="E47" s="46" t="s">
        <v>211</v>
      </c>
      <c r="F47" s="46" t="s">
        <v>213</v>
      </c>
      <c r="G47" s="53" t="s">
        <v>1878</v>
      </c>
      <c r="H47" s="46" t="s">
        <v>20</v>
      </c>
      <c r="I47" s="53">
        <v>46190</v>
      </c>
      <c r="J47" s="98"/>
      <c r="K47" s="46" t="s">
        <v>172</v>
      </c>
      <c r="L47" s="123">
        <f>VLOOKUP($C47&amp;$E47,'Updated SES'!A:N,14,0)</f>
        <v>36.498239999999996</v>
      </c>
      <c r="M47" s="124">
        <f>VLOOKUP($K47,'Genre Penetration'!A:B,2,0)*VLOOKUP($C47&amp;$E47,'Updated SES'!A:I,9,0)</f>
        <v>0.20800000000000002</v>
      </c>
      <c r="N47" s="124">
        <f>VLOOKUP(K:K,'Genre Penetration'!A:C,3,0)*VLOOKUP($C47&amp;$E47,'Updated SES'!A:J,10,0)</f>
        <v>0.28799999999999998</v>
      </c>
      <c r="O47" s="124">
        <f>VLOOKUP($B47,'Language Penetration'!$B$1:$BE$14,MATCH('Compile data Working'!$H50,'Language Penetration'!$B$1:$BE$1,0),0)</f>
        <v>0.20400000000000001</v>
      </c>
      <c r="P47" s="124" t="str">
        <f ca="1">IF(ISBLANK(J47),RANDBETWEEN(1,2)&amp;"%",IF(J47=1,RANDBETWEEN(35,40)&amp;"%",IF(J47=2,RANDBETWEEN(30,35)&amp;"%",IF(J47=3,RANDBETWEEN(25,30)&amp;"%",IF(J47=4,RANDBETWEEN(20,25)&amp;"%",IF(J47=5,RANDBETWEEN(15,20)&amp;"%",IF(J47=6,RANDBETWEEN(10,15)&amp;"%",IF(J47=7,RANDBETWEEN(8,10)&amp;"%",IF(J47=8,RANDBETWEEN(6,8)&amp;"%",IF(J47=9,RANDBETWEEN(4,6)&amp;"%",IF(J47=10,RANDBETWEEN(2,4)&amp;"%","")))))))))))</f>
        <v>1%</v>
      </c>
      <c r="Q47" s="123">
        <f ca="1">IFERROR(L47*(M47+N47)*O47*P47,RANDBETWEEN(1,2)%*L47*(M47+N47)*O47)</f>
        <v>3.6930379161599997E-2</v>
      </c>
      <c r="R47" s="125">
        <f>VLOOKUP(D:D,ranking!W:X,2,0)</f>
        <v>0.7</v>
      </c>
      <c r="S47" s="126">
        <f ca="1">R47*Q47</f>
        <v>2.5851265413119995E-2</v>
      </c>
      <c r="T47" s="123">
        <v>11.647435744376793</v>
      </c>
    </row>
    <row r="48" spans="1:20" x14ac:dyDescent="0.25">
      <c r="A48" s="98" t="s">
        <v>1057</v>
      </c>
      <c r="B48" s="98" t="s">
        <v>85</v>
      </c>
      <c r="C48" s="46" t="s">
        <v>123</v>
      </c>
      <c r="D48" s="46" t="s">
        <v>1013</v>
      </c>
      <c r="E48" s="46" t="s">
        <v>211</v>
      </c>
      <c r="F48" s="46" t="s">
        <v>213</v>
      </c>
      <c r="G48" s="46" t="s">
        <v>1906</v>
      </c>
      <c r="H48" s="46" t="s">
        <v>77</v>
      </c>
      <c r="I48" s="53">
        <v>46192</v>
      </c>
      <c r="J48" s="119">
        <v>8</v>
      </c>
      <c r="K48" s="46" t="s">
        <v>262</v>
      </c>
      <c r="L48" s="123">
        <f>VLOOKUP($C48&amp;$E48,'Updated SES'!A:N,14,0)</f>
        <v>55.459200000000003</v>
      </c>
      <c r="M48" s="124">
        <f>VLOOKUP($K48,'Genre Penetration'!A:B,2,0)*VLOOKUP($C48&amp;$E48,'Updated SES'!A:I,9,0)</f>
        <v>0.32830000000000004</v>
      </c>
      <c r="N48" s="124">
        <f>VLOOKUP(K:K,'Genre Penetration'!A:C,3,0)*VLOOKUP($C48&amp;$E48,'Updated SES'!A:J,10,0)</f>
        <v>0.16830000000000001</v>
      </c>
      <c r="O48" s="124">
        <f>VLOOKUP($B48,'Language Penetration'!$B$1:$BE$14,MATCH('Compile data Working'!$H15,'Language Penetration'!$B$1:$BE$1,0),0)</f>
        <v>0.20333333333333337</v>
      </c>
      <c r="P48" s="124" t="str">
        <f ca="1">IF(ISBLANK(J48),RANDBETWEEN(1,2)&amp;"%",IF(J48=1,RANDBETWEEN(35,40)&amp;"%",IF(J48=2,RANDBETWEEN(30,35)&amp;"%",IF(J48=3,RANDBETWEEN(25,30)&amp;"%",IF(J48=4,RANDBETWEEN(20,25)&amp;"%",IF(J48=5,RANDBETWEEN(15,20)&amp;"%",IF(J48=6,RANDBETWEEN(10,15)&amp;"%",IF(J48=7,RANDBETWEEN(8,10)&amp;"%",IF(J48=8,RANDBETWEEN(6,8)&amp;"%",IF(J48=9,RANDBETWEEN(4,6)&amp;"%",IF(J48=10,RANDBETWEEN(2,4)&amp;"%","")))))))))))</f>
        <v>8%</v>
      </c>
      <c r="Q48" s="123">
        <f ca="1">IFERROR(L48*(M48+N48)*O48*P48,RANDBETWEEN(1,2)%*L48*(M48+N48)*O48)</f>
        <v>0.44800089651200015</v>
      </c>
      <c r="R48" s="125">
        <f>VLOOKUP(D:D,ranking!W:X,2,0)</f>
        <v>0.8</v>
      </c>
      <c r="S48" s="126">
        <f ca="1">R48*Q48</f>
        <v>0.35840071720960015</v>
      </c>
      <c r="T48" s="123">
        <v>11.621236025539901</v>
      </c>
    </row>
    <row r="49" spans="1:20" x14ac:dyDescent="0.25">
      <c r="A49" s="98" t="s">
        <v>1861</v>
      </c>
      <c r="B49" s="98" t="s">
        <v>85</v>
      </c>
      <c r="C49" s="46" t="s">
        <v>64</v>
      </c>
      <c r="D49" s="46" t="s">
        <v>1012</v>
      </c>
      <c r="E49" s="46" t="s">
        <v>211</v>
      </c>
      <c r="F49" s="46" t="s">
        <v>215</v>
      </c>
      <c r="G49" s="46" t="s">
        <v>1866</v>
      </c>
      <c r="H49" s="46" t="s">
        <v>20</v>
      </c>
      <c r="I49" s="53">
        <v>46188</v>
      </c>
      <c r="J49" s="98"/>
      <c r="K49" s="46" t="s">
        <v>202</v>
      </c>
      <c r="L49" s="123">
        <f>VLOOKUP($C49&amp;$E49,'Updated SES'!A:N,14,0)</f>
        <v>36.498239999999996</v>
      </c>
      <c r="M49" s="124">
        <f>VLOOKUP($K49,'Genre Penetration'!A:B,2,0)*VLOOKUP($C49&amp;$E49,'Updated SES'!A:I,9,0)</f>
        <v>0.37440000000000001</v>
      </c>
      <c r="N49" s="124">
        <f>VLOOKUP(K:K,'Genre Penetration'!A:C,3,0)*VLOOKUP($C49&amp;$E49,'Updated SES'!A:J,10,0)</f>
        <v>0.13440000000000002</v>
      </c>
      <c r="O49" s="124">
        <f>VLOOKUP($B49,'Language Penetration'!$B$1:$BE$14,MATCH('Compile data Working'!$H51,'Language Penetration'!$B$1:$BE$1,0),0)</f>
        <v>0.6</v>
      </c>
      <c r="P49" s="124" t="str">
        <f ca="1">IF(ISBLANK(J49),RANDBETWEEN(1,2)&amp;"%",IF(J49=1,RANDBETWEEN(35,40)&amp;"%",IF(J49=2,RANDBETWEEN(30,35)&amp;"%",IF(J49=3,RANDBETWEEN(25,30)&amp;"%",IF(J49=4,RANDBETWEEN(20,25)&amp;"%",IF(J49=5,RANDBETWEEN(15,20)&amp;"%",IF(J49=6,RANDBETWEEN(10,15)&amp;"%",IF(J49=7,RANDBETWEEN(8,10)&amp;"%",IF(J49=8,RANDBETWEEN(6,8)&amp;"%",IF(J49=9,RANDBETWEEN(4,6)&amp;"%",IF(J49=10,RANDBETWEEN(2,4)&amp;"%","")))))))))))</f>
        <v>1%</v>
      </c>
      <c r="Q49" s="123">
        <f ca="1">IFERROR(L49*(M49+N49)*O49*P49,RANDBETWEEN(1,2)%*L49*(M49+N49)*O49)</f>
        <v>0.111421827072</v>
      </c>
      <c r="R49" s="125">
        <f>VLOOKUP(D:D,ranking!W:X,2,0)</f>
        <v>0.6</v>
      </c>
      <c r="S49" s="126">
        <f ca="1">R49*Q49</f>
        <v>6.6853096243200003E-2</v>
      </c>
      <c r="T49" s="123">
        <v>11.49418001089815</v>
      </c>
    </row>
    <row r="50" spans="1:20" x14ac:dyDescent="0.25">
      <c r="A50" s="98" t="s">
        <v>1057</v>
      </c>
      <c r="B50" s="98" t="s">
        <v>85</v>
      </c>
      <c r="C50" s="46" t="s">
        <v>123</v>
      </c>
      <c r="D50" s="46" t="s">
        <v>1013</v>
      </c>
      <c r="E50" s="46" t="s">
        <v>211</v>
      </c>
      <c r="F50" s="46" t="s">
        <v>213</v>
      </c>
      <c r="G50" s="46" t="s">
        <v>1836</v>
      </c>
      <c r="H50" s="46" t="s">
        <v>1058</v>
      </c>
      <c r="I50" s="53">
        <v>46178</v>
      </c>
      <c r="J50" s="119">
        <v>9</v>
      </c>
      <c r="K50" s="46" t="s">
        <v>154</v>
      </c>
      <c r="L50" s="123">
        <f>VLOOKUP($C50&amp;$E50,'Updated SES'!A:N,14,0)</f>
        <v>55.459200000000003</v>
      </c>
      <c r="M50" s="124">
        <f>VLOOKUP($K50,'Genre Penetration'!A:B,2,0)*VLOOKUP($C50&amp;$E50,'Updated SES'!A:I,9,0)</f>
        <v>0.14699999999999999</v>
      </c>
      <c r="N50" s="124">
        <f>VLOOKUP(K:K,'Genre Penetration'!A:C,3,0)*VLOOKUP($C50&amp;$E50,'Updated SES'!A:J,10,0)</f>
        <v>0.35699999999999998</v>
      </c>
      <c r="O50" s="124">
        <f>VLOOKUP($B50,'Language Penetration'!$B$1:$BE$14,MATCH('Compile data Working'!$H52,'Language Penetration'!$B$1:$BE$1,0),0)</f>
        <v>0.6</v>
      </c>
      <c r="P50" s="124" t="str">
        <f ca="1">IF(ISBLANK(J50),RANDBETWEEN(1,2)&amp;"%",IF(J50=1,RANDBETWEEN(35,40)&amp;"%",IF(J50=2,RANDBETWEEN(30,35)&amp;"%",IF(J50=3,RANDBETWEEN(25,30)&amp;"%",IF(J50=4,RANDBETWEEN(20,25)&amp;"%",IF(J50=5,RANDBETWEEN(15,20)&amp;"%",IF(J50=6,RANDBETWEEN(10,15)&amp;"%",IF(J50=7,RANDBETWEEN(8,10)&amp;"%",IF(J50=8,RANDBETWEEN(6,8)&amp;"%",IF(J50=9,RANDBETWEEN(4,6)&amp;"%",IF(J50=10,RANDBETWEEN(2,4)&amp;"%","")))))))))))</f>
        <v>4%</v>
      </c>
      <c r="Q50" s="123">
        <f ca="1">IFERROR(L50*(M50+N50)*O50*P50,RANDBETWEEN(1,2)%*L50*(M50+N50)*O50)</f>
        <v>0.67083448320000005</v>
      </c>
      <c r="R50" s="125">
        <f>VLOOKUP(D:D,ranking!W:X,2,0)</f>
        <v>0.8</v>
      </c>
      <c r="S50" s="126">
        <f ca="1">R50*Q50</f>
        <v>0.53666758656000002</v>
      </c>
      <c r="T50" s="123">
        <v>11.483146420810824</v>
      </c>
    </row>
    <row r="51" spans="1:20" x14ac:dyDescent="0.25">
      <c r="A51" s="98" t="s">
        <v>1057</v>
      </c>
      <c r="B51" s="98" t="s">
        <v>85</v>
      </c>
      <c r="C51" s="46" t="s">
        <v>123</v>
      </c>
      <c r="D51" s="46" t="s">
        <v>859</v>
      </c>
      <c r="E51" s="46" t="s">
        <v>211</v>
      </c>
      <c r="F51" s="46" t="s">
        <v>213</v>
      </c>
      <c r="G51" s="46" t="s">
        <v>1867</v>
      </c>
      <c r="H51" s="46" t="s">
        <v>19</v>
      </c>
      <c r="I51" s="53">
        <v>46188</v>
      </c>
      <c r="J51" s="119">
        <v>7</v>
      </c>
      <c r="K51" s="46" t="s">
        <v>172</v>
      </c>
      <c r="L51" s="123">
        <f>VLOOKUP($C51&amp;$E51,'Updated SES'!A:N,14,0)</f>
        <v>55.459200000000003</v>
      </c>
      <c r="M51" s="124">
        <f>VLOOKUP($K51,'Genre Penetration'!A:B,2,0)*VLOOKUP($C51&amp;$E51,'Updated SES'!A:I,9,0)</f>
        <v>0.19600000000000001</v>
      </c>
      <c r="N51" s="124">
        <f>VLOOKUP(K:K,'Genre Penetration'!A:C,3,0)*VLOOKUP($C51&amp;$E51,'Updated SES'!A:J,10,0)</f>
        <v>0.30599999999999999</v>
      </c>
      <c r="O51" s="124">
        <f>VLOOKUP($B51,'Language Penetration'!$B$1:$BE$14,MATCH('Compile data Working'!$H14,'Language Penetration'!$B$1:$BE$1,0),0)</f>
        <v>0.6</v>
      </c>
      <c r="P51" s="124" t="str">
        <f ca="1">IF(ISBLANK(J51),RANDBETWEEN(1,2)&amp;"%",IF(J51=1,RANDBETWEEN(35,40)&amp;"%",IF(J51=2,RANDBETWEEN(30,35)&amp;"%",IF(J51=3,RANDBETWEEN(25,30)&amp;"%",IF(J51=4,RANDBETWEEN(20,25)&amp;"%",IF(J51=5,RANDBETWEEN(15,20)&amp;"%",IF(J51=6,RANDBETWEEN(10,15)&amp;"%",IF(J51=7,RANDBETWEEN(8,10)&amp;"%",IF(J51=8,RANDBETWEEN(6,8)&amp;"%",IF(J51=9,RANDBETWEEN(4,6)&amp;"%",IF(J51=10,RANDBETWEEN(2,4)&amp;"%","")))))))))))</f>
        <v>9%</v>
      </c>
      <c r="Q51" s="123">
        <f ca="1">IFERROR(L51*(M51+N51)*O51*P51,RANDBETWEEN(1,2)%*L51*(M51+N51)*O51)</f>
        <v>1.5033879936000001</v>
      </c>
      <c r="R51" s="125">
        <f>VLOOKUP(D:D,ranking!W:X,2,0)</f>
        <v>0.7</v>
      </c>
      <c r="S51" s="126">
        <f ca="1">R51*Q51</f>
        <v>1.0523715955199999</v>
      </c>
      <c r="T51" s="123">
        <v>11.3705516665472</v>
      </c>
    </row>
    <row r="52" spans="1:20" x14ac:dyDescent="0.25">
      <c r="A52" s="98" t="s">
        <v>1861</v>
      </c>
      <c r="B52" s="98" t="s">
        <v>85</v>
      </c>
      <c r="C52" s="46" t="s">
        <v>114</v>
      </c>
      <c r="D52" s="46" t="s">
        <v>859</v>
      </c>
      <c r="E52" s="46" t="s">
        <v>211</v>
      </c>
      <c r="F52" s="46" t="s">
        <v>213</v>
      </c>
      <c r="G52" s="46" t="s">
        <v>1892</v>
      </c>
      <c r="H52" s="46" t="s">
        <v>19</v>
      </c>
      <c r="I52" s="53">
        <v>46192</v>
      </c>
      <c r="J52" s="98"/>
      <c r="K52" s="46" t="s">
        <v>170</v>
      </c>
      <c r="L52" s="123">
        <f>VLOOKUP($C52&amp;$E52,'Updated SES'!A:N,14,0)</f>
        <v>25.340000000000003</v>
      </c>
      <c r="M52" s="124">
        <f>VLOOKUP($K52,'Genre Penetration'!A:B,2,0)*VLOOKUP($C52&amp;$E52,'Updated SES'!A:I,9,0)</f>
        <v>0.47559999999999991</v>
      </c>
      <c r="N52" s="124">
        <f>VLOOKUP(K:K,'Genre Penetration'!A:C,3,0)*VLOOKUP($C52&amp;$E52,'Updated SES'!A:J,10,0)</f>
        <v>7.5600000000000001E-2</v>
      </c>
      <c r="O52" s="124">
        <f>VLOOKUP($B52,'Language Penetration'!$B$1:$BE$14,MATCH('Compile data Working'!$H53,'Language Penetration'!$B$1:$BE$1,0),0)</f>
        <v>0.2</v>
      </c>
      <c r="P52" s="124" t="str">
        <f ca="1">IF(ISBLANK(J52),RANDBETWEEN(1,2)&amp;"%",IF(J52=1,RANDBETWEEN(35,40)&amp;"%",IF(J52=2,RANDBETWEEN(30,35)&amp;"%",IF(J52=3,RANDBETWEEN(25,30)&amp;"%",IF(J52=4,RANDBETWEEN(20,25)&amp;"%",IF(J52=5,RANDBETWEEN(15,20)&amp;"%",IF(J52=6,RANDBETWEEN(10,15)&amp;"%",IF(J52=7,RANDBETWEEN(8,10)&amp;"%",IF(J52=8,RANDBETWEEN(6,8)&amp;"%",IF(J52=9,RANDBETWEEN(4,6)&amp;"%",IF(J52=10,RANDBETWEEN(2,4)&amp;"%","")))))))))))</f>
        <v>1%</v>
      </c>
      <c r="Q52" s="123">
        <f ca="1">IFERROR(L52*(M52+N52)*O52*P52,RANDBETWEEN(1,2)%*L52*(M52+N52)*O52)</f>
        <v>2.7934815999999998E-2</v>
      </c>
      <c r="R52" s="125">
        <f>VLOOKUP(D:D,ranking!W:X,2,0)</f>
        <v>0.7</v>
      </c>
      <c r="S52" s="126">
        <f ca="1">R52*Q52</f>
        <v>1.9554371199999997E-2</v>
      </c>
      <c r="T52" s="123">
        <v>11.3644887378675</v>
      </c>
    </row>
    <row r="53" spans="1:20" x14ac:dyDescent="0.25">
      <c r="A53" s="98" t="s">
        <v>1861</v>
      </c>
      <c r="B53" s="98" t="s">
        <v>85</v>
      </c>
      <c r="C53" s="46" t="s">
        <v>64</v>
      </c>
      <c r="D53" s="46" t="s">
        <v>859</v>
      </c>
      <c r="E53" s="46" t="s">
        <v>211</v>
      </c>
      <c r="F53" s="46" t="s">
        <v>213</v>
      </c>
      <c r="G53" s="46" t="s">
        <v>1881</v>
      </c>
      <c r="H53" s="46" t="s">
        <v>20</v>
      </c>
      <c r="I53" s="53">
        <v>46190</v>
      </c>
      <c r="J53" s="98"/>
      <c r="K53" s="46" t="s">
        <v>279</v>
      </c>
      <c r="L53" s="123">
        <f>VLOOKUP($C53&amp;$E53,'Updated SES'!A:N,14,0)</f>
        <v>36.498239999999996</v>
      </c>
      <c r="M53" s="124">
        <f>VLOOKUP($K53,'Genre Penetration'!A:B,2,0)*VLOOKUP($C53&amp;$E53,'Updated SES'!A:I,9,0)</f>
        <v>0.23400000000000001</v>
      </c>
      <c r="N53" s="124">
        <f>VLOOKUP(K:K,'Genre Penetration'!A:C,3,0)*VLOOKUP($C53&amp;$E53,'Updated SES'!A:J,10,0)</f>
        <v>0.26400000000000001</v>
      </c>
      <c r="O53" s="124">
        <f>VLOOKUP($B53,'Language Penetration'!$B$1:$BE$14,MATCH('Compile data Working'!$H54,'Language Penetration'!$B$1:$BE$1,0),0)</f>
        <v>0.20400000000000001</v>
      </c>
      <c r="P53" s="124" t="str">
        <f ca="1">IF(ISBLANK(J53),RANDBETWEEN(1,2)&amp;"%",IF(J53=1,RANDBETWEEN(35,40)&amp;"%",IF(J53=2,RANDBETWEEN(30,35)&amp;"%",IF(J53=3,RANDBETWEEN(25,30)&amp;"%",IF(J53=4,RANDBETWEEN(20,25)&amp;"%",IF(J53=5,RANDBETWEEN(15,20)&amp;"%",IF(J53=6,RANDBETWEEN(10,15)&amp;"%",IF(J53=7,RANDBETWEEN(8,10)&amp;"%",IF(J53=8,RANDBETWEEN(6,8)&amp;"%",IF(J53=9,RANDBETWEEN(4,6)&amp;"%",IF(J53=10,RANDBETWEEN(2,4)&amp;"%","")))))))))))</f>
        <v>2%</v>
      </c>
      <c r="Q53" s="123">
        <f ca="1">IFERROR(L53*(M53+N53)*O53*P53,RANDBETWEEN(1,2)%*L53*(M53+N53)*O53)</f>
        <v>7.4158583961599994E-2</v>
      </c>
      <c r="R53" s="125">
        <f>VLOOKUP(D:D,ranking!W:X,2,0)</f>
        <v>0.7</v>
      </c>
      <c r="S53" s="126">
        <f ca="1">R53*Q53</f>
        <v>5.1911008773119993E-2</v>
      </c>
      <c r="T53" s="123">
        <v>11.187668543940866</v>
      </c>
    </row>
    <row r="54" spans="1:20" x14ac:dyDescent="0.25">
      <c r="A54" s="98" t="s">
        <v>1861</v>
      </c>
      <c r="B54" s="98" t="s">
        <v>85</v>
      </c>
      <c r="C54" s="46" t="s">
        <v>114</v>
      </c>
      <c r="D54" s="46" t="s">
        <v>859</v>
      </c>
      <c r="E54" s="46" t="s">
        <v>211</v>
      </c>
      <c r="F54" s="46" t="s">
        <v>213</v>
      </c>
      <c r="G54" s="46" t="s">
        <v>1899</v>
      </c>
      <c r="H54" s="46" t="s">
        <v>1058</v>
      </c>
      <c r="I54" s="53">
        <v>46192</v>
      </c>
      <c r="J54" s="98"/>
      <c r="K54" s="46" t="s">
        <v>216</v>
      </c>
      <c r="L54" s="123">
        <f>VLOOKUP($C54&amp;$E54,'Updated SES'!A:N,14,0)</f>
        <v>25.340000000000003</v>
      </c>
      <c r="M54" s="124">
        <f>VLOOKUP($K54,'Genre Penetration'!A:B,2,0)*VLOOKUP($C54&amp;$E54,'Updated SES'!A:I,9,0)</f>
        <v>0.41</v>
      </c>
      <c r="N54" s="124">
        <f>VLOOKUP(K:K,'Genre Penetration'!A:C,3,0)*VLOOKUP($C54&amp;$E54,'Updated SES'!A:J,10,0)</f>
        <v>0.09</v>
      </c>
      <c r="O54" s="124">
        <f>VLOOKUP($B54,'Language Penetration'!$B$1:$BE$14,MATCH('Compile data Working'!$H38,'Language Penetration'!$B$1:$BE$1,0),0)</f>
        <v>0.6</v>
      </c>
      <c r="P54" s="124" t="str">
        <f ca="1">IF(ISBLANK(J54),RANDBETWEEN(1,2)&amp;"%",IF(J54=1,RANDBETWEEN(35,40)&amp;"%",IF(J54=2,RANDBETWEEN(30,35)&amp;"%",IF(J54=3,RANDBETWEEN(25,30)&amp;"%",IF(J54=4,RANDBETWEEN(20,25)&amp;"%",IF(J54=5,RANDBETWEEN(15,20)&amp;"%",IF(J54=6,RANDBETWEEN(10,15)&amp;"%",IF(J54=7,RANDBETWEEN(8,10)&amp;"%",IF(J54=8,RANDBETWEEN(6,8)&amp;"%",IF(J54=9,RANDBETWEEN(4,6)&amp;"%",IF(J54=10,RANDBETWEEN(2,4)&amp;"%","")))))))))))</f>
        <v>1%</v>
      </c>
      <c r="Q54" s="123">
        <f ca="1">IFERROR(L54*(M54+N54)*O54*P54,RANDBETWEEN(1,2)%*L54*(M54+N54)*O54)</f>
        <v>7.6020000000000004E-2</v>
      </c>
      <c r="R54" s="125">
        <f>VLOOKUP(D:D,ranking!W:X,2,0)</f>
        <v>0.7</v>
      </c>
      <c r="S54" s="126">
        <f ca="1">R54*Q54</f>
        <v>5.3213999999999997E-2</v>
      </c>
      <c r="T54" s="123">
        <v>11.164488737867501</v>
      </c>
    </row>
    <row r="55" spans="1:20" x14ac:dyDescent="0.25">
      <c r="A55" s="98" t="s">
        <v>1861</v>
      </c>
      <c r="B55" s="98" t="s">
        <v>85</v>
      </c>
      <c r="C55" s="46" t="s">
        <v>64</v>
      </c>
      <c r="D55" s="46" t="s">
        <v>1012</v>
      </c>
      <c r="E55" s="46" t="s">
        <v>211</v>
      </c>
      <c r="F55" s="46" t="s">
        <v>215</v>
      </c>
      <c r="G55" s="46" t="s">
        <v>1869</v>
      </c>
      <c r="H55" s="46" t="s">
        <v>20</v>
      </c>
      <c r="I55" s="53">
        <v>46188</v>
      </c>
      <c r="J55" s="98"/>
      <c r="K55" s="46" t="s">
        <v>138</v>
      </c>
      <c r="L55" s="123">
        <f>VLOOKUP($C55&amp;$E55,'Updated SES'!A:N,14,0)</f>
        <v>36.498239999999996</v>
      </c>
      <c r="M55" s="124">
        <f>VLOOKUP($K55,'Genre Penetration'!A:B,2,0)*VLOOKUP($C55&amp;$E55,'Updated SES'!A:I,9,0)</f>
        <v>0.24440000000000001</v>
      </c>
      <c r="N55" s="124">
        <f>VLOOKUP(K:K,'Genre Penetration'!A:C,3,0)*VLOOKUP($C55&amp;$E55,'Updated SES'!A:J,10,0)</f>
        <v>0.25440000000000002</v>
      </c>
      <c r="O55" s="124">
        <f>VLOOKUP($B55,'Language Penetration'!$B$1:$BE$14,MATCH('Compile data Working'!$H55,'Language Penetration'!$B$1:$BE$1,0),0)</f>
        <v>0.2</v>
      </c>
      <c r="P55" s="124" t="str">
        <f ca="1">IF(ISBLANK(J55),RANDBETWEEN(1,2)&amp;"%",IF(J55=1,RANDBETWEEN(35,40)&amp;"%",IF(J55=2,RANDBETWEEN(30,35)&amp;"%",IF(J55=3,RANDBETWEEN(25,30)&amp;"%",IF(J55=4,RANDBETWEEN(20,25)&amp;"%",IF(J55=5,RANDBETWEEN(15,20)&amp;"%",IF(J55=6,RANDBETWEEN(10,15)&amp;"%",IF(J55=7,RANDBETWEEN(8,10)&amp;"%",IF(J55=8,RANDBETWEEN(6,8)&amp;"%",IF(J55=9,RANDBETWEEN(4,6)&amp;"%",IF(J55=10,RANDBETWEEN(2,4)&amp;"%","")))))))))))</f>
        <v>1%</v>
      </c>
      <c r="Q55" s="123">
        <f ca="1">IFERROR(L55*(M55+N55)*O55*P55,RANDBETWEEN(1,2)%*L55*(M55+N55)*O55)</f>
        <v>3.6410644223999998E-2</v>
      </c>
      <c r="R55" s="125">
        <f>VLOOKUP(D:D,ranking!W:X,2,0)</f>
        <v>0.6</v>
      </c>
      <c r="S55" s="126">
        <f ca="1">R55*Q55</f>
        <v>2.1846386534399999E-2</v>
      </c>
      <c r="T55" s="123">
        <v>10.881157076983582</v>
      </c>
    </row>
    <row r="56" spans="1:20" x14ac:dyDescent="0.25">
      <c r="A56" s="98" t="s">
        <v>1057</v>
      </c>
      <c r="B56" s="98" t="s">
        <v>85</v>
      </c>
      <c r="C56" s="46" t="s">
        <v>1229</v>
      </c>
      <c r="D56" s="46" t="s">
        <v>433</v>
      </c>
      <c r="E56" s="46" t="s">
        <v>219</v>
      </c>
      <c r="F56" s="46" t="s">
        <v>215</v>
      </c>
      <c r="G56" s="46" t="s">
        <v>1823</v>
      </c>
      <c r="H56" s="46" t="s">
        <v>19</v>
      </c>
      <c r="I56" s="53">
        <v>46157</v>
      </c>
      <c r="J56" s="119">
        <v>3</v>
      </c>
      <c r="K56" s="46" t="s">
        <v>176</v>
      </c>
      <c r="L56" s="123">
        <f>VLOOKUP($C56&amp;$E56,'Updated SES'!A:N,14,0)</f>
        <v>78.939870000000013</v>
      </c>
      <c r="M56" s="124">
        <f>VLOOKUP($K56,'Genre Penetration'!A:B,2,0)*VLOOKUP($C56&amp;$E56,'Updated SES'!A:I,9,0)</f>
        <v>0.496</v>
      </c>
      <c r="N56" s="124">
        <f>VLOOKUP(K:K,'Genre Penetration'!A:C,3,0)*VLOOKUP($C56&amp;$E56,'Updated SES'!A:J,10,0)</f>
        <v>7.6000000000000012E-2</v>
      </c>
      <c r="O56" s="124">
        <f>VLOOKUP($B56,'Language Penetration'!$B$1:$BE$14,MATCH('Compile data Working'!$H73,'Language Penetration'!$B$1:$BE$1,0),0)</f>
        <v>0.6</v>
      </c>
      <c r="P56" s="124" t="str">
        <f ca="1">IF(ISBLANK(J56),RANDBETWEEN(1,2)&amp;"%",IF(J56=1,RANDBETWEEN(35,40)&amp;"%",IF(J56=2,RANDBETWEEN(30,35)&amp;"%",IF(J56=3,RANDBETWEEN(25,30)&amp;"%",IF(J56=4,RANDBETWEEN(20,25)&amp;"%",IF(J56=5,RANDBETWEEN(15,20)&amp;"%",IF(J56=6,RANDBETWEEN(10,15)&amp;"%",IF(J56=7,RANDBETWEEN(8,10)&amp;"%",IF(J56=8,RANDBETWEEN(6,8)&amp;"%",IF(J56=9,RANDBETWEEN(4,6)&amp;"%",IF(J56=10,RANDBETWEEN(2,4)&amp;"%","")))))))))))</f>
        <v>25%</v>
      </c>
      <c r="Q56" s="123">
        <f ca="1">IFERROR(L56*(M56+N56)*O56*P56,RANDBETWEEN(1,2)%*L56*(M56+N56)*O56)</f>
        <v>6.7730408460000016</v>
      </c>
      <c r="R56" s="125">
        <f>VLOOKUP(D:D,ranking!W:X,2,0)</f>
        <v>0.6</v>
      </c>
      <c r="S56" s="126">
        <f ca="1">R56*Q56</f>
        <v>4.0638245076000006</v>
      </c>
      <c r="T56" s="123">
        <v>10.935848924015099</v>
      </c>
    </row>
    <row r="57" spans="1:20" x14ac:dyDescent="0.25">
      <c r="A57" s="98" t="s">
        <v>1057</v>
      </c>
      <c r="B57" s="98" t="s">
        <v>85</v>
      </c>
      <c r="C57" s="98" t="s">
        <v>132</v>
      </c>
      <c r="D57" s="98" t="s">
        <v>456</v>
      </c>
      <c r="E57" s="98" t="s">
        <v>219</v>
      </c>
      <c r="F57" s="46" t="s">
        <v>215</v>
      </c>
      <c r="G57" s="98" t="s">
        <v>369</v>
      </c>
      <c r="H57" s="98" t="s">
        <v>19</v>
      </c>
      <c r="I57" s="98" t="s">
        <v>254</v>
      </c>
      <c r="J57" s="119">
        <v>3</v>
      </c>
      <c r="K57" s="98" t="s">
        <v>124</v>
      </c>
      <c r="L57" s="123">
        <f>VLOOKUP($C57&amp;$E57,'Updated SES'!A:N,14,0)</f>
        <v>5.2679999999999998</v>
      </c>
      <c r="M57" s="124">
        <f>VLOOKUP($K57,'Genre Penetration'!A:B,2,0)*VLOOKUP($C57&amp;$E57,'Updated SES'!A:I,9,0)</f>
        <v>0.29700000000000004</v>
      </c>
      <c r="N57" s="124">
        <f>VLOOKUP(K:K,'Genre Penetration'!A:C,3,0)*VLOOKUP($C57&amp;$E57,'Updated SES'!A:J,10,0)</f>
        <v>0.18700000000000003</v>
      </c>
      <c r="O57" s="124">
        <f>VLOOKUP($B57,'Language Penetration'!$B$1:$BE$14,MATCH('Compile data Working'!$H57,'Language Penetration'!$B$1:$BE$1,0),0)</f>
        <v>0.6</v>
      </c>
      <c r="P57" s="124" t="str">
        <f ca="1">IF(ISBLANK(J57),RANDBETWEEN(1,2)&amp;"%",IF(J57=1,RANDBETWEEN(35,40)&amp;"%",IF(J57=2,RANDBETWEEN(30,35)&amp;"%",IF(J57=3,RANDBETWEEN(25,30)&amp;"%",IF(J57=4,RANDBETWEEN(20,25)&amp;"%",IF(J57=5,RANDBETWEEN(15,20)&amp;"%",IF(J57=6,RANDBETWEEN(10,15)&amp;"%",IF(J57=7,RANDBETWEEN(8,10)&amp;"%",IF(J57=8,RANDBETWEEN(6,8)&amp;"%",IF(J57=9,RANDBETWEEN(4,6)&amp;"%",IF(J57=10,RANDBETWEEN(2,4)&amp;"%","")))))))))))</f>
        <v>25%</v>
      </c>
      <c r="Q57" s="123">
        <f ca="1">IFERROR(L57*(M57+N57)*O57*P57,RANDBETWEEN(1,2)%*L57*(M57+N57)*O57)</f>
        <v>0.38245680000000004</v>
      </c>
      <c r="R57" s="125">
        <f>VLOOKUP(D:D,ranking!W:X,2,0)</f>
        <v>0.3</v>
      </c>
      <c r="S57" s="126">
        <f ca="1">R57*Q57</f>
        <v>0.11473704000000001</v>
      </c>
      <c r="T57" s="123">
        <v>10.762710588412274</v>
      </c>
    </row>
    <row r="58" spans="1:20" x14ac:dyDescent="0.25">
      <c r="A58" s="98" t="s">
        <v>1861</v>
      </c>
      <c r="B58" s="98" t="s">
        <v>85</v>
      </c>
      <c r="C58" s="46" t="s">
        <v>64</v>
      </c>
      <c r="D58" s="46" t="s">
        <v>1012</v>
      </c>
      <c r="E58" s="46" t="s">
        <v>211</v>
      </c>
      <c r="F58" s="46" t="s">
        <v>215</v>
      </c>
      <c r="G58" s="46" t="s">
        <v>1870</v>
      </c>
      <c r="H58" s="46" t="s">
        <v>20</v>
      </c>
      <c r="I58" s="53">
        <v>46189</v>
      </c>
      <c r="J58" s="98"/>
      <c r="K58" s="46" t="s">
        <v>216</v>
      </c>
      <c r="L58" s="123">
        <f>VLOOKUP($C58&amp;$E58,'Updated SES'!A:N,14,0)</f>
        <v>36.498239999999996</v>
      </c>
      <c r="M58" s="124">
        <f>VLOOKUP($K58,'Genre Penetration'!A:B,2,0)*VLOOKUP($C58&amp;$E58,'Updated SES'!A:I,9,0)</f>
        <v>0.26</v>
      </c>
      <c r="N58" s="124">
        <f>VLOOKUP(K:K,'Genre Penetration'!A:C,3,0)*VLOOKUP($C58&amp;$E58,'Updated SES'!A:J,10,0)</f>
        <v>0.24</v>
      </c>
      <c r="O58" s="124">
        <f>VLOOKUP($B58,'Language Penetration'!$B$1:$BE$14,MATCH('Compile data Working'!$H58,'Language Penetration'!$B$1:$BE$1,0),0)</f>
        <v>0.2</v>
      </c>
      <c r="P58" s="124" t="str">
        <f ca="1">IF(ISBLANK(J58),RANDBETWEEN(1,2)&amp;"%",IF(J58=1,RANDBETWEEN(35,40)&amp;"%",IF(J58=2,RANDBETWEEN(30,35)&amp;"%",IF(J58=3,RANDBETWEEN(25,30)&amp;"%",IF(J58=4,RANDBETWEEN(20,25)&amp;"%",IF(J58=5,RANDBETWEEN(15,20)&amp;"%",IF(J58=6,RANDBETWEEN(10,15)&amp;"%",IF(J58=7,RANDBETWEEN(8,10)&amp;"%",IF(J58=8,RANDBETWEEN(6,8)&amp;"%",IF(J58=9,RANDBETWEEN(4,6)&amp;"%",IF(J58=10,RANDBETWEEN(2,4)&amp;"%","")))))))))))</f>
        <v>2%</v>
      </c>
      <c r="Q58" s="123">
        <f ca="1">IFERROR(L58*(M58+N58)*O58*P58,RANDBETWEEN(1,2)%*L58*(M58+N58)*O58)</f>
        <v>7.2996480000000002E-2</v>
      </c>
      <c r="R58" s="125">
        <f>VLOOKUP(D:D,ranking!W:X,2,0)</f>
        <v>0.6</v>
      </c>
      <c r="S58" s="126">
        <f ca="1">R58*Q58</f>
        <v>4.3797888E-2</v>
      </c>
      <c r="T58" s="123">
        <v>10.727901343504939</v>
      </c>
    </row>
    <row r="59" spans="1:20" x14ac:dyDescent="0.25">
      <c r="A59" s="98" t="s">
        <v>1861</v>
      </c>
      <c r="B59" s="98" t="s">
        <v>85</v>
      </c>
      <c r="C59" s="46" t="s">
        <v>64</v>
      </c>
      <c r="D59" s="46" t="s">
        <v>859</v>
      </c>
      <c r="E59" s="46" t="s">
        <v>211</v>
      </c>
      <c r="F59" s="46" t="s">
        <v>213</v>
      </c>
      <c r="G59" s="46" t="s">
        <v>1883</v>
      </c>
      <c r="H59" s="46" t="s">
        <v>20</v>
      </c>
      <c r="I59" s="53">
        <v>46190</v>
      </c>
      <c r="J59" s="98"/>
      <c r="K59" s="46" t="s">
        <v>279</v>
      </c>
      <c r="L59" s="123">
        <f>VLOOKUP($C59&amp;$E59,'Updated SES'!A:N,14,0)</f>
        <v>36.498239999999996</v>
      </c>
      <c r="M59" s="124">
        <f>VLOOKUP($K59,'Genre Penetration'!A:B,2,0)*VLOOKUP($C59&amp;$E59,'Updated SES'!A:I,9,0)</f>
        <v>0.23400000000000001</v>
      </c>
      <c r="N59" s="124">
        <f>VLOOKUP(K:K,'Genre Penetration'!A:C,3,0)*VLOOKUP($C59&amp;$E59,'Updated SES'!A:J,10,0)</f>
        <v>0.26400000000000001</v>
      </c>
      <c r="O59" s="124">
        <f>VLOOKUP($B59,'Language Penetration'!$B$1:$BE$14,MATCH('Compile data Working'!$H59,'Language Penetration'!$B$1:$BE$1,0),0)</f>
        <v>0.2</v>
      </c>
      <c r="P59" s="124" t="str">
        <f ca="1">IF(ISBLANK(J59),RANDBETWEEN(1,2)&amp;"%",IF(J59=1,RANDBETWEEN(35,40)&amp;"%",IF(J59=2,RANDBETWEEN(30,35)&amp;"%",IF(J59=3,RANDBETWEEN(25,30)&amp;"%",IF(J59=4,RANDBETWEEN(20,25)&amp;"%",IF(J59=5,RANDBETWEEN(15,20)&amp;"%",IF(J59=6,RANDBETWEEN(10,15)&amp;"%",IF(J59=7,RANDBETWEEN(8,10)&amp;"%",IF(J59=8,RANDBETWEEN(6,8)&amp;"%",IF(J59=9,RANDBETWEEN(4,6)&amp;"%",IF(J59=10,RANDBETWEEN(2,4)&amp;"%","")))))))))))</f>
        <v>2%</v>
      </c>
      <c r="Q59" s="123">
        <f ca="1">IFERROR(L59*(M59+N59)*O59*P59,RANDBETWEEN(1,2)%*L59*(M59+N59)*O59)</f>
        <v>7.2704494080000001E-2</v>
      </c>
      <c r="R59" s="125">
        <f>VLOOKUP(D:D,ranking!W:X,2,0)</f>
        <v>0.7</v>
      </c>
      <c r="S59" s="126">
        <f ca="1">R59*Q59</f>
        <v>5.0893145856000001E-2</v>
      </c>
      <c r="T59" s="123">
        <v>10.574645610026296</v>
      </c>
    </row>
    <row r="60" spans="1:20" x14ac:dyDescent="0.25">
      <c r="A60" s="98" t="s">
        <v>1781</v>
      </c>
      <c r="B60" s="98" t="s">
        <v>85</v>
      </c>
      <c r="C60" s="46" t="s">
        <v>879</v>
      </c>
      <c r="D60" s="46" t="s">
        <v>1798</v>
      </c>
      <c r="E60" s="46" t="s">
        <v>219</v>
      </c>
      <c r="F60" s="46" t="s">
        <v>215</v>
      </c>
      <c r="G60" s="46" t="s">
        <v>1831</v>
      </c>
      <c r="H60" s="46" t="s">
        <v>19</v>
      </c>
      <c r="I60" s="46">
        <v>46176</v>
      </c>
      <c r="J60" s="46">
        <v>2</v>
      </c>
      <c r="K60" s="46" t="s">
        <v>216</v>
      </c>
      <c r="L60" s="123">
        <f>VLOOKUP($C60&amp;$E60,'Updated SES'!A:N,14,0)</f>
        <v>78.939870000000013</v>
      </c>
      <c r="M60" s="124">
        <f>VLOOKUP($K60,'Genre Penetration'!A:B,2,0)*VLOOKUP($C60&amp;$E60,'Updated SES'!A:I,9,0)</f>
        <v>0.4</v>
      </c>
      <c r="N60" s="124">
        <f>VLOOKUP(K:K,'Genre Penetration'!A:C,3,0)*VLOOKUP($C60&amp;$E60,'Updated SES'!A:J,10,0)</f>
        <v>0.1</v>
      </c>
      <c r="O60" s="124">
        <f>VLOOKUP($B60,'Language Penetration'!$B$1:$BE$14,MATCH('Compile data Working'!$H60,'Language Penetration'!$B$1:$BE$1,0),0)</f>
        <v>0.6</v>
      </c>
      <c r="P60" s="124" t="str">
        <f ca="1">IF(ISBLANK(J60),RANDBETWEEN(1,2)&amp;"%",IF(J60=1,RANDBETWEEN(35,40)&amp;"%",IF(J60=2,RANDBETWEEN(30,35)&amp;"%",IF(J60=3,RANDBETWEEN(25,30)&amp;"%",IF(J60=4,RANDBETWEEN(20,25)&amp;"%",IF(J60=5,RANDBETWEEN(15,20)&amp;"%",IF(J60=6,RANDBETWEEN(10,15)&amp;"%",IF(J60=7,RANDBETWEEN(8,10)&amp;"%",IF(J60=8,RANDBETWEEN(6,8)&amp;"%",IF(J60=9,RANDBETWEEN(4,6)&amp;"%",IF(J60=10,RANDBETWEEN(2,4)&amp;"%","")))))))))))</f>
        <v>33%</v>
      </c>
      <c r="Q60" s="123">
        <f ca="1">IFERROR(L60*(M60+N60)*O60*P60,RANDBETWEEN(1,2)%*L60*(M60+N60)*O60)</f>
        <v>7.8150471300000017</v>
      </c>
      <c r="R60" s="125">
        <f>VLOOKUP(D:D,ranking!W:X,2,0)</f>
        <v>0.6</v>
      </c>
      <c r="S60" s="126">
        <f ca="1">R60*Q60</f>
        <v>4.6890282780000012</v>
      </c>
      <c r="T60" s="123">
        <v>10.483854396051784</v>
      </c>
    </row>
    <row r="61" spans="1:20" x14ac:dyDescent="0.25">
      <c r="A61" s="98" t="s">
        <v>1861</v>
      </c>
      <c r="B61" s="98" t="s">
        <v>85</v>
      </c>
      <c r="C61" s="46" t="s">
        <v>64</v>
      </c>
      <c r="D61" s="46" t="s">
        <v>859</v>
      </c>
      <c r="E61" s="46" t="s">
        <v>233</v>
      </c>
      <c r="F61" s="46" t="s">
        <v>213</v>
      </c>
      <c r="G61" s="53" t="s">
        <v>1898</v>
      </c>
      <c r="H61" s="46" t="s">
        <v>77</v>
      </c>
      <c r="I61" s="53">
        <v>46192</v>
      </c>
      <c r="J61" s="98"/>
      <c r="K61" s="46" t="s">
        <v>69</v>
      </c>
      <c r="L61" s="123">
        <f>VLOOKUP($C61&amp;$E61,'Updated SES'!A:N,14,0)</f>
        <v>4.6890000000000001</v>
      </c>
      <c r="M61" s="124">
        <f>VLOOKUP($K61,'Genre Penetration'!A:B,2,0)*VLOOKUP($C61&amp;$E61,'Updated SES'!A:I,9,0)</f>
        <v>0.47599999999999998</v>
      </c>
      <c r="N61" s="124">
        <f>VLOOKUP(K:K,'Genre Penetration'!A:C,3,0)*VLOOKUP($C61&amp;$E61,'Updated SES'!A:J,10,0)</f>
        <v>9.6000000000000002E-2</v>
      </c>
      <c r="O61" s="124">
        <f>VLOOKUP($B61,'Language Penetration'!$B$1:$BE$14,MATCH('Compile data Working'!$H61,'Language Penetration'!$B$1:$BE$1,0),0)</f>
        <v>0.26250000000000001</v>
      </c>
      <c r="P61" s="124" t="str">
        <f ca="1">IF(ISBLANK(J61),RANDBETWEEN(1,2)&amp;"%",IF(J61=1,RANDBETWEEN(35,40)&amp;"%",IF(J61=2,RANDBETWEEN(30,35)&amp;"%",IF(J61=3,RANDBETWEEN(25,30)&amp;"%",IF(J61=4,RANDBETWEEN(20,25)&amp;"%",IF(J61=5,RANDBETWEEN(15,20)&amp;"%",IF(J61=6,RANDBETWEEN(10,15)&amp;"%",IF(J61=7,RANDBETWEEN(8,10)&amp;"%",IF(J61=8,RANDBETWEEN(6,8)&amp;"%",IF(J61=9,RANDBETWEEN(4,6)&amp;"%",IF(J61=10,RANDBETWEEN(2,4)&amp;"%","")))))))))))</f>
        <v>2%</v>
      </c>
      <c r="Q61" s="123">
        <f ca="1">IFERROR(L61*(M61+N61)*O61*P61,RANDBETWEEN(1,2)%*L61*(M61+N61)*O61)</f>
        <v>1.4081067000000001E-2</v>
      </c>
      <c r="R61" s="125">
        <f>VLOOKUP(D:D,ranking!W:X,2,0)</f>
        <v>0.7</v>
      </c>
      <c r="S61" s="126">
        <f ca="1">R61*Q61</f>
        <v>9.8567468999999994E-3</v>
      </c>
      <c r="T61" s="123">
        <v>10.421389876547657</v>
      </c>
    </row>
    <row r="62" spans="1:20" x14ac:dyDescent="0.25">
      <c r="A62" s="98" t="s">
        <v>1861</v>
      </c>
      <c r="B62" s="98" t="s">
        <v>85</v>
      </c>
      <c r="C62" s="46" t="s">
        <v>64</v>
      </c>
      <c r="D62" s="46" t="s">
        <v>859</v>
      </c>
      <c r="E62" s="46" t="s">
        <v>211</v>
      </c>
      <c r="F62" s="46" t="s">
        <v>213</v>
      </c>
      <c r="G62" s="46" t="s">
        <v>1884</v>
      </c>
      <c r="H62" s="46" t="s">
        <v>20</v>
      </c>
      <c r="I62" s="53">
        <v>46190</v>
      </c>
      <c r="J62" s="98"/>
      <c r="K62" s="46" t="s">
        <v>279</v>
      </c>
      <c r="L62" s="123">
        <f>VLOOKUP($C62&amp;$E62,'Updated SES'!A:N,14,0)</f>
        <v>36.498239999999996</v>
      </c>
      <c r="M62" s="124">
        <f>VLOOKUP($K62,'Genre Penetration'!A:B,2,0)*VLOOKUP($C62&amp;$E62,'Updated SES'!A:I,9,0)</f>
        <v>0.23400000000000001</v>
      </c>
      <c r="N62" s="124">
        <f>VLOOKUP(K:K,'Genre Penetration'!A:C,3,0)*VLOOKUP($C62&amp;$E62,'Updated SES'!A:J,10,0)</f>
        <v>0.26400000000000001</v>
      </c>
      <c r="O62" s="124">
        <f>VLOOKUP($B62,'Language Penetration'!$B$1:$BE$14,MATCH('Compile data Working'!$H62,'Language Penetration'!$B$1:$BE$1,0),0)</f>
        <v>0.2</v>
      </c>
      <c r="P62" s="124" t="str">
        <f ca="1">IF(ISBLANK(J62),RANDBETWEEN(1,2)&amp;"%",IF(J62=1,RANDBETWEEN(35,40)&amp;"%",IF(J62=2,RANDBETWEEN(30,35)&amp;"%",IF(J62=3,RANDBETWEEN(25,30)&amp;"%",IF(J62=4,RANDBETWEEN(20,25)&amp;"%",IF(J62=5,RANDBETWEEN(15,20)&amp;"%",IF(J62=6,RANDBETWEEN(10,15)&amp;"%",IF(J62=7,RANDBETWEEN(8,10)&amp;"%",IF(J62=8,RANDBETWEEN(6,8)&amp;"%",IF(J62=9,RANDBETWEEN(4,6)&amp;"%",IF(J62=10,RANDBETWEEN(2,4)&amp;"%","")))))))))))</f>
        <v>1%</v>
      </c>
      <c r="Q62" s="123">
        <f ca="1">IFERROR(L62*(M62+N62)*O62*P62,RANDBETWEEN(1,2)%*L62*(M62+N62)*O62)</f>
        <v>3.6352247040000001E-2</v>
      </c>
      <c r="R62" s="125">
        <f>VLOOKUP(D:D,ranking!W:X,2,0)</f>
        <v>0.7</v>
      </c>
      <c r="S62" s="126">
        <f ca="1">R62*Q62</f>
        <v>2.5446572928E-2</v>
      </c>
      <c r="T62" s="123">
        <v>10.114878409590373</v>
      </c>
    </row>
    <row r="63" spans="1:20" x14ac:dyDescent="0.25">
      <c r="A63" s="98" t="s">
        <v>1861</v>
      </c>
      <c r="B63" s="98" t="s">
        <v>85</v>
      </c>
      <c r="C63" s="46" t="s">
        <v>114</v>
      </c>
      <c r="D63" s="46" t="s">
        <v>859</v>
      </c>
      <c r="E63" s="46" t="s">
        <v>211</v>
      </c>
      <c r="F63" s="46" t="s">
        <v>213</v>
      </c>
      <c r="G63" s="46" t="s">
        <v>1897</v>
      </c>
      <c r="H63" s="46" t="s">
        <v>20</v>
      </c>
      <c r="I63" s="53">
        <v>46192</v>
      </c>
      <c r="J63" s="98"/>
      <c r="K63" s="46" t="s">
        <v>161</v>
      </c>
      <c r="L63" s="123">
        <f>VLOOKUP($C63&amp;$E63,'Updated SES'!A:N,14,0)</f>
        <v>25.340000000000003</v>
      </c>
      <c r="M63" s="124">
        <f>VLOOKUP($K63,'Genre Penetration'!A:B,2,0)*VLOOKUP($C63&amp;$E63,'Updated SES'!A:I,9,0)</f>
        <v>0.32800000000000001</v>
      </c>
      <c r="N63" s="124">
        <f>VLOOKUP(K:K,'Genre Penetration'!A:C,3,0)*VLOOKUP($C63&amp;$E63,'Updated SES'!A:J,10,0)</f>
        <v>0.108</v>
      </c>
      <c r="O63" s="124">
        <f>VLOOKUP($B63,'Language Penetration'!$B$1:$BE$14,MATCH('Compile data Working'!$H63,'Language Penetration'!$B$1:$BE$1,0),0)</f>
        <v>0.2</v>
      </c>
      <c r="P63" s="124" t="str">
        <f ca="1">IF(ISBLANK(J63),RANDBETWEEN(1,2)&amp;"%",IF(J63=1,RANDBETWEEN(35,40)&amp;"%",IF(J63=2,RANDBETWEEN(30,35)&amp;"%",IF(J63=3,RANDBETWEEN(25,30)&amp;"%",IF(J63=4,RANDBETWEEN(20,25)&amp;"%",IF(J63=5,RANDBETWEEN(15,20)&amp;"%",IF(J63=6,RANDBETWEEN(10,15)&amp;"%",IF(J63=7,RANDBETWEEN(8,10)&amp;"%",IF(J63=8,RANDBETWEEN(6,8)&amp;"%",IF(J63=9,RANDBETWEEN(4,6)&amp;"%",IF(J63=10,RANDBETWEEN(2,4)&amp;"%","")))))))))))</f>
        <v>1%</v>
      </c>
      <c r="Q63" s="123">
        <f ca="1">IFERROR(L63*(M63+N63)*O63*P63,RANDBETWEEN(1,2)%*L63*(M63+N63)*O63)</f>
        <v>2.2096480000000005E-2</v>
      </c>
      <c r="R63" s="125">
        <f>VLOOKUP(D:D,ranking!W:X,2,0)</f>
        <v>0.7</v>
      </c>
      <c r="S63" s="126">
        <f ca="1">R63*Q63</f>
        <v>1.5467536000000002E-2</v>
      </c>
      <c r="T63" s="123">
        <v>9.9644887378674998</v>
      </c>
    </row>
    <row r="64" spans="1:20" x14ac:dyDescent="0.25">
      <c r="A64" s="98" t="s">
        <v>1057</v>
      </c>
      <c r="B64" s="98" t="s">
        <v>85</v>
      </c>
      <c r="C64" s="98" t="s">
        <v>132</v>
      </c>
      <c r="D64" s="98" t="s">
        <v>456</v>
      </c>
      <c r="E64" s="98" t="s">
        <v>219</v>
      </c>
      <c r="F64" s="46" t="s">
        <v>215</v>
      </c>
      <c r="G64" s="98" t="s">
        <v>1515</v>
      </c>
      <c r="H64" s="119" t="s">
        <v>19</v>
      </c>
      <c r="I64" s="106">
        <v>45948</v>
      </c>
      <c r="J64" s="119">
        <v>4</v>
      </c>
      <c r="K64" s="98" t="s">
        <v>1797</v>
      </c>
      <c r="L64" s="123">
        <f>VLOOKUP($C64&amp;$E64,'Updated SES'!A:N,14,0)</f>
        <v>5.2679999999999998</v>
      </c>
      <c r="M64" s="124">
        <f>VLOOKUP($K64,'Genre Penetration'!A:B,2,0)*VLOOKUP($C64&amp;$E64,'Updated SES'!A:I,9,0)</f>
        <v>0.26400000000000001</v>
      </c>
      <c r="N64" s="124">
        <f>VLOOKUP(K:K,'Genre Penetration'!A:C,3,0)*VLOOKUP($C64&amp;$E64,'Updated SES'!A:J,10,0)</f>
        <v>0.20400000000000001</v>
      </c>
      <c r="O64" s="124">
        <f>VLOOKUP($B64,'Language Penetration'!$B$1:$BE$14,MATCH('Compile data Working'!$H64,'Language Penetration'!$B$1:$BE$1,0),0)</f>
        <v>0.6</v>
      </c>
      <c r="P64" s="124" t="str">
        <f ca="1">IF(ISBLANK(J64),RANDBETWEEN(1,2)&amp;"%",IF(J64=1,RANDBETWEEN(35,40)&amp;"%",IF(J64=2,RANDBETWEEN(30,35)&amp;"%",IF(J64=3,RANDBETWEEN(25,30)&amp;"%",IF(J64=4,RANDBETWEEN(20,25)&amp;"%",IF(J64=5,RANDBETWEEN(15,20)&amp;"%",IF(J64=6,RANDBETWEEN(10,15)&amp;"%",IF(J64=7,RANDBETWEEN(8,10)&amp;"%",IF(J64=8,RANDBETWEEN(6,8)&amp;"%",IF(J64=9,RANDBETWEEN(4,6)&amp;"%",IF(J64=10,RANDBETWEEN(2,4)&amp;"%","")))))))))))</f>
        <v>21%</v>
      </c>
      <c r="Q64" s="123">
        <f ca="1">IFERROR(L64*(M64+N64)*O64*P64,RANDBETWEEN(1,2)%*L64*(M64+N64)*O64)</f>
        <v>0.310643424</v>
      </c>
      <c r="R64" s="125">
        <f>VLOOKUP(D:D,ranking!W:X,2,0)</f>
        <v>0.3</v>
      </c>
      <c r="S64" s="126">
        <f ca="1">R64*Q64</f>
        <v>9.31930272E-2</v>
      </c>
      <c r="T64" s="123">
        <v>9.6945088059909033</v>
      </c>
    </row>
    <row r="65" spans="1:20" x14ac:dyDescent="0.25">
      <c r="A65" s="98" t="s">
        <v>1861</v>
      </c>
      <c r="B65" s="98" t="s">
        <v>85</v>
      </c>
      <c r="C65" s="46" t="s">
        <v>64</v>
      </c>
      <c r="D65" s="46" t="s">
        <v>859</v>
      </c>
      <c r="E65" s="46" t="s">
        <v>211</v>
      </c>
      <c r="F65" s="46" t="s">
        <v>213</v>
      </c>
      <c r="G65" s="46" t="s">
        <v>1885</v>
      </c>
      <c r="H65" s="46" t="s">
        <v>20</v>
      </c>
      <c r="I65" s="53">
        <v>46190</v>
      </c>
      <c r="J65" s="98"/>
      <c r="K65" s="46" t="s">
        <v>154</v>
      </c>
      <c r="L65" s="123">
        <f>VLOOKUP($C65&amp;$E65,'Updated SES'!A:N,14,0)</f>
        <v>36.498239999999996</v>
      </c>
      <c r="M65" s="124">
        <f>VLOOKUP($K65,'Genre Penetration'!A:B,2,0)*VLOOKUP($C65&amp;$E65,'Updated SES'!A:I,9,0)</f>
        <v>0.156</v>
      </c>
      <c r="N65" s="124">
        <f>VLOOKUP(K:K,'Genre Penetration'!A:C,3,0)*VLOOKUP($C65&amp;$E65,'Updated SES'!A:J,10,0)</f>
        <v>0.33599999999999997</v>
      </c>
      <c r="O65" s="124">
        <f>VLOOKUP($B65,'Language Penetration'!$B$1:$BE$14,MATCH('Compile data Working'!$H65,'Language Penetration'!$B$1:$BE$1,0),0)</f>
        <v>0.2</v>
      </c>
      <c r="P65" s="124" t="str">
        <f ca="1">IF(ISBLANK(J65),RANDBETWEEN(1,2)&amp;"%",IF(J65=1,RANDBETWEEN(35,40)&amp;"%",IF(J65=2,RANDBETWEEN(30,35)&amp;"%",IF(J65=3,RANDBETWEEN(25,30)&amp;"%",IF(J65=4,RANDBETWEEN(20,25)&amp;"%",IF(J65=5,RANDBETWEEN(15,20)&amp;"%",IF(J65=6,RANDBETWEEN(10,15)&amp;"%",IF(J65=7,RANDBETWEEN(8,10)&amp;"%",IF(J65=8,RANDBETWEEN(6,8)&amp;"%",IF(J65=9,RANDBETWEEN(4,6)&amp;"%",IF(J65=10,RANDBETWEEN(2,4)&amp;"%","")))))))))))</f>
        <v>1%</v>
      </c>
      <c r="Q65" s="123">
        <f ca="1">IFERROR(L65*(M65+N65)*O65*P65,RANDBETWEEN(1,2)%*L65*(M65+N65)*O65)</f>
        <v>3.5914268159999992E-2</v>
      </c>
      <c r="R65" s="125">
        <f>VLOOKUP(D:D,ranking!W:X,2,0)</f>
        <v>0.7</v>
      </c>
      <c r="S65" s="126">
        <f ca="1">R65*Q65</f>
        <v>2.5139987711999993E-2</v>
      </c>
      <c r="T65" s="123">
        <v>9.6551112091544464</v>
      </c>
    </row>
    <row r="66" spans="1:20" x14ac:dyDescent="0.25">
      <c r="A66" s="98" t="s">
        <v>1861</v>
      </c>
      <c r="B66" s="98" t="s">
        <v>85</v>
      </c>
      <c r="C66" s="46" t="s">
        <v>406</v>
      </c>
      <c r="D66" s="46" t="s">
        <v>1012</v>
      </c>
      <c r="E66" s="46" t="s">
        <v>211</v>
      </c>
      <c r="F66" s="46" t="s">
        <v>215</v>
      </c>
      <c r="G66" s="46" t="s">
        <v>1903</v>
      </c>
      <c r="H66" s="46" t="s">
        <v>20</v>
      </c>
      <c r="I66" s="53">
        <v>46192</v>
      </c>
      <c r="J66" s="98"/>
      <c r="K66" s="46" t="s">
        <v>87</v>
      </c>
      <c r="L66" s="123">
        <f>VLOOKUP($C66&amp;$E66,'Updated SES'!A:N,14,0)</f>
        <v>1.669</v>
      </c>
      <c r="M66" s="124">
        <f>VLOOKUP($K66,'Genre Penetration'!A:B,2,0)*VLOOKUP($C66&amp;$E66,'Updated SES'!A:I,9,0)</f>
        <v>0.36599999999999999</v>
      </c>
      <c r="N66" s="124">
        <f>VLOOKUP(K:K,'Genre Penetration'!A:C,3,0)*VLOOKUP($C66&amp;$E66,'Updated SES'!A:J,10,0)</f>
        <v>0.15600000000000003</v>
      </c>
      <c r="O66" s="124">
        <f>VLOOKUP($B66,'Language Penetration'!$B$1:$BE$14,MATCH('Compile data Working'!$H66,'Language Penetration'!$B$1:$BE$1,0),0)</f>
        <v>0.2</v>
      </c>
      <c r="P66" s="124" t="str">
        <f ca="1">IF(ISBLANK(J66),RANDBETWEEN(1,2)&amp;"%",IF(J66=1,RANDBETWEEN(35,40)&amp;"%",IF(J66=2,RANDBETWEEN(30,35)&amp;"%",IF(J66=3,RANDBETWEEN(25,30)&amp;"%",IF(J66=4,RANDBETWEEN(20,25)&amp;"%",IF(J66=5,RANDBETWEEN(15,20)&amp;"%",IF(J66=6,RANDBETWEEN(10,15)&amp;"%",IF(J66=7,RANDBETWEEN(8,10)&amp;"%",IF(J66=8,RANDBETWEEN(6,8)&amp;"%",IF(J66=9,RANDBETWEEN(4,6)&amp;"%",IF(J66=10,RANDBETWEEN(2,4)&amp;"%","")))))))))))</f>
        <v>2%</v>
      </c>
      <c r="Q66" s="123">
        <f ca="1">IFERROR(L66*(M66+N66)*O66*P66,RANDBETWEEN(1,2)%*L66*(M66+N66)*O66)</f>
        <v>3.4848720000000004E-3</v>
      </c>
      <c r="R66" s="125">
        <f>VLOOKUP(D:D,ranking!W:X,2,0)</f>
        <v>0.6</v>
      </c>
      <c r="S66" s="126">
        <f ca="1">R66*Q66</f>
        <v>2.0909232000000002E-3</v>
      </c>
      <c r="T66" s="123">
        <v>9.5473727723131994</v>
      </c>
    </row>
    <row r="67" spans="1:20" x14ac:dyDescent="0.25">
      <c r="A67" s="98" t="s">
        <v>1781</v>
      </c>
      <c r="B67" s="98" t="s">
        <v>85</v>
      </c>
      <c r="C67" s="46" t="s">
        <v>1849</v>
      </c>
      <c r="D67" s="46" t="s">
        <v>456</v>
      </c>
      <c r="E67" s="46" t="s">
        <v>211</v>
      </c>
      <c r="F67" s="46" t="s">
        <v>1908</v>
      </c>
      <c r="G67" s="46" t="s">
        <v>1786</v>
      </c>
      <c r="H67" s="46" t="s">
        <v>19</v>
      </c>
      <c r="I67" s="46">
        <v>36710</v>
      </c>
      <c r="J67" s="46"/>
      <c r="K67" s="46" t="s">
        <v>216</v>
      </c>
      <c r="L67" s="123">
        <f>VLOOKUP($C67&amp;$E67,'Updated SES'!A:N,14,0)</f>
        <v>127.11702000000001</v>
      </c>
      <c r="M67" s="124">
        <f>VLOOKUP($K67,'Genre Penetration'!A:B,2,0)*VLOOKUP($C67&amp;$E67,'Updated SES'!A:I,9,0)</f>
        <v>0.33499999999999996</v>
      </c>
      <c r="N67" s="124">
        <f>VLOOKUP(K:K,'Genre Penetration'!A:C,3,0)*VLOOKUP($C67&amp;$E67,'Updated SES'!A:J,10,0)</f>
        <v>0.16499999999999998</v>
      </c>
      <c r="O67" s="124">
        <f>VLOOKUP($B67,'Language Penetration'!$B$1:$BE$14,MATCH('Compile data Working'!$H67,'Language Penetration'!$B$1:$BE$1,0),0)</f>
        <v>0.6</v>
      </c>
      <c r="P67" s="124" t="str">
        <f ca="1">IF(ISBLANK(J67),RANDBETWEEN(1,2)&amp;"%",IF(J67=1,RANDBETWEEN(35,40)&amp;"%",IF(J67=2,RANDBETWEEN(30,35)&amp;"%",IF(J67=3,RANDBETWEEN(25,30)&amp;"%",IF(J67=4,RANDBETWEEN(20,25)&amp;"%",IF(J67=5,RANDBETWEEN(15,20)&amp;"%",IF(J67=6,RANDBETWEEN(10,15)&amp;"%",IF(J67=7,RANDBETWEEN(8,10)&amp;"%",IF(J67=8,RANDBETWEEN(6,8)&amp;"%",IF(J67=9,RANDBETWEEN(4,6)&amp;"%",IF(J67=10,RANDBETWEEN(2,4)&amp;"%","")))))))))))</f>
        <v>2%</v>
      </c>
      <c r="Q67" s="123">
        <f ca="1">IFERROR(L67*(M67+N67)*O67*P67,RANDBETWEEN(1,2)%*L67*(M67+N67)*O67)</f>
        <v>0.76270212000000004</v>
      </c>
      <c r="R67" s="125">
        <f>VLOOKUP(D:D,ranking!W:X,2,0)</f>
        <v>0.3</v>
      </c>
      <c r="S67" s="126">
        <f ca="1">R67*Q67</f>
        <v>0.22881063600000001</v>
      </c>
      <c r="T67" s="123">
        <v>9.5255799861528452</v>
      </c>
    </row>
    <row r="68" spans="1:20" x14ac:dyDescent="0.25">
      <c r="A68" s="98" t="s">
        <v>1861</v>
      </c>
      <c r="B68" s="98" t="s">
        <v>85</v>
      </c>
      <c r="C68" s="46" t="s">
        <v>64</v>
      </c>
      <c r="D68" s="46" t="s">
        <v>859</v>
      </c>
      <c r="E68" s="46" t="s">
        <v>211</v>
      </c>
      <c r="F68" s="46" t="s">
        <v>213</v>
      </c>
      <c r="G68" s="46" t="s">
        <v>1886</v>
      </c>
      <c r="H68" s="46" t="s">
        <v>20</v>
      </c>
      <c r="I68" s="53">
        <v>46190</v>
      </c>
      <c r="J68" s="98"/>
      <c r="K68" s="46" t="s">
        <v>154</v>
      </c>
      <c r="L68" s="123">
        <f>VLOOKUP($C68&amp;$E68,'Updated SES'!A:N,14,0)</f>
        <v>36.498239999999996</v>
      </c>
      <c r="M68" s="124">
        <f>VLOOKUP($K68,'Genre Penetration'!A:B,2,0)*VLOOKUP($C68&amp;$E68,'Updated SES'!A:I,9,0)</f>
        <v>0.156</v>
      </c>
      <c r="N68" s="124">
        <f>VLOOKUP(K:K,'Genre Penetration'!A:C,3,0)*VLOOKUP($C68&amp;$E68,'Updated SES'!A:J,10,0)</f>
        <v>0.33599999999999997</v>
      </c>
      <c r="O68" s="124">
        <f>VLOOKUP($B68,'Language Penetration'!$B$1:$BE$14,MATCH('Compile data Working'!$H68,'Language Penetration'!$B$1:$BE$1,0),0)</f>
        <v>0.2</v>
      </c>
      <c r="P68" s="124" t="str">
        <f ca="1">IF(ISBLANK(J68),RANDBETWEEN(1,2)&amp;"%",IF(J68=1,RANDBETWEEN(35,40)&amp;"%",IF(J68=2,RANDBETWEEN(30,35)&amp;"%",IF(J68=3,RANDBETWEEN(25,30)&amp;"%",IF(J68=4,RANDBETWEEN(20,25)&amp;"%",IF(J68=5,RANDBETWEEN(15,20)&amp;"%",IF(J68=6,RANDBETWEEN(10,15)&amp;"%",IF(J68=7,RANDBETWEEN(8,10)&amp;"%",IF(J68=8,RANDBETWEEN(6,8)&amp;"%",IF(J68=9,RANDBETWEEN(4,6)&amp;"%",IF(J68=10,RANDBETWEEN(2,4)&amp;"%","")))))))))))</f>
        <v>1%</v>
      </c>
      <c r="Q68" s="123">
        <f ca="1">IFERROR(L68*(M68+N68)*O68*P68,RANDBETWEEN(1,2)%*L68*(M68+N68)*O68)</f>
        <v>3.5914268159999992E-2</v>
      </c>
      <c r="R68" s="125">
        <f>VLOOKUP(D:D,ranking!W:X,2,0)</f>
        <v>0.7</v>
      </c>
      <c r="S68" s="126">
        <f ca="1">R68*Q68</f>
        <v>2.5139987711999993E-2</v>
      </c>
      <c r="T68" s="123">
        <v>9.5018554756758036</v>
      </c>
    </row>
    <row r="69" spans="1:20" x14ac:dyDescent="0.25">
      <c r="A69" s="98" t="s">
        <v>1861</v>
      </c>
      <c r="B69" s="98" t="s">
        <v>85</v>
      </c>
      <c r="C69" s="46" t="s">
        <v>64</v>
      </c>
      <c r="D69" s="46" t="s">
        <v>859</v>
      </c>
      <c r="E69" s="46" t="s">
        <v>233</v>
      </c>
      <c r="F69" s="46" t="s">
        <v>213</v>
      </c>
      <c r="G69" s="46" t="s">
        <v>1863</v>
      </c>
      <c r="H69" s="46" t="s">
        <v>26</v>
      </c>
      <c r="I69" s="53">
        <v>46188</v>
      </c>
      <c r="J69" s="98"/>
      <c r="K69" s="46" t="s">
        <v>177</v>
      </c>
      <c r="L69" s="123">
        <f>VLOOKUP($C69&amp;$E69,'Updated SES'!A:N,14,0)</f>
        <v>4.6890000000000001</v>
      </c>
      <c r="M69" s="124">
        <f>VLOOKUP($K69,'Genre Penetration'!A:B,2,0)*VLOOKUP($C69&amp;$E69,'Updated SES'!A:I,9,0)</f>
        <v>0.37400000000000005</v>
      </c>
      <c r="N69" s="124">
        <f>VLOOKUP(K:K,'Genre Penetration'!A:C,3,0)*VLOOKUP($C69&amp;$E69,'Updated SES'!A:J,10,0)</f>
        <v>0.14400000000000002</v>
      </c>
      <c r="O69" s="124">
        <f>VLOOKUP($B69,'Language Penetration'!$B$1:$BE$14,MATCH('Compile data Working'!$H69,'Language Penetration'!$B$1:$BE$1,0),0)</f>
        <v>7.0000000000000007E-2</v>
      </c>
      <c r="P69" s="124" t="str">
        <f ca="1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1%</v>
      </c>
      <c r="Q69" s="123">
        <f ca="1">IFERROR(L69*(M69+N69)*O69*P69,RANDBETWEEN(1,2)%*L69*(M69+N69)*O69)</f>
        <v>1.7002314000000001E-3</v>
      </c>
      <c r="R69" s="125">
        <f>VLOOKUP(D:D,ranking!W:X,2,0)</f>
        <v>0.7</v>
      </c>
      <c r="S69" s="126">
        <f ca="1">R69*Q69</f>
        <v>1.1901619799999999E-3</v>
      </c>
      <c r="T69" s="123">
        <v>9.1953440087185196</v>
      </c>
    </row>
    <row r="70" spans="1:20" x14ac:dyDescent="0.25">
      <c r="A70" s="98" t="s">
        <v>1057</v>
      </c>
      <c r="B70" s="98" t="s">
        <v>85</v>
      </c>
      <c r="C70" s="46" t="s">
        <v>123</v>
      </c>
      <c r="D70" s="46" t="s">
        <v>431</v>
      </c>
      <c r="E70" s="46" t="s">
        <v>211</v>
      </c>
      <c r="F70" s="46" t="s">
        <v>215</v>
      </c>
      <c r="G70" s="46" t="s">
        <v>1800</v>
      </c>
      <c r="H70" s="46" t="s">
        <v>77</v>
      </c>
      <c r="I70" s="53">
        <v>46157</v>
      </c>
      <c r="J70" s="119">
        <v>5</v>
      </c>
      <c r="K70" s="46" t="s">
        <v>202</v>
      </c>
      <c r="L70" s="123">
        <f>VLOOKUP($C70&amp;$E70,'Updated SES'!A:N,14,0)</f>
        <v>55.459200000000003</v>
      </c>
      <c r="M70" s="124">
        <f>VLOOKUP($K70,'Genre Penetration'!A:B,2,0)*VLOOKUP($C70&amp;$E70,'Updated SES'!A:I,9,0)</f>
        <v>0.3528</v>
      </c>
      <c r="N70" s="124">
        <f>VLOOKUP(K:K,'Genre Penetration'!A:C,3,0)*VLOOKUP($C70&amp;$E70,'Updated SES'!A:J,10,0)</f>
        <v>0.14280000000000001</v>
      </c>
      <c r="O70" s="124">
        <f>VLOOKUP($B70,'Language Penetration'!$B$1:$BE$14,MATCH('Compile data Working'!$H70,'Language Penetration'!$B$1:$BE$1,0),0)</f>
        <v>0.26250000000000001</v>
      </c>
      <c r="P70" s="124" t="str">
        <f ca="1">IF(ISBLANK(J70),RANDBETWEEN(1,2)&amp;"%",IF(J70=1,RANDBETWEEN(35,40)&amp;"%",IF(J70=2,RANDBETWEEN(30,35)&amp;"%",IF(J70=3,RANDBETWEEN(25,30)&amp;"%",IF(J70=4,RANDBETWEEN(20,25)&amp;"%",IF(J70=5,RANDBETWEEN(15,20)&amp;"%",IF(J70=6,RANDBETWEEN(10,15)&amp;"%",IF(J70=7,RANDBETWEEN(8,10)&amp;"%",IF(J70=8,RANDBETWEEN(6,8)&amp;"%",IF(J70=9,RANDBETWEEN(4,6)&amp;"%",IF(J70=10,RANDBETWEEN(2,4)&amp;"%","")))))))))))</f>
        <v>19%</v>
      </c>
      <c r="Q70" s="123">
        <f ca="1">IFERROR(L70*(M70+N70)*O70*P70,RANDBETWEEN(1,2)%*L70*(M70+N70)*O70)</f>
        <v>1.3708432785600004</v>
      </c>
      <c r="R70" s="125">
        <f>VLOOKUP(D:D,ranking!W:X,2,0)</f>
        <v>0.6</v>
      </c>
      <c r="S70" s="126">
        <f ca="1">R70*Q70</f>
        <v>0.82250596713600022</v>
      </c>
      <c r="T70" s="123">
        <v>8.9568392020402445</v>
      </c>
    </row>
    <row r="71" spans="1:20" x14ac:dyDescent="0.25">
      <c r="A71" s="98" t="s">
        <v>1057</v>
      </c>
      <c r="B71" s="98" t="s">
        <v>85</v>
      </c>
      <c r="C71" s="98" t="s">
        <v>64</v>
      </c>
      <c r="D71" s="98" t="s">
        <v>431</v>
      </c>
      <c r="E71" s="98" t="s">
        <v>211</v>
      </c>
      <c r="F71" s="46" t="s">
        <v>215</v>
      </c>
      <c r="G71" s="120" t="s">
        <v>1799</v>
      </c>
      <c r="H71" s="119" t="s">
        <v>1432</v>
      </c>
      <c r="I71" s="106">
        <v>46155</v>
      </c>
      <c r="J71" s="119">
        <v>4</v>
      </c>
      <c r="K71" s="98" t="s">
        <v>172</v>
      </c>
      <c r="L71" s="123">
        <f>VLOOKUP($C71&amp;$E71,'Updated SES'!A:N,14,0)</f>
        <v>36.498239999999996</v>
      </c>
      <c r="M71" s="124">
        <f>VLOOKUP($K71,'Genre Penetration'!A:B,2,0)*VLOOKUP($C71&amp;$E71,'Updated SES'!A:I,9,0)</f>
        <v>0.20800000000000002</v>
      </c>
      <c r="N71" s="124">
        <f>VLOOKUP(K:K,'Genre Penetration'!A:C,3,0)*VLOOKUP($C71&amp;$E71,'Updated SES'!A:J,10,0)</f>
        <v>0.28799999999999998</v>
      </c>
      <c r="O71" s="124">
        <f>VLOOKUP($B71,'Language Penetration'!$B$1:$BE$14,MATCH('Compile data Working'!$H71,'Language Penetration'!$B$1:$BE$1,0),0)</f>
        <v>0.20333333333333337</v>
      </c>
      <c r="P71" s="124" t="str">
        <f ca="1">IF(ISBLANK(J71),RANDBETWEEN(1,2)&amp;"%",IF(J71=1,RANDBETWEEN(35,40)&amp;"%",IF(J71=2,RANDBETWEEN(30,35)&amp;"%",IF(J71=3,RANDBETWEEN(25,30)&amp;"%",IF(J71=4,RANDBETWEEN(20,25)&amp;"%",IF(J71=5,RANDBETWEEN(15,20)&amp;"%",IF(J71=6,RANDBETWEEN(10,15)&amp;"%",IF(J71=7,RANDBETWEEN(8,10)&amp;"%",IF(J71=8,RANDBETWEEN(6,8)&amp;"%",IF(J71=9,RANDBETWEEN(4,6)&amp;"%",IF(J71=10,RANDBETWEEN(2,4)&amp;"%","")))))))))))</f>
        <v>23%</v>
      </c>
      <c r="Q71" s="123">
        <f ca="1">IFERROR(L71*(M71+N71)*O71*P71,RANDBETWEEN(1,2)%*L71*(M71+N71)*O71)</f>
        <v>0.84662290790400008</v>
      </c>
      <c r="R71" s="125">
        <f>VLOOKUP(D:D,ranking!W:X,2,0)</f>
        <v>0.6</v>
      </c>
      <c r="S71" s="126">
        <f ca="1">R71*Q71</f>
        <v>0.50797374474239998</v>
      </c>
      <c r="T71" s="123">
        <v>8.618027421262715</v>
      </c>
    </row>
    <row r="72" spans="1:20" x14ac:dyDescent="0.25">
      <c r="A72" s="98" t="s">
        <v>1781</v>
      </c>
      <c r="B72" s="98" t="s">
        <v>85</v>
      </c>
      <c r="C72" s="46" t="s">
        <v>1849</v>
      </c>
      <c r="D72" s="98" t="s">
        <v>456</v>
      </c>
      <c r="E72" s="98" t="s">
        <v>211</v>
      </c>
      <c r="F72" s="46" t="s">
        <v>1908</v>
      </c>
      <c r="G72" s="46" t="s">
        <v>1790</v>
      </c>
      <c r="H72" s="46" t="s">
        <v>19</v>
      </c>
      <c r="I72" s="129">
        <v>39825</v>
      </c>
      <c r="J72" s="46"/>
      <c r="K72" s="46" t="s">
        <v>216</v>
      </c>
      <c r="L72" s="123">
        <f>VLOOKUP($C72&amp;$E72,'Updated SES'!A:N,14,0)</f>
        <v>127.11702000000001</v>
      </c>
      <c r="M72" s="124">
        <f>VLOOKUP($K72,'Genre Penetration'!A:B,2,0)*VLOOKUP($C72&amp;$E72,'Updated SES'!A:I,9,0)</f>
        <v>0.33499999999999996</v>
      </c>
      <c r="N72" s="124">
        <f>VLOOKUP(K:K,'Genre Penetration'!A:C,3,0)*VLOOKUP($C72&amp;$E72,'Updated SES'!A:J,10,0)</f>
        <v>0.16499999999999998</v>
      </c>
      <c r="O72" s="124">
        <f>VLOOKUP($B72,'Language Penetration'!$B$1:$BE$14,MATCH('Compile data Working'!$H72,'Language Penetration'!$B$1:$BE$1,0),0)</f>
        <v>0.6</v>
      </c>
      <c r="P72" s="124" t="str">
        <f ca="1">IF(ISBLANK(J72),RANDBETWEEN(1,2)&amp;"%",IF(J72=1,RANDBETWEEN(35,40)&amp;"%",IF(J72=2,RANDBETWEEN(30,35)&amp;"%",IF(J72=3,RANDBETWEEN(25,30)&amp;"%",IF(J72=4,RANDBETWEEN(20,25)&amp;"%",IF(J72=5,RANDBETWEEN(15,20)&amp;"%",IF(J72=6,RANDBETWEEN(10,15)&amp;"%",IF(J72=7,RANDBETWEEN(8,10)&amp;"%",IF(J72=8,RANDBETWEEN(6,8)&amp;"%",IF(J72=9,RANDBETWEEN(4,6)&amp;"%",IF(J72=10,RANDBETWEEN(2,4)&amp;"%","")))))))))))</f>
        <v>2%</v>
      </c>
      <c r="Q72" s="123">
        <f ca="1">IFERROR(L72*(M72+N72)*O72*P72,RANDBETWEEN(1,2)%*L72*(M72+N72)*O72)</f>
        <v>0.76270212000000004</v>
      </c>
      <c r="R72" s="125">
        <f>VLOOKUP(D:D,ranking!W:X,2,0)</f>
        <v>0.3</v>
      </c>
      <c r="S72" s="126">
        <f ca="1">R72*Q72</f>
        <v>0.22881063600000001</v>
      </c>
      <c r="T72" s="123">
        <v>8.0671479204299175</v>
      </c>
    </row>
    <row r="73" spans="1:20" x14ac:dyDescent="0.25">
      <c r="A73" s="98" t="s">
        <v>1057</v>
      </c>
      <c r="B73" s="98" t="s">
        <v>85</v>
      </c>
      <c r="C73" s="46" t="s">
        <v>1229</v>
      </c>
      <c r="D73" s="46" t="s">
        <v>433</v>
      </c>
      <c r="E73" s="46" t="s">
        <v>219</v>
      </c>
      <c r="F73" s="46" t="s">
        <v>215</v>
      </c>
      <c r="G73" s="46" t="s">
        <v>369</v>
      </c>
      <c r="H73" s="46" t="s">
        <v>19</v>
      </c>
      <c r="I73" s="53">
        <v>46095</v>
      </c>
      <c r="J73" s="119">
        <v>8</v>
      </c>
      <c r="K73" s="46" t="s">
        <v>138</v>
      </c>
      <c r="L73" s="123">
        <f>VLOOKUP($C73&amp;$E73,'Updated SES'!A:N,14,0)</f>
        <v>78.939870000000013</v>
      </c>
      <c r="M73" s="124">
        <f>VLOOKUP($K73,'Genre Penetration'!A:B,2,0)*VLOOKUP($C73&amp;$E73,'Updated SES'!A:I,9,0)</f>
        <v>0.376</v>
      </c>
      <c r="N73" s="124">
        <f>VLOOKUP(K:K,'Genre Penetration'!A:C,3,0)*VLOOKUP($C73&amp;$E73,'Updated SES'!A:J,10,0)</f>
        <v>0.10600000000000001</v>
      </c>
      <c r="O73" s="124">
        <f>VLOOKUP($B73,'Language Penetration'!$B$1:$BE$14,MATCH('Compile data Working'!$H56,'Language Penetration'!$B$1:$BE$1,0),0)</f>
        <v>0.6</v>
      </c>
      <c r="P73" s="124" t="str">
        <f ca="1">IF(ISBLANK(J73),RANDBETWEEN(1,2)&amp;"%",IF(J73=1,RANDBETWEEN(35,40)&amp;"%",IF(J73=2,RANDBETWEEN(30,35)&amp;"%",IF(J73=3,RANDBETWEEN(25,30)&amp;"%",IF(J73=4,RANDBETWEEN(20,25)&amp;"%",IF(J73=5,RANDBETWEEN(15,20)&amp;"%",IF(J73=6,RANDBETWEEN(10,15)&amp;"%",IF(J73=7,RANDBETWEEN(8,10)&amp;"%",IF(J73=8,RANDBETWEEN(6,8)&amp;"%",IF(J73=9,RANDBETWEEN(4,6)&amp;"%",IF(J73=10,RANDBETWEEN(2,4)&amp;"%","")))))))))))</f>
        <v>6%</v>
      </c>
      <c r="Q73" s="123">
        <f ca="1">IFERROR(L73*(M73+N73)*O73*P73,RANDBETWEEN(1,2)%*L73*(M73+N73)*O73)</f>
        <v>1.3697646242400001</v>
      </c>
      <c r="R73" s="125">
        <f>VLOOKUP(D:D,ranking!W:X,2,0)</f>
        <v>0.6</v>
      </c>
      <c r="S73" s="126">
        <f ca="1">R73*Q73</f>
        <v>0.82185877454400003</v>
      </c>
      <c r="T73" s="123">
        <v>8.7627105884123004</v>
      </c>
    </row>
    <row r="74" spans="1:20" x14ac:dyDescent="0.25">
      <c r="A74" s="98" t="s">
        <v>1781</v>
      </c>
      <c r="B74" s="98" t="s">
        <v>85</v>
      </c>
      <c r="C74" s="46" t="s">
        <v>1849</v>
      </c>
      <c r="D74" s="46" t="s">
        <v>456</v>
      </c>
      <c r="E74" s="46" t="s">
        <v>211</v>
      </c>
      <c r="F74" s="46" t="s">
        <v>1908</v>
      </c>
      <c r="G74" s="46" t="s">
        <v>1827</v>
      </c>
      <c r="H74" s="46" t="s">
        <v>22</v>
      </c>
      <c r="I74" s="46" t="s">
        <v>254</v>
      </c>
      <c r="J74" s="46"/>
      <c r="K74" s="46" t="s">
        <v>216</v>
      </c>
      <c r="L74" s="123">
        <f>VLOOKUP($C74&amp;$E74,'Updated SES'!A:N,14,0)</f>
        <v>127.11702000000001</v>
      </c>
      <c r="M74" s="124">
        <f>VLOOKUP($K74,'Genre Penetration'!A:B,2,0)*VLOOKUP($C74&amp;$E74,'Updated SES'!A:I,9,0)</f>
        <v>0.33499999999999996</v>
      </c>
      <c r="N74" s="124">
        <f>VLOOKUP(K:K,'Genre Penetration'!A:C,3,0)*VLOOKUP($C74&amp;$E74,'Updated SES'!A:J,10,0)</f>
        <v>0.16499999999999998</v>
      </c>
      <c r="O74" s="124">
        <f>VLOOKUP($B74,'Language Penetration'!$B$1:$BE$14,MATCH('Compile data Working'!$H74,'Language Penetration'!$B$1:$BE$1,0),0)</f>
        <v>0.1</v>
      </c>
      <c r="P74" s="124" t="str">
        <f ca="1">IF(ISBLANK(J74),RANDBETWEEN(1,2)&amp;"%",IF(J74=1,RANDBETWEEN(35,40)&amp;"%",IF(J74=2,RANDBETWEEN(30,35)&amp;"%",IF(J74=3,RANDBETWEEN(25,30)&amp;"%",IF(J74=4,RANDBETWEEN(20,25)&amp;"%",IF(J74=5,RANDBETWEEN(15,20)&amp;"%",IF(J74=6,RANDBETWEEN(10,15)&amp;"%",IF(J74=7,RANDBETWEEN(8,10)&amp;"%",IF(J74=8,RANDBETWEEN(6,8)&amp;"%",IF(J74=9,RANDBETWEEN(4,6)&amp;"%",IF(J74=10,RANDBETWEEN(2,4)&amp;"%","")))))))))))</f>
        <v>1%</v>
      </c>
      <c r="Q74" s="123">
        <f ca="1">IFERROR(L74*(M74+N74)*O74*P74,RANDBETWEEN(1,2)%*L74*(M74+N74)*O74)</f>
        <v>6.3558509999999999E-2</v>
      </c>
      <c r="R74" s="125">
        <f>VLOOKUP(D:D,ranking!W:X,2,0)</f>
        <v>0.3</v>
      </c>
      <c r="S74" s="126">
        <f ca="1">R74*Q74</f>
        <v>1.9067552999999998E-2</v>
      </c>
      <c r="T74" s="123">
        <v>7.9256790812248132</v>
      </c>
    </row>
    <row r="75" spans="1:20" x14ac:dyDescent="0.25">
      <c r="A75" s="98" t="s">
        <v>1057</v>
      </c>
      <c r="B75" s="98" t="s">
        <v>85</v>
      </c>
      <c r="C75" s="46" t="s">
        <v>123</v>
      </c>
      <c r="D75" s="46" t="s">
        <v>859</v>
      </c>
      <c r="E75" s="46" t="s">
        <v>211</v>
      </c>
      <c r="F75" s="46" t="s">
        <v>213</v>
      </c>
      <c r="G75" s="53" t="s">
        <v>1828</v>
      </c>
      <c r="H75" s="46" t="s">
        <v>1058</v>
      </c>
      <c r="I75" s="53">
        <v>46170</v>
      </c>
      <c r="J75" s="119">
        <v>4</v>
      </c>
      <c r="K75" s="46" t="s">
        <v>90</v>
      </c>
      <c r="L75" s="123">
        <f>VLOOKUP($C75&amp;$E75,'Updated SES'!A:N,14,0)</f>
        <v>55.459200000000003</v>
      </c>
      <c r="M75" s="124">
        <f>VLOOKUP($K75,'Genre Penetration'!A:B,2,0)*VLOOKUP($C75&amp;$E75,'Updated SES'!A:I,9,0)</f>
        <v>0.3528</v>
      </c>
      <c r="N75" s="124">
        <f>VLOOKUP(K:K,'Genre Penetration'!A:C,3,0)*VLOOKUP($C75&amp;$E75,'Updated SES'!A:J,10,0)</f>
        <v>0.14280000000000001</v>
      </c>
      <c r="O75" s="124">
        <f>VLOOKUP($B75,'Language Penetration'!$B$1:$BE$14,MATCH('Compile data Working'!$H75,'Language Penetration'!$B$1:$BE$1,0),0)</f>
        <v>0.20400000000000001</v>
      </c>
      <c r="P75" s="124" t="str">
        <f ca="1">IF(ISBLANK(J75),RANDBETWEEN(1,2)&amp;"%",IF(J75=1,RANDBETWEEN(35,40)&amp;"%",IF(J75=2,RANDBETWEEN(30,35)&amp;"%",IF(J75=3,RANDBETWEEN(25,30)&amp;"%",IF(J75=4,RANDBETWEEN(20,25)&amp;"%",IF(J75=5,RANDBETWEEN(15,20)&amp;"%",IF(J75=6,RANDBETWEEN(10,15)&amp;"%",IF(J75=7,RANDBETWEEN(8,10)&amp;"%",IF(J75=8,RANDBETWEEN(6,8)&amp;"%",IF(J75=9,RANDBETWEEN(4,6)&amp;"%",IF(J75=10,RANDBETWEEN(2,4)&amp;"%","")))))))))))</f>
        <v>25%</v>
      </c>
      <c r="Q75" s="123">
        <f ca="1">IFERROR(L75*(M75+N75)*O75*P75,RANDBETWEEN(1,2)%*L75*(M75+N75)*O75)</f>
        <v>1.4017645555200005</v>
      </c>
      <c r="R75" s="125">
        <f>VLOOKUP(D:D,ranking!W:X,2,0)</f>
        <v>0.7</v>
      </c>
      <c r="S75" s="126">
        <f ca="1">R75*Q75</f>
        <v>0.9812351888640003</v>
      </c>
      <c r="T75" s="123">
        <v>7.902914867949141</v>
      </c>
    </row>
    <row r="76" spans="1:20" x14ac:dyDescent="0.25">
      <c r="A76" s="98" t="s">
        <v>1057</v>
      </c>
      <c r="B76" s="98" t="s">
        <v>85</v>
      </c>
      <c r="C76" s="46" t="s">
        <v>123</v>
      </c>
      <c r="D76" s="46" t="s">
        <v>431</v>
      </c>
      <c r="E76" s="46" t="s">
        <v>211</v>
      </c>
      <c r="F76" s="46" t="s">
        <v>215</v>
      </c>
      <c r="G76" s="46" t="s">
        <v>1850</v>
      </c>
      <c r="H76" s="46" t="s">
        <v>20</v>
      </c>
      <c r="I76" s="53">
        <v>46184</v>
      </c>
      <c r="J76" s="119">
        <v>4</v>
      </c>
      <c r="K76" s="46" t="s">
        <v>97</v>
      </c>
      <c r="L76" s="123">
        <f>VLOOKUP($C76&amp;$E76,'Updated SES'!A:N,14,0)</f>
        <v>55.459200000000003</v>
      </c>
      <c r="M76" s="124">
        <f>VLOOKUP($K76,'Genre Penetration'!A:B,2,0)*VLOOKUP($C76&amp;$E76,'Updated SES'!A:I,9,0)</f>
        <v>0.3332</v>
      </c>
      <c r="N76" s="124">
        <f>VLOOKUP(K:K,'Genre Penetration'!A:C,3,0)*VLOOKUP($C76&amp;$E76,'Updated SES'!A:J,10,0)</f>
        <v>0.16320000000000001</v>
      </c>
      <c r="O76" s="124">
        <f>VLOOKUP($B76,'Language Penetration'!$B$1:$BE$14,MATCH('Compile data Working'!$H76,'Language Penetration'!$B$1:$BE$1,0),0)</f>
        <v>0.2</v>
      </c>
      <c r="P76" s="124" t="str">
        <f ca="1">IF(ISBLANK(J76),RANDBETWEEN(1,2)&amp;"%",IF(J76=1,RANDBETWEEN(35,40)&amp;"%",IF(J76=2,RANDBETWEEN(30,35)&amp;"%",IF(J76=3,RANDBETWEEN(25,30)&amp;"%",IF(J76=4,RANDBETWEEN(20,25)&amp;"%",IF(J76=5,RANDBETWEEN(15,20)&amp;"%",IF(J76=6,RANDBETWEEN(10,15)&amp;"%",IF(J76=7,RANDBETWEEN(8,10)&amp;"%",IF(J76=8,RANDBETWEEN(6,8)&amp;"%",IF(J76=9,RANDBETWEEN(4,6)&amp;"%",IF(J76=10,RANDBETWEEN(2,4)&amp;"%","")))))))))))</f>
        <v>25%</v>
      </c>
      <c r="Q76" s="123">
        <f ca="1">IFERROR(L76*(M76+N76)*O76*P76,RANDBETWEEN(1,2)%*L76*(M76+N76)*O76)</f>
        <v>1.3764973440000001</v>
      </c>
      <c r="R76" s="125">
        <f>VLOOKUP(D:D,ranking!W:X,2,0)</f>
        <v>0.6</v>
      </c>
      <c r="S76" s="126">
        <f ca="1">R76*Q76</f>
        <v>0.82589840640000001</v>
      </c>
      <c r="T76" s="123">
        <v>7.7869262107359818</v>
      </c>
    </row>
    <row r="77" spans="1:20" x14ac:dyDescent="0.25">
      <c r="A77" s="98" t="s">
        <v>1781</v>
      </c>
      <c r="B77" s="98" t="s">
        <v>85</v>
      </c>
      <c r="C77" s="46" t="s">
        <v>1849</v>
      </c>
      <c r="D77" s="46" t="s">
        <v>456</v>
      </c>
      <c r="E77" s="46" t="s">
        <v>211</v>
      </c>
      <c r="F77" s="46" t="s">
        <v>1908</v>
      </c>
      <c r="G77" s="46" t="s">
        <v>1826</v>
      </c>
      <c r="H77" s="46" t="s">
        <v>22</v>
      </c>
      <c r="I77" s="46">
        <v>44949</v>
      </c>
      <c r="J77" s="46"/>
      <c r="K77" s="46" t="s">
        <v>216</v>
      </c>
      <c r="L77" s="123">
        <f>VLOOKUP($C77&amp;$E77,'Updated SES'!A:N,14,0)</f>
        <v>127.11702000000001</v>
      </c>
      <c r="M77" s="124">
        <f>VLOOKUP($K77,'Genre Penetration'!A:B,2,0)*VLOOKUP($C77&amp;$E77,'Updated SES'!A:I,9,0)</f>
        <v>0.33499999999999996</v>
      </c>
      <c r="N77" s="124">
        <f>VLOOKUP(K:K,'Genre Penetration'!A:C,3,0)*VLOOKUP($C77&amp;$E77,'Updated SES'!A:J,10,0)</f>
        <v>0.16499999999999998</v>
      </c>
      <c r="O77" s="124">
        <f>VLOOKUP($B77,'Language Penetration'!$B$1:$BE$14,MATCH('Compile data Working'!$H77,'Language Penetration'!$B$1:$BE$1,0),0)</f>
        <v>0.1</v>
      </c>
      <c r="P77" s="124" t="str">
        <f ca="1">IF(ISBLANK(J77),RANDBETWEEN(1,2)&amp;"%",IF(J77=1,RANDBETWEEN(35,40)&amp;"%",IF(J77=2,RANDBETWEEN(30,35)&amp;"%",IF(J77=3,RANDBETWEEN(25,30)&amp;"%",IF(J77=4,RANDBETWEEN(20,25)&amp;"%",IF(J77=5,RANDBETWEEN(15,20)&amp;"%",IF(J77=6,RANDBETWEEN(10,15)&amp;"%",IF(J77=7,RANDBETWEEN(8,10)&amp;"%",IF(J77=8,RANDBETWEEN(6,8)&amp;"%",IF(J77=9,RANDBETWEEN(4,6)&amp;"%",IF(J77=10,RANDBETWEEN(2,4)&amp;"%","")))))))))))</f>
        <v>1%</v>
      </c>
      <c r="Q77" s="123">
        <f ca="1">IFERROR(L77*(M77+N77)*O77*P77,RANDBETWEEN(1,2)%*L77*(M77+N77)*O77)</f>
        <v>6.3558509999999999E-2</v>
      </c>
      <c r="R77" s="125">
        <f>VLOOKUP(D:D,ranking!W:X,2,0)</f>
        <v>0.3</v>
      </c>
      <c r="S77" s="126">
        <f ca="1">R77*Q77</f>
        <v>1.9067552999999998E-2</v>
      </c>
      <c r="T77" s="123">
        <v>7.6841972532287848</v>
      </c>
    </row>
    <row r="78" spans="1:20" x14ac:dyDescent="0.25">
      <c r="A78" s="98" t="s">
        <v>1057</v>
      </c>
      <c r="B78" s="98" t="s">
        <v>85</v>
      </c>
      <c r="C78" s="98" t="s">
        <v>132</v>
      </c>
      <c r="D78" s="98" t="s">
        <v>431</v>
      </c>
      <c r="E78" s="98" t="s">
        <v>211</v>
      </c>
      <c r="F78" s="46" t="s">
        <v>215</v>
      </c>
      <c r="G78" s="46" t="s">
        <v>1844</v>
      </c>
      <c r="H78" s="98" t="s">
        <v>19</v>
      </c>
      <c r="I78" s="53">
        <v>45568</v>
      </c>
      <c r="J78" s="119">
        <v>8</v>
      </c>
      <c r="K78" s="46" t="s">
        <v>176</v>
      </c>
      <c r="L78" s="123">
        <f>VLOOKUP($C78&amp;$E78,'Updated SES'!A:N,14,0)</f>
        <v>21.682040000000004</v>
      </c>
      <c r="M78" s="124">
        <f>VLOOKUP($K78,'Genre Penetration'!A:B,2,0)*VLOOKUP($C78&amp;$E78,'Updated SES'!A:I,9,0)</f>
        <v>0.40300000000000002</v>
      </c>
      <c r="N78" s="124">
        <f>VLOOKUP(K:K,'Genre Penetration'!A:C,3,0)*VLOOKUP($C78&amp;$E78,'Updated SES'!A:J,10,0)</f>
        <v>0.13299999999999998</v>
      </c>
      <c r="O78" s="124">
        <f>VLOOKUP($B78,'Language Penetration'!$B$1:$BE$14,MATCH('Compile data Working'!$H78,'Language Penetration'!$B$1:$BE$1,0),0)</f>
        <v>0.6</v>
      </c>
      <c r="P78" s="124" t="str">
        <f ca="1">IF(ISBLANK(J78),RANDBETWEEN(1,2)&amp;"%",IF(J78=1,RANDBETWEEN(35,40)&amp;"%",IF(J78=2,RANDBETWEEN(30,35)&amp;"%",IF(J78=3,RANDBETWEEN(25,30)&amp;"%",IF(J78=4,RANDBETWEEN(20,25)&amp;"%",IF(J78=5,RANDBETWEEN(15,20)&amp;"%",IF(J78=6,RANDBETWEEN(10,15)&amp;"%",IF(J78=7,RANDBETWEEN(8,10)&amp;"%",IF(J78=8,RANDBETWEEN(6,8)&amp;"%",IF(J78=9,RANDBETWEEN(4,6)&amp;"%",IF(J78=10,RANDBETWEEN(2,4)&amp;"%","")))))))))))</f>
        <v>6%</v>
      </c>
      <c r="Q78" s="123">
        <f ca="1">IFERROR(L78*(M78+N78)*O78*P78,RANDBETWEEN(1,2)%*L78*(M78+N78)*O78)</f>
        <v>0.41837664384000006</v>
      </c>
      <c r="R78" s="125">
        <f>VLOOKUP(D:D,ranking!W:X,2,0)</f>
        <v>0.6</v>
      </c>
      <c r="S78" s="126">
        <f ca="1">R78*Q78</f>
        <v>0.25102598630400003</v>
      </c>
      <c r="T78" s="123">
        <v>7.2621645811047717</v>
      </c>
    </row>
    <row r="79" spans="1:20" x14ac:dyDescent="0.25">
      <c r="A79" s="98" t="s">
        <v>1861</v>
      </c>
      <c r="B79" s="98" t="s">
        <v>85</v>
      </c>
      <c r="C79" s="46" t="s">
        <v>117</v>
      </c>
      <c r="D79" s="46" t="s">
        <v>859</v>
      </c>
      <c r="E79" s="46" t="s">
        <v>211</v>
      </c>
      <c r="F79" s="46" t="s">
        <v>213</v>
      </c>
      <c r="G79" s="46" t="s">
        <v>1872</v>
      </c>
      <c r="H79" s="46" t="s">
        <v>26</v>
      </c>
      <c r="I79" s="53">
        <v>46189</v>
      </c>
      <c r="J79" s="98"/>
      <c r="K79" s="46" t="s">
        <v>168</v>
      </c>
      <c r="L79" s="123">
        <f>VLOOKUP($C79&amp;$E79,'Updated SES'!A:N,14,0)</f>
        <v>0.15089999999999998</v>
      </c>
      <c r="M79" s="124">
        <f>VLOOKUP($K79,'Genre Penetration'!A:B,2,0)*VLOOKUP($C79&amp;$E79,'Updated SES'!A:I,9,0)</f>
        <v>0.47360000000000002</v>
      </c>
      <c r="N79" s="124">
        <f>VLOOKUP(K:K,'Genre Penetration'!A:C,3,0)*VLOOKUP($C79&amp;$E79,'Updated SES'!A:J,10,0)</f>
        <v>9.3600000000000003E-2</v>
      </c>
      <c r="O79" s="124">
        <f>VLOOKUP($B79,'Language Penetration'!$B$1:$BE$14,MATCH('Compile data Working'!$H79,'Language Penetration'!$B$1:$BE$1,0),0)</f>
        <v>7.0000000000000007E-2</v>
      </c>
      <c r="P79" s="124" t="str">
        <f ca="1">IF(ISBLANK(J79),RANDBETWEEN(1,2)&amp;"%",IF(J79=1,RANDBETWEEN(35,40)&amp;"%",IF(J79=2,RANDBETWEEN(30,35)&amp;"%",IF(J79=3,RANDBETWEEN(25,30)&amp;"%",IF(J79=4,RANDBETWEEN(20,25)&amp;"%",IF(J79=5,RANDBETWEEN(15,20)&amp;"%",IF(J79=6,RANDBETWEEN(10,15)&amp;"%",IF(J79=7,RANDBETWEEN(8,10)&amp;"%",IF(J79=8,RANDBETWEEN(6,8)&amp;"%",IF(J79=9,RANDBETWEEN(4,6)&amp;"%",IF(J79=10,RANDBETWEEN(2,4)&amp;"%","")))))))))))</f>
        <v>2%</v>
      </c>
      <c r="Q79" s="123">
        <f ca="1">IFERROR(L79*(M79+N79)*O79*P79,RANDBETWEEN(1,2)%*L79*(M79+N79)*O79)</f>
        <v>1.19826672E-4</v>
      </c>
      <c r="R79" s="125">
        <f>VLOOKUP(D:D,ranking!W:X,2,0)</f>
        <v>0.7</v>
      </c>
      <c r="S79" s="126">
        <f ca="1">R79*Q79</f>
        <v>8.3878670399999998E-5</v>
      </c>
      <c r="T79" s="123">
        <v>7.1644391030288004</v>
      </c>
    </row>
    <row r="80" spans="1:20" x14ac:dyDescent="0.25">
      <c r="A80" s="98" t="s">
        <v>1057</v>
      </c>
      <c r="B80" s="98" t="s">
        <v>85</v>
      </c>
      <c r="C80" s="98" t="s">
        <v>132</v>
      </c>
      <c r="D80" s="98" t="s">
        <v>431</v>
      </c>
      <c r="E80" s="98" t="s">
        <v>211</v>
      </c>
      <c r="F80" s="46" t="s">
        <v>215</v>
      </c>
      <c r="G80" s="98" t="s">
        <v>1810</v>
      </c>
      <c r="H80" s="98" t="s">
        <v>1222</v>
      </c>
      <c r="I80" s="106">
        <v>46143</v>
      </c>
      <c r="J80" s="119">
        <v>10</v>
      </c>
      <c r="K80" s="98" t="s">
        <v>202</v>
      </c>
      <c r="L80" s="123">
        <f>VLOOKUP($C80&amp;$E80,'Updated SES'!A:N,14,0)</f>
        <v>21.682040000000004</v>
      </c>
      <c r="M80" s="124">
        <f>VLOOKUP($K80,'Genre Penetration'!A:B,2,0)*VLOOKUP($C80&amp;$E80,'Updated SES'!A:I,9,0)</f>
        <v>0.46799999999999997</v>
      </c>
      <c r="N80" s="124">
        <f>VLOOKUP(K:K,'Genre Penetration'!A:C,3,0)*VLOOKUP($C80&amp;$E80,'Updated SES'!A:J,10,0)</f>
        <v>9.8000000000000004E-2</v>
      </c>
      <c r="O80" s="124">
        <f>VLOOKUP($B80,'Language Penetration'!$B$1:$BE$14,MATCH('Compile data Working'!$H80,'Language Penetration'!$B$1:$BE$1,0),0)</f>
        <v>0.17714285714285719</v>
      </c>
      <c r="P80" s="124" t="str">
        <f ca="1">IF(ISBLANK(J80),RANDBETWEEN(1,2)&amp;"%",IF(J80=1,RANDBETWEEN(35,40)&amp;"%",IF(J80=2,RANDBETWEEN(30,35)&amp;"%",IF(J80=3,RANDBETWEEN(25,30)&amp;"%",IF(J80=4,RANDBETWEEN(20,25)&amp;"%",IF(J80=5,RANDBETWEEN(15,20)&amp;"%",IF(J80=6,RANDBETWEEN(10,15)&amp;"%",IF(J80=7,RANDBETWEEN(8,10)&amp;"%",IF(J80=8,RANDBETWEEN(6,8)&amp;"%",IF(J80=9,RANDBETWEEN(4,6)&amp;"%",IF(J80=10,RANDBETWEEN(2,4)&amp;"%","")))))))))))</f>
        <v>4%</v>
      </c>
      <c r="Q80" s="123">
        <f ca="1">IFERROR(L80*(M80+N80)*O80*P80,RANDBETWEEN(1,2)%*L80*(M80+N80)*O80)</f>
        <v>8.695613116342861E-2</v>
      </c>
      <c r="R80" s="125">
        <f>VLOOKUP(D:D,ranking!W:X,2,0)</f>
        <v>0.6</v>
      </c>
      <c r="S80" s="126">
        <f ca="1">R80*Q80</f>
        <v>5.2173678698057162E-2</v>
      </c>
      <c r="T80" s="123">
        <v>6.7719951309498283</v>
      </c>
    </row>
    <row r="81" spans="1:20" x14ac:dyDescent="0.25">
      <c r="A81" s="98" t="s">
        <v>1057</v>
      </c>
      <c r="B81" s="98" t="s">
        <v>85</v>
      </c>
      <c r="C81" s="98" t="s">
        <v>150</v>
      </c>
      <c r="D81" s="98" t="s">
        <v>431</v>
      </c>
      <c r="E81" s="98" t="s">
        <v>211</v>
      </c>
      <c r="F81" s="46" t="s">
        <v>215</v>
      </c>
      <c r="G81" s="98" t="s">
        <v>1830</v>
      </c>
      <c r="H81" s="98" t="s">
        <v>19</v>
      </c>
      <c r="I81" s="106">
        <v>46164</v>
      </c>
      <c r="J81" s="119">
        <v>3</v>
      </c>
      <c r="K81" s="98" t="s">
        <v>84</v>
      </c>
      <c r="L81" s="123">
        <f>VLOOKUP($C81&amp;$E81,'Updated SES'!A:N,14,0)</f>
        <v>60.152000000000001</v>
      </c>
      <c r="M81" s="124">
        <f>VLOOKUP($K81,'Genre Penetration'!A:B,2,0)*VLOOKUP($C81&amp;$E81,'Updated SES'!A:I,9,0)</f>
        <v>0.41600000000000004</v>
      </c>
      <c r="N81" s="124">
        <f>VLOOKUP(K:K,'Genre Penetration'!A:C,3,0)*VLOOKUP($C81&amp;$E81,'Updated SES'!A:J,10,0)</f>
        <v>0.126</v>
      </c>
      <c r="O81" s="124">
        <f>VLOOKUP($B81,'Language Penetration'!$B$1:$BE$14,MATCH('Compile data Working'!$H81,'Language Penetration'!$B$1:$BE$1,0),0)</f>
        <v>0.6</v>
      </c>
      <c r="P81" s="124" t="str">
        <f ca="1">IF(ISBLANK(J81),RANDBETWEEN(1,2)&amp;"%",IF(J81=1,RANDBETWEEN(35,40)&amp;"%",IF(J81=2,RANDBETWEEN(30,35)&amp;"%",IF(J81=3,RANDBETWEEN(25,30)&amp;"%",IF(J81=4,RANDBETWEEN(20,25)&amp;"%",IF(J81=5,RANDBETWEEN(15,20)&amp;"%",IF(J81=6,RANDBETWEEN(10,15)&amp;"%",IF(J81=7,RANDBETWEEN(8,10)&amp;"%",IF(J81=8,RANDBETWEEN(6,8)&amp;"%",IF(J81=9,RANDBETWEEN(4,6)&amp;"%",IF(J81=10,RANDBETWEEN(2,4)&amp;"%","")))))))))))</f>
        <v>29%</v>
      </c>
      <c r="Q81" s="123">
        <f ca="1">IFERROR(L81*(M81+N81)*O81*P81,RANDBETWEEN(1,2)%*L81*(M81+N81)*O81)</f>
        <v>5.6728148159999989</v>
      </c>
      <c r="R81" s="125">
        <f>VLOOKUP(D:D,ranking!W:X,2,0)</f>
        <v>0.6</v>
      </c>
      <c r="S81" s="126">
        <f ca="1">R81*Q81</f>
        <v>3.4036888895999993</v>
      </c>
      <c r="T81" s="123">
        <v>6.0138543951408057</v>
      </c>
    </row>
    <row r="82" spans="1:20" x14ac:dyDescent="0.25">
      <c r="A82" s="98" t="s">
        <v>1781</v>
      </c>
      <c r="B82" s="98" t="s">
        <v>85</v>
      </c>
      <c r="C82" s="46" t="s">
        <v>1849</v>
      </c>
      <c r="D82" s="46" t="s">
        <v>456</v>
      </c>
      <c r="E82" s="46" t="s">
        <v>211</v>
      </c>
      <c r="F82" s="46" t="s">
        <v>1908</v>
      </c>
      <c r="G82" s="46" t="s">
        <v>1785</v>
      </c>
      <c r="H82" s="46" t="s">
        <v>19</v>
      </c>
      <c r="I82" s="46" t="s">
        <v>254</v>
      </c>
      <c r="J82" s="46"/>
      <c r="K82" s="46" t="s">
        <v>216</v>
      </c>
      <c r="L82" s="123">
        <f>VLOOKUP($C82&amp;$E82,'Updated SES'!A:N,14,0)</f>
        <v>127.11702000000001</v>
      </c>
      <c r="M82" s="124">
        <f>VLOOKUP($K82,'Genre Penetration'!A:B,2,0)*VLOOKUP($C82&amp;$E82,'Updated SES'!A:I,9,0)</f>
        <v>0.33499999999999996</v>
      </c>
      <c r="N82" s="124">
        <f>VLOOKUP(K:K,'Genre Penetration'!A:C,3,0)*VLOOKUP($C82&amp;$E82,'Updated SES'!A:J,10,0)</f>
        <v>0.16499999999999998</v>
      </c>
      <c r="O82" s="124">
        <f>VLOOKUP($B82,'Language Penetration'!$B$1:$BE$14,MATCH('Compile data Working'!$H82,'Language Penetration'!$B$1:$BE$1,0),0)</f>
        <v>0.6</v>
      </c>
      <c r="P82" s="124" t="str">
        <f ca="1">IF(ISBLANK(J82),RANDBETWEEN(1,2)&amp;"%",IF(J82=1,RANDBETWEEN(35,40)&amp;"%",IF(J82=2,RANDBETWEEN(30,35)&amp;"%",IF(J82=3,RANDBETWEEN(25,30)&amp;"%",IF(J82=4,RANDBETWEEN(20,25)&amp;"%",IF(J82=5,RANDBETWEEN(15,20)&amp;"%",IF(J82=6,RANDBETWEEN(10,15)&amp;"%",IF(J82=7,RANDBETWEEN(8,10)&amp;"%",IF(J82=8,RANDBETWEEN(6,8)&amp;"%",IF(J82=9,RANDBETWEEN(4,6)&amp;"%",IF(J82=10,RANDBETWEEN(2,4)&amp;"%","")))))))))))</f>
        <v>2%</v>
      </c>
      <c r="Q82" s="123">
        <f ca="1">IFERROR(L82*(M82+N82)*O82*P82,RANDBETWEEN(1,2)%*L82*(M82+N82)*O82)</f>
        <v>0.76270212000000004</v>
      </c>
      <c r="R82" s="125">
        <f>VLOOKUP(D:D,ranking!W:X,2,0)</f>
        <v>0.3</v>
      </c>
      <c r="S82" s="126">
        <f ca="1">R82*Q82</f>
        <v>0.22881063600000001</v>
      </c>
      <c r="T82" s="123">
        <v>5.6976606438578887</v>
      </c>
    </row>
    <row r="83" spans="1:20" x14ac:dyDescent="0.25">
      <c r="A83" s="98" t="s">
        <v>1057</v>
      </c>
      <c r="B83" s="98" t="s">
        <v>85</v>
      </c>
      <c r="C83" s="46" t="s">
        <v>123</v>
      </c>
      <c r="D83" s="46" t="s">
        <v>431</v>
      </c>
      <c r="E83" s="46" t="s">
        <v>211</v>
      </c>
      <c r="F83" s="46" t="s">
        <v>215</v>
      </c>
      <c r="G83" s="46" t="s">
        <v>1822</v>
      </c>
      <c r="H83" s="46" t="s">
        <v>77</v>
      </c>
      <c r="I83" s="53">
        <v>46162</v>
      </c>
      <c r="J83" s="119">
        <v>10</v>
      </c>
      <c r="K83" s="46" t="s">
        <v>1797</v>
      </c>
      <c r="L83" s="123">
        <f>VLOOKUP($C83&amp;$E83,'Updated SES'!A:N,14,0)</f>
        <v>55.459200000000003</v>
      </c>
      <c r="M83" s="124">
        <f>VLOOKUP($K83,'Genre Penetration'!A:B,2,0)*VLOOKUP($C83&amp;$E83,'Updated SES'!A:I,9,0)</f>
        <v>0.19600000000000001</v>
      </c>
      <c r="N83" s="124">
        <f>VLOOKUP(K:K,'Genre Penetration'!A:C,3,0)*VLOOKUP($C83&amp;$E83,'Updated SES'!A:J,10,0)</f>
        <v>0.30599999999999999</v>
      </c>
      <c r="O83" s="124">
        <f>VLOOKUP($B83,'Language Penetration'!$B$1:$BE$14,MATCH('Compile data Working'!$H83,'Language Penetration'!$B$1:$BE$1,0),0)</f>
        <v>0.26250000000000001</v>
      </c>
      <c r="P83" s="124" t="str">
        <f ca="1">IF(ISBLANK(J83),RANDBETWEEN(1,2)&amp;"%",IF(J83=1,RANDBETWEEN(35,40)&amp;"%",IF(J83=2,RANDBETWEEN(30,35)&amp;"%",IF(J83=3,RANDBETWEEN(25,30)&amp;"%",IF(J83=4,RANDBETWEEN(20,25)&amp;"%",IF(J83=5,RANDBETWEEN(15,20)&amp;"%",IF(J83=6,RANDBETWEEN(10,15)&amp;"%",IF(J83=7,RANDBETWEEN(8,10)&amp;"%",IF(J83=8,RANDBETWEEN(6,8)&amp;"%",IF(J83=9,RANDBETWEEN(4,6)&amp;"%",IF(J83=10,RANDBETWEEN(2,4)&amp;"%","")))))))))))</f>
        <v>4%</v>
      </c>
      <c r="Q83" s="123">
        <f ca="1">IFERROR(L83*(M83+N83)*O83*P83,RANDBETWEEN(1,2)%*L83*(M83+N83)*O83)</f>
        <v>0.29232544320000003</v>
      </c>
      <c r="R83" s="125">
        <f>VLOOKUP(D:D,ranking!W:X,2,0)</f>
        <v>0.6</v>
      </c>
      <c r="S83" s="126">
        <f ca="1">R83*Q83</f>
        <v>0.17539526592000002</v>
      </c>
      <c r="T83" s="123">
        <v>5.5513662121678644</v>
      </c>
    </row>
    <row r="84" spans="1:20" x14ac:dyDescent="0.25">
      <c r="A84" s="98" t="s">
        <v>1861</v>
      </c>
      <c r="B84" s="98" t="s">
        <v>85</v>
      </c>
      <c r="C84" s="46" t="s">
        <v>49</v>
      </c>
      <c r="D84" s="46" t="s">
        <v>859</v>
      </c>
      <c r="E84" s="46" t="s">
        <v>211</v>
      </c>
      <c r="F84" s="46" t="s">
        <v>213</v>
      </c>
      <c r="G84" s="46" t="s">
        <v>1901</v>
      </c>
      <c r="H84" s="46" t="s">
        <v>23</v>
      </c>
      <c r="I84" s="53">
        <v>46192</v>
      </c>
      <c r="J84" s="98"/>
      <c r="K84" s="46" t="s">
        <v>97</v>
      </c>
      <c r="L84" s="123">
        <f>VLOOKUP($C84&amp;$E84,'Updated SES'!A:N,14,0)</f>
        <v>12.626640000000002</v>
      </c>
      <c r="M84" s="124">
        <f>VLOOKUP($K84,'Genre Penetration'!A:B,2,0)*VLOOKUP($C84&amp;$E84,'Updated SES'!A:I,9,0)</f>
        <v>0.51680000000000004</v>
      </c>
      <c r="N84" s="124">
        <f>VLOOKUP(K:K,'Genre Penetration'!A:C,3,0)*VLOOKUP($C84&amp;$E84,'Updated SES'!A:J,10,0)</f>
        <v>7.6799999999999993E-2</v>
      </c>
      <c r="O84" s="124">
        <f>VLOOKUP($B84,'Language Penetration'!$B$1:$BE$14,MATCH('Compile data Working'!$H84,'Language Penetration'!$B$1:$BE$1,0),0)</f>
        <v>0.15</v>
      </c>
      <c r="P84" s="124" t="str">
        <f ca="1">IF(ISBLANK(J84),RANDBETWEEN(1,2)&amp;"%",IF(J84=1,RANDBETWEEN(35,40)&amp;"%",IF(J84=2,RANDBETWEEN(30,35)&amp;"%",IF(J84=3,RANDBETWEEN(25,30)&amp;"%",IF(J84=4,RANDBETWEEN(20,25)&amp;"%",IF(J84=5,RANDBETWEEN(15,20)&amp;"%",IF(J84=6,RANDBETWEEN(10,15)&amp;"%",IF(J84=7,RANDBETWEEN(8,10)&amp;"%",IF(J84=8,RANDBETWEEN(6,8)&amp;"%",IF(J84=9,RANDBETWEEN(4,6)&amp;"%",IF(J84=10,RANDBETWEEN(2,4)&amp;"%","")))))))))))</f>
        <v>2%</v>
      </c>
      <c r="Q84" s="123">
        <f ca="1">IFERROR(L84*(M84+N84)*O84*P84,RANDBETWEEN(1,2)%*L84*(M84+N84)*O84)</f>
        <v>2.2485520512000003E-2</v>
      </c>
      <c r="R84" s="125">
        <f>VLOOKUP(D:D,ranking!W:X,2,0)</f>
        <v>0.7</v>
      </c>
      <c r="S84" s="126">
        <f ca="1">R84*Q84</f>
        <v>1.57398643584E-2</v>
      </c>
      <c r="T84" s="123">
        <v>5.4103647746015993</v>
      </c>
    </row>
    <row r="85" spans="1:20" x14ac:dyDescent="0.25">
      <c r="A85" s="98" t="s">
        <v>1057</v>
      </c>
      <c r="B85" s="98" t="s">
        <v>85</v>
      </c>
      <c r="C85" s="98" t="s">
        <v>64</v>
      </c>
      <c r="D85" s="46" t="s">
        <v>859</v>
      </c>
      <c r="E85" s="119" t="s">
        <v>211</v>
      </c>
      <c r="F85" s="46" t="s">
        <v>213</v>
      </c>
      <c r="G85" s="98" t="s">
        <v>1857</v>
      </c>
      <c r="H85" s="98" t="s">
        <v>23</v>
      </c>
      <c r="I85" s="53">
        <v>46185</v>
      </c>
      <c r="J85" s="119">
        <v>8</v>
      </c>
      <c r="K85" s="46" t="s">
        <v>78</v>
      </c>
      <c r="L85" s="123">
        <f>VLOOKUP($C85&amp;$E85,'Updated SES'!A:N,14,0)</f>
        <v>36.498239999999996</v>
      </c>
      <c r="M85" s="124">
        <f>VLOOKUP($K85,'Genre Penetration'!A:B,2,0)*VLOOKUP($C85&amp;$E85,'Updated SES'!A:I,9,0)</f>
        <v>0.24959999999999999</v>
      </c>
      <c r="N85" s="124">
        <f>VLOOKUP(K:K,'Genre Penetration'!A:C,3,0)*VLOOKUP($C85&amp;$E85,'Updated SES'!A:J,10,0)</f>
        <v>0.24959999999999999</v>
      </c>
      <c r="O85" s="124">
        <f>VLOOKUP($B85,'Language Penetration'!$B$1:$BE$14,MATCH('Compile data Working'!$H85,'Language Penetration'!$B$1:$BE$1,0),0)</f>
        <v>0.15</v>
      </c>
      <c r="P85" s="124" t="str">
        <f ca="1">IF(ISBLANK(J85),RANDBETWEEN(1,2)&amp;"%",IF(J85=1,RANDBETWEEN(35,40)&amp;"%",IF(J85=2,RANDBETWEEN(30,35)&amp;"%",IF(J85=3,RANDBETWEEN(25,30)&amp;"%",IF(J85=4,RANDBETWEEN(20,25)&amp;"%",IF(J85=5,RANDBETWEEN(15,20)&amp;"%",IF(J85=6,RANDBETWEEN(10,15)&amp;"%",IF(J85=7,RANDBETWEEN(8,10)&amp;"%",IF(J85=8,RANDBETWEEN(6,8)&amp;"%",IF(J85=9,RANDBETWEEN(4,6)&amp;"%",IF(J85=10,RANDBETWEEN(2,4)&amp;"%","")))))))))))</f>
        <v>6%</v>
      </c>
      <c r="Q85" s="123">
        <f ca="1">IFERROR(L85*(M85+N85)*O85*P85,RANDBETWEEN(1,2)%*L85*(M85+N85)*O85)</f>
        <v>0.16397929267199995</v>
      </c>
      <c r="R85" s="125">
        <f>VLOOKUP(D:D,ranking!W:X,2,0)</f>
        <v>0.7</v>
      </c>
      <c r="S85" s="126">
        <f ca="1">R85*Q85</f>
        <v>0.11478550487039996</v>
      </c>
      <c r="T85" s="123">
        <v>5.0575119917278615</v>
      </c>
    </row>
    <row r="86" spans="1:20" x14ac:dyDescent="0.25">
      <c r="A86" s="98" t="s">
        <v>1057</v>
      </c>
      <c r="B86" s="98" t="s">
        <v>85</v>
      </c>
      <c r="C86" s="46" t="s">
        <v>123</v>
      </c>
      <c r="D86" s="46" t="s">
        <v>431</v>
      </c>
      <c r="E86" s="46" t="s">
        <v>211</v>
      </c>
      <c r="F86" s="46" t="s">
        <v>215</v>
      </c>
      <c r="G86" s="46" t="s">
        <v>1858</v>
      </c>
      <c r="H86" s="46" t="s">
        <v>1224</v>
      </c>
      <c r="I86" s="53">
        <v>46136</v>
      </c>
      <c r="J86" s="119">
        <v>9</v>
      </c>
      <c r="K86" s="46" t="s">
        <v>286</v>
      </c>
      <c r="L86" s="123">
        <f>VLOOKUP($C86&amp;$E86,'Updated SES'!A:N,14,0)</f>
        <v>55.459200000000003</v>
      </c>
      <c r="M86" s="124">
        <f>VLOOKUP($K86,'Genre Penetration'!A:B,2,0)*VLOOKUP($C86&amp;$E86,'Updated SES'!A:I,9,0)</f>
        <v>0.26704999999999995</v>
      </c>
      <c r="N86" s="124">
        <f>VLOOKUP(K:K,'Genre Penetration'!A:C,3,0)*VLOOKUP($C86&amp;$E86,'Updated SES'!A:J,10,0)</f>
        <v>0.23204999999999998</v>
      </c>
      <c r="O86" s="124">
        <f>VLOOKUP($B86,'Language Penetration'!$B$1:$BE$14,MATCH('Compile data Working'!$H86,'Language Penetration'!$B$1:$BE$1,0),0)</f>
        <v>0.3</v>
      </c>
      <c r="P86" s="124" t="str">
        <f ca="1">IF(ISBLANK(J86),RANDBETWEEN(1,2)&amp;"%",IF(J86=1,RANDBETWEEN(35,40)&amp;"%",IF(J86=2,RANDBETWEEN(30,35)&amp;"%",IF(J86=3,RANDBETWEEN(25,30)&amp;"%",IF(J86=4,RANDBETWEEN(20,25)&amp;"%",IF(J86=5,RANDBETWEEN(15,20)&amp;"%",IF(J86=6,RANDBETWEEN(10,15)&amp;"%",IF(J86=7,RANDBETWEEN(8,10)&amp;"%",IF(J86=8,RANDBETWEEN(6,8)&amp;"%",IF(J86=9,RANDBETWEEN(4,6)&amp;"%",IF(J86=10,RANDBETWEEN(2,4)&amp;"%","")))))))))))</f>
        <v>6%</v>
      </c>
      <c r="Q86" s="123">
        <f ca="1">IFERROR(L86*(M86+N86)*O86*P86,RANDBETWEEN(1,2)%*L86*(M86+N86)*O86)</f>
        <v>0.49823436095999996</v>
      </c>
      <c r="R86" s="125">
        <f>VLOOKUP(D:D,ranking!W:X,2,0)</f>
        <v>0.6</v>
      </c>
      <c r="S86" s="126">
        <f ca="1">R86*Q86</f>
        <v>0.29894061657599996</v>
      </c>
      <c r="T86" s="123">
        <v>4.6157571024524966</v>
      </c>
    </row>
    <row r="87" spans="1:20" x14ac:dyDescent="0.25">
      <c r="A87" s="98" t="s">
        <v>1057</v>
      </c>
      <c r="B87" s="98" t="s">
        <v>85</v>
      </c>
      <c r="C87" s="98" t="s">
        <v>150</v>
      </c>
      <c r="D87" s="98" t="s">
        <v>433</v>
      </c>
      <c r="E87" s="98" t="s">
        <v>219</v>
      </c>
      <c r="F87" s="46" t="s">
        <v>215</v>
      </c>
      <c r="G87" s="98" t="s">
        <v>1814</v>
      </c>
      <c r="H87" s="98" t="s">
        <v>19</v>
      </c>
      <c r="I87" s="106">
        <v>46157</v>
      </c>
      <c r="J87" s="119">
        <v>4</v>
      </c>
      <c r="K87" s="98" t="s">
        <v>171</v>
      </c>
      <c r="L87" s="123">
        <f>VLOOKUP($C87&amp;$E87,'Updated SES'!A:N,14,0)</f>
        <v>24.425800000000002</v>
      </c>
      <c r="M87" s="124">
        <f>VLOOKUP($K87,'Genre Penetration'!A:B,2,0)*VLOOKUP($C87&amp;$E87,'Updated SES'!A:I,9,0)</f>
        <v>0.37400000000000005</v>
      </c>
      <c r="N87" s="124">
        <f>VLOOKUP(K:K,'Genre Penetration'!A:C,3,0)*VLOOKUP($C87&amp;$E87,'Updated SES'!A:J,10,0)</f>
        <v>0.14400000000000002</v>
      </c>
      <c r="O87" s="124">
        <f>VLOOKUP($B87,'Language Penetration'!$B$1:$BE$14,MATCH('Compile data Working'!$H87,'Language Penetration'!$B$1:$BE$1,0),0)</f>
        <v>0.6</v>
      </c>
      <c r="P87" s="124" t="str">
        <f ca="1">IF(ISBLANK(J87),RANDBETWEEN(1,2)&amp;"%",IF(J87=1,RANDBETWEEN(35,40)&amp;"%",IF(J87=2,RANDBETWEEN(30,35)&amp;"%",IF(J87=3,RANDBETWEEN(25,30)&amp;"%",IF(J87=4,RANDBETWEEN(20,25)&amp;"%",IF(J87=5,RANDBETWEEN(15,20)&amp;"%",IF(J87=6,RANDBETWEEN(10,15)&amp;"%",IF(J87=7,RANDBETWEEN(8,10)&amp;"%",IF(J87=8,RANDBETWEEN(6,8)&amp;"%",IF(J87=9,RANDBETWEEN(4,6)&amp;"%",IF(J87=10,RANDBETWEEN(2,4)&amp;"%","")))))))))))</f>
        <v>24%</v>
      </c>
      <c r="Q87" s="123">
        <f ca="1">IFERROR(L87*(M87+N87)*O87*P87,RANDBETWEEN(1,2)%*L87*(M87+N87)*O87)</f>
        <v>1.8219692735999999</v>
      </c>
      <c r="R87" s="125">
        <f>VLOOKUP(D:D,ranking!W:X,2,0)</f>
        <v>0.6</v>
      </c>
      <c r="S87" s="126">
        <f ca="1">R87*Q87</f>
        <v>1.09318156416</v>
      </c>
      <c r="T87" s="123">
        <v>4.4662612852075663</v>
      </c>
    </row>
    <row r="88" spans="1:20" x14ac:dyDescent="0.25">
      <c r="A88" s="98" t="s">
        <v>1057</v>
      </c>
      <c r="B88" s="98" t="s">
        <v>85</v>
      </c>
      <c r="C88" s="98" t="s">
        <v>150</v>
      </c>
      <c r="D88" s="98" t="s">
        <v>431</v>
      </c>
      <c r="E88" s="98" t="s">
        <v>211</v>
      </c>
      <c r="F88" s="46" t="s">
        <v>215</v>
      </c>
      <c r="G88" s="46" t="s">
        <v>1855</v>
      </c>
      <c r="H88" s="46" t="s">
        <v>19</v>
      </c>
      <c r="I88" s="53">
        <v>46185</v>
      </c>
      <c r="J88" s="119">
        <v>1</v>
      </c>
      <c r="K88" s="46" t="s">
        <v>1797</v>
      </c>
      <c r="L88" s="123">
        <f>VLOOKUP($C88&amp;$E88,'Updated SES'!A:N,14,0)</f>
        <v>60.152000000000001</v>
      </c>
      <c r="M88" s="124">
        <f>VLOOKUP($K88,'Genre Penetration'!A:B,2,0)*VLOOKUP($C88&amp;$E88,'Updated SES'!A:I,9,0)</f>
        <v>0.26</v>
      </c>
      <c r="N88" s="124">
        <f>VLOOKUP(K:K,'Genre Penetration'!A:C,3,0)*VLOOKUP($C88&amp;$E88,'Updated SES'!A:J,10,0)</f>
        <v>0.21</v>
      </c>
      <c r="O88" s="124">
        <f>VLOOKUP($B88,'Language Penetration'!$B$1:$BE$14,MATCH('Compile data Working'!$H88,'Language Penetration'!$B$1:$BE$1,0),0)</f>
        <v>0.6</v>
      </c>
      <c r="P88" s="124" t="str">
        <f ca="1">IF(ISBLANK(J88),RANDBETWEEN(1,2)&amp;"%",IF(J88=1,RANDBETWEEN(35,40)&amp;"%",IF(J88=2,RANDBETWEEN(30,35)&amp;"%",IF(J88=3,RANDBETWEEN(25,30)&amp;"%",IF(J88=4,RANDBETWEEN(20,25)&amp;"%",IF(J88=5,RANDBETWEEN(15,20)&amp;"%",IF(J88=6,RANDBETWEEN(10,15)&amp;"%",IF(J88=7,RANDBETWEEN(8,10)&amp;"%",IF(J88=8,RANDBETWEEN(6,8)&amp;"%",IF(J88=9,RANDBETWEEN(4,6)&amp;"%",IF(J88=10,RANDBETWEEN(2,4)&amp;"%","")))))))))))</f>
        <v>39%</v>
      </c>
      <c r="Q88" s="123">
        <f ca="1">IFERROR(L88*(M88+N88)*O88*P88,RANDBETWEEN(1,2)%*L88*(M88+N88)*O88)</f>
        <v>6.6155169599999999</v>
      </c>
      <c r="R88" s="125">
        <f>VLOOKUP(D:D,ranking!W:X,2,0)</f>
        <v>0.6</v>
      </c>
      <c r="S88" s="126">
        <f ca="1">R88*Q88</f>
        <v>3.9693101759999996</v>
      </c>
      <c r="T88" s="123">
        <v>4.4561728770255318</v>
      </c>
    </row>
    <row r="89" spans="1:20" x14ac:dyDescent="0.25">
      <c r="A89" s="98" t="s">
        <v>1057</v>
      </c>
      <c r="B89" s="98" t="s">
        <v>85</v>
      </c>
      <c r="C89" s="46" t="s">
        <v>123</v>
      </c>
      <c r="D89" s="46" t="s">
        <v>1013</v>
      </c>
      <c r="E89" s="46" t="s">
        <v>211</v>
      </c>
      <c r="F89" s="46" t="s">
        <v>213</v>
      </c>
      <c r="G89" s="46" t="s">
        <v>1801</v>
      </c>
      <c r="H89" s="46" t="s">
        <v>77</v>
      </c>
      <c r="I89" s="53">
        <v>46157</v>
      </c>
      <c r="J89" s="119">
        <v>10</v>
      </c>
      <c r="K89" s="46" t="s">
        <v>216</v>
      </c>
      <c r="L89" s="123">
        <f>VLOOKUP($C89&amp;$E89,'Updated SES'!A:N,14,0)</f>
        <v>55.459200000000003</v>
      </c>
      <c r="M89" s="124">
        <f>VLOOKUP($K89,'Genre Penetration'!A:B,2,0)*VLOOKUP($C89&amp;$E89,'Updated SES'!A:I,9,0)</f>
        <v>0.245</v>
      </c>
      <c r="N89" s="124">
        <f>VLOOKUP(K:K,'Genre Penetration'!A:C,3,0)*VLOOKUP($C89&amp;$E89,'Updated SES'!A:J,10,0)</f>
        <v>0.255</v>
      </c>
      <c r="O89" s="124">
        <f>VLOOKUP($B89,'Language Penetration'!$B$1:$BE$14,MATCH('Compile data Working'!$H89,'Language Penetration'!$B$1:$BE$1,0),0)</f>
        <v>0.26250000000000001</v>
      </c>
      <c r="P89" s="124" t="str">
        <f ca="1">IF(ISBLANK(J89),RANDBETWEEN(1,2)&amp;"%",IF(J89=1,RANDBETWEEN(35,40)&amp;"%",IF(J89=2,RANDBETWEEN(30,35)&amp;"%",IF(J89=3,RANDBETWEEN(25,30)&amp;"%",IF(J89=4,RANDBETWEEN(20,25)&amp;"%",IF(J89=5,RANDBETWEEN(15,20)&amp;"%",IF(J89=6,RANDBETWEEN(10,15)&amp;"%",IF(J89=7,RANDBETWEEN(8,10)&amp;"%",IF(J89=8,RANDBETWEEN(6,8)&amp;"%",IF(J89=9,RANDBETWEEN(4,6)&amp;"%",IF(J89=10,RANDBETWEEN(2,4)&amp;"%","")))))))))))</f>
        <v>4%</v>
      </c>
      <c r="Q89" s="123">
        <f ca="1">IFERROR(L89*(M89+N89)*O89*P89,RANDBETWEEN(1,2)%*L89*(M89+N89)*O89)</f>
        <v>0.29116080000000005</v>
      </c>
      <c r="R89" s="125">
        <f>VLOOKUP(D:D,ranking!W:X,2,0)</f>
        <v>0.8</v>
      </c>
      <c r="S89" s="126">
        <f ca="1">R89*Q89</f>
        <v>0.23292864000000005</v>
      </c>
      <c r="T89" s="123">
        <v>4.3003528864424325</v>
      </c>
    </row>
    <row r="90" spans="1:20" x14ac:dyDescent="0.25">
      <c r="A90" s="98" t="s">
        <v>1057</v>
      </c>
      <c r="B90" s="98" t="s">
        <v>85</v>
      </c>
      <c r="C90" s="46" t="s">
        <v>123</v>
      </c>
      <c r="D90" s="46" t="s">
        <v>431</v>
      </c>
      <c r="E90" s="46" t="s">
        <v>211</v>
      </c>
      <c r="F90" s="46" t="s">
        <v>215</v>
      </c>
      <c r="G90" s="46" t="s">
        <v>1809</v>
      </c>
      <c r="H90" s="46" t="s">
        <v>40</v>
      </c>
      <c r="I90" s="53">
        <v>46143</v>
      </c>
      <c r="J90" s="119">
        <v>8</v>
      </c>
      <c r="K90" s="46" t="s">
        <v>97</v>
      </c>
      <c r="L90" s="123">
        <f>VLOOKUP($C90&amp;$E90,'Updated SES'!A:N,14,0)</f>
        <v>55.459200000000003</v>
      </c>
      <c r="M90" s="124">
        <f>VLOOKUP($K90,'Genre Penetration'!A:B,2,0)*VLOOKUP($C90&amp;$E90,'Updated SES'!A:I,9,0)</f>
        <v>0.3332</v>
      </c>
      <c r="N90" s="124">
        <f>VLOOKUP(K:K,'Genre Penetration'!A:C,3,0)*VLOOKUP($C90&amp;$E90,'Updated SES'!A:J,10,0)</f>
        <v>0.16320000000000001</v>
      </c>
      <c r="O90" s="124">
        <f>VLOOKUP($B90,'Language Penetration'!$B$1:$BE$14,MATCH('Compile data Working'!$H90,'Language Penetration'!$B$1:$BE$1,0),0)</f>
        <v>0.28333333333333333</v>
      </c>
      <c r="P90" s="124" t="str">
        <f ca="1">IF(ISBLANK(J90),RANDBETWEEN(1,2)&amp;"%",IF(J90=1,RANDBETWEEN(35,40)&amp;"%",IF(J90=2,RANDBETWEEN(30,35)&amp;"%",IF(J90=3,RANDBETWEEN(25,30)&amp;"%",IF(J90=4,RANDBETWEEN(20,25)&amp;"%",IF(J90=5,RANDBETWEEN(15,20)&amp;"%",IF(J90=6,RANDBETWEEN(10,15)&amp;"%",IF(J90=7,RANDBETWEEN(8,10)&amp;"%",IF(J90=8,RANDBETWEEN(6,8)&amp;"%",IF(J90=9,RANDBETWEEN(4,6)&amp;"%",IF(J90=10,RANDBETWEEN(2,4)&amp;"%","")))))))))))</f>
        <v>7%</v>
      </c>
      <c r="Q90" s="123">
        <f ca="1">IFERROR(L90*(M90+N90)*O90*P90,RANDBETWEEN(1,2)%*L90*(M90+N90)*O90)</f>
        <v>0.5460106131200001</v>
      </c>
      <c r="R90" s="125">
        <f>VLOOKUP(D:D,ranking!W:X,2,0)</f>
        <v>0.6</v>
      </c>
      <c r="S90" s="126">
        <f ca="1">R90*Q90</f>
        <v>0.32760636787200004</v>
      </c>
      <c r="T90" s="123">
        <v>4.2437273389012269</v>
      </c>
    </row>
    <row r="91" spans="1:20" x14ac:dyDescent="0.25">
      <c r="A91" s="98" t="s">
        <v>1057</v>
      </c>
      <c r="B91" s="98" t="s">
        <v>85</v>
      </c>
      <c r="C91" s="98" t="s">
        <v>150</v>
      </c>
      <c r="D91" s="46" t="s">
        <v>859</v>
      </c>
      <c r="E91" s="98" t="s">
        <v>211</v>
      </c>
      <c r="F91" s="46" t="s">
        <v>213</v>
      </c>
      <c r="G91" s="46" t="s">
        <v>1845</v>
      </c>
      <c r="H91" s="46" t="s">
        <v>1059</v>
      </c>
      <c r="I91" s="53">
        <v>46178</v>
      </c>
      <c r="J91" s="119">
        <v>2</v>
      </c>
      <c r="K91" s="46" t="s">
        <v>90</v>
      </c>
      <c r="L91" s="123">
        <f>VLOOKUP($C91&amp;$E91,'Updated SES'!A:N,14,0)</f>
        <v>60.152000000000001</v>
      </c>
      <c r="M91" s="124">
        <f>VLOOKUP($K91,'Genre Penetration'!A:B,2,0)*VLOOKUP($C91&amp;$E91,'Updated SES'!A:I,9,0)</f>
        <v>0.46799999999999997</v>
      </c>
      <c r="N91" s="124">
        <f>VLOOKUP(K:K,'Genre Penetration'!A:C,3,0)*VLOOKUP($C91&amp;$E91,'Updated SES'!A:J,10,0)</f>
        <v>9.8000000000000004E-2</v>
      </c>
      <c r="O91" s="124">
        <f>VLOOKUP($B91,'Language Penetration'!$B$1:$BE$14,MATCH('Compile data Working'!$H91,'Language Penetration'!$B$1:$BE$1,0),0)</f>
        <v>0.10500000000000001</v>
      </c>
      <c r="P91" s="124" t="str">
        <f ca="1">IF(ISBLANK(J91),RANDBETWEEN(1,2)&amp;"%",IF(J91=1,RANDBETWEEN(35,40)&amp;"%",IF(J91=2,RANDBETWEEN(30,35)&amp;"%",IF(J91=3,RANDBETWEEN(25,30)&amp;"%",IF(J91=4,RANDBETWEEN(20,25)&amp;"%",IF(J91=5,RANDBETWEEN(15,20)&amp;"%",IF(J91=6,RANDBETWEEN(10,15)&amp;"%",IF(J91=7,RANDBETWEEN(8,10)&amp;"%",IF(J91=8,RANDBETWEEN(6,8)&amp;"%",IF(J91=9,RANDBETWEEN(4,6)&amp;"%",IF(J91=10,RANDBETWEEN(2,4)&amp;"%","")))))))))))</f>
        <v>35%</v>
      </c>
      <c r="Q91" s="123">
        <f ca="1">IFERROR(L91*(M91+N91)*O91*P91,RANDBETWEEN(1,2)%*L91*(M91+N91)*O91)</f>
        <v>1.2511916759999999</v>
      </c>
      <c r="R91" s="125">
        <f>VLOOKUP(D:D,ranking!W:X,2,0)</f>
        <v>0.7</v>
      </c>
      <c r="S91" s="126">
        <f ca="1">R91*Q91</f>
        <v>0.8758341731999999</v>
      </c>
      <c r="T91" s="123">
        <v>3.8329510456218014</v>
      </c>
    </row>
    <row r="92" spans="1:20" x14ac:dyDescent="0.25">
      <c r="A92" s="98" t="s">
        <v>1781</v>
      </c>
      <c r="B92" s="98" t="s">
        <v>85</v>
      </c>
      <c r="C92" s="46" t="s">
        <v>1849</v>
      </c>
      <c r="D92" s="46" t="s">
        <v>456</v>
      </c>
      <c r="E92" s="98" t="s">
        <v>211</v>
      </c>
      <c r="F92" s="46" t="s">
        <v>1908</v>
      </c>
      <c r="G92" s="46" t="s">
        <v>1825</v>
      </c>
      <c r="H92" s="46" t="s">
        <v>29</v>
      </c>
      <c r="I92" s="129" t="s">
        <v>254</v>
      </c>
      <c r="J92" s="46"/>
      <c r="K92" s="46" t="s">
        <v>216</v>
      </c>
      <c r="L92" s="123">
        <f>VLOOKUP($C92&amp;$E92,'Updated SES'!A:N,14,0)</f>
        <v>127.11702000000001</v>
      </c>
      <c r="M92" s="124">
        <f>VLOOKUP($K92,'Genre Penetration'!A:B,2,0)*VLOOKUP($C92&amp;$E92,'Updated SES'!A:I,9,0)</f>
        <v>0.33499999999999996</v>
      </c>
      <c r="N92" s="124">
        <f>VLOOKUP(K:K,'Genre Penetration'!A:C,3,0)*VLOOKUP($C92&amp;$E92,'Updated SES'!A:J,10,0)</f>
        <v>0.16499999999999998</v>
      </c>
      <c r="O92" s="124">
        <f>VLOOKUP($B92,'Language Penetration'!$B$1:$BE$14,MATCH('Compile data Working'!$H92,'Language Penetration'!$B$1:$BE$1,0),0)</f>
        <v>0.12</v>
      </c>
      <c r="P92" s="124" t="str">
        <f ca="1">IF(ISBLANK(J92),RANDBETWEEN(1,2)&amp;"%",IF(J92=1,RANDBETWEEN(35,40)&amp;"%",IF(J92=2,RANDBETWEEN(30,35)&amp;"%",IF(J92=3,RANDBETWEEN(25,30)&amp;"%",IF(J92=4,RANDBETWEEN(20,25)&amp;"%",IF(J92=5,RANDBETWEEN(15,20)&amp;"%",IF(J92=6,RANDBETWEEN(10,15)&amp;"%",IF(J92=7,RANDBETWEEN(8,10)&amp;"%",IF(J92=8,RANDBETWEEN(6,8)&amp;"%",IF(J92=9,RANDBETWEEN(4,6)&amp;"%",IF(J92=10,RANDBETWEEN(2,4)&amp;"%","")))))))))))</f>
        <v>2%</v>
      </c>
      <c r="Q92" s="123">
        <f ca="1">IFERROR(L92*(M92+N92)*O92*P92,RANDBETWEEN(1,2)%*L92*(M92+N92)*O92)</f>
        <v>0.15254042400000001</v>
      </c>
      <c r="R92" s="125">
        <f>VLOOKUP(D:D,ranking!W:X,2,0)</f>
        <v>0.3</v>
      </c>
      <c r="S92" s="126">
        <f ca="1">R92*Q92</f>
        <v>4.5762127200000002E-2</v>
      </c>
      <c r="T92" s="123">
        <v>3.7831344639981119</v>
      </c>
    </row>
    <row r="93" spans="1:20" x14ac:dyDescent="0.25">
      <c r="A93" s="98" t="s">
        <v>1057</v>
      </c>
      <c r="B93" s="98" t="s">
        <v>85</v>
      </c>
      <c r="C93" s="46" t="s">
        <v>1229</v>
      </c>
      <c r="D93" s="46" t="s">
        <v>433</v>
      </c>
      <c r="E93" s="46" t="s">
        <v>219</v>
      </c>
      <c r="F93" s="46" t="s">
        <v>215</v>
      </c>
      <c r="G93" s="46" t="s">
        <v>1803</v>
      </c>
      <c r="H93" s="46" t="s">
        <v>19</v>
      </c>
      <c r="I93" s="53">
        <v>46141</v>
      </c>
      <c r="J93" s="119">
        <v>5</v>
      </c>
      <c r="K93" s="46" t="s">
        <v>154</v>
      </c>
      <c r="L93" s="123">
        <f>VLOOKUP($C93&amp;$E93,'Updated SES'!A:N,14,0)</f>
        <v>78.939870000000013</v>
      </c>
      <c r="M93" s="124">
        <f>VLOOKUP($K93,'Genre Penetration'!A:B,2,0)*VLOOKUP($C93&amp;$E93,'Updated SES'!A:I,9,0)</f>
        <v>0.24</v>
      </c>
      <c r="N93" s="124">
        <f>VLOOKUP(K:K,'Genre Penetration'!A:C,3,0)*VLOOKUP($C93&amp;$E93,'Updated SES'!A:J,10,0)</f>
        <v>0.13999999999999999</v>
      </c>
      <c r="O93" s="124">
        <f>VLOOKUP($B93,'Language Penetration'!$B$1:$BE$14,MATCH('Compile data Working'!$H93,'Language Penetration'!$B$1:$BE$1,0),0)</f>
        <v>0.6</v>
      </c>
      <c r="P93" s="124" t="str">
        <f ca="1">IF(ISBLANK(J93),RANDBETWEEN(1,2)&amp;"%",IF(J93=1,RANDBETWEEN(35,40)&amp;"%",IF(J93=2,RANDBETWEEN(30,35)&amp;"%",IF(J93=3,RANDBETWEEN(25,30)&amp;"%",IF(J93=4,RANDBETWEEN(20,25)&amp;"%",IF(J93=5,RANDBETWEEN(15,20)&amp;"%",IF(J93=6,RANDBETWEEN(10,15)&amp;"%",IF(J93=7,RANDBETWEEN(8,10)&amp;"%",IF(J93=8,RANDBETWEEN(6,8)&amp;"%",IF(J93=9,RANDBETWEEN(4,6)&amp;"%",IF(J93=10,RANDBETWEEN(2,4)&amp;"%","")))))))))))</f>
        <v>17%</v>
      </c>
      <c r="Q93" s="123">
        <f ca="1">IFERROR(L93*(M93+N93)*O93*P93,RANDBETWEEN(1,2)%*L93*(M93+N93)*O93)</f>
        <v>3.0597093612000004</v>
      </c>
      <c r="R93" s="125">
        <f>VLOOKUP(D:D,ranking!W:X,2,0)</f>
        <v>0.6</v>
      </c>
      <c r="S93" s="126">
        <f ca="1">R93*Q93</f>
        <v>1.8358256167200002</v>
      </c>
      <c r="T93" s="123">
        <v>3.3832173787074971</v>
      </c>
    </row>
    <row r="94" spans="1:20" x14ac:dyDescent="0.25">
      <c r="A94" s="98" t="s">
        <v>1057</v>
      </c>
      <c r="B94" s="98" t="s">
        <v>85</v>
      </c>
      <c r="C94" s="46" t="s">
        <v>123</v>
      </c>
      <c r="D94" s="46" t="s">
        <v>431</v>
      </c>
      <c r="E94" s="46" t="s">
        <v>211</v>
      </c>
      <c r="F94" s="46" t="s">
        <v>215</v>
      </c>
      <c r="G94" s="46" t="s">
        <v>1907</v>
      </c>
      <c r="H94" s="46" t="s">
        <v>1818</v>
      </c>
      <c r="I94" s="53">
        <v>46079</v>
      </c>
      <c r="J94" s="119">
        <v>7</v>
      </c>
      <c r="K94" s="46" t="s">
        <v>1258</v>
      </c>
      <c r="L94" s="123">
        <f>VLOOKUP($C94&amp;$E94,'Updated SES'!A:N,14,0)</f>
        <v>55.459200000000003</v>
      </c>
      <c r="M94" s="124">
        <f>VLOOKUP($K94,'Genre Penetration'!A:B,2,0)*VLOOKUP($C94&amp;$E94,'Updated SES'!A:I,9,0)</f>
        <v>0.25969999999999999</v>
      </c>
      <c r="N94" s="124">
        <f>VLOOKUP(K:K,'Genre Penetration'!A:C,3,0)*VLOOKUP($C94&amp;$E94,'Updated SES'!A:J,10,0)</f>
        <v>0.2397</v>
      </c>
      <c r="O94" s="124">
        <f>VLOOKUP($B94,'Language Penetration'!$B$1:$BE$14,MATCH('Compile data Working'!$H94,'Language Penetration'!$B$1:$BE$1,0),0)</f>
        <v>0.4</v>
      </c>
      <c r="P94" s="124" t="str">
        <f ca="1">IF(ISBLANK(J94),RANDBETWEEN(1,2)&amp;"%",IF(J94=1,RANDBETWEEN(35,40)&amp;"%",IF(J94=2,RANDBETWEEN(30,35)&amp;"%",IF(J94=3,RANDBETWEEN(25,30)&amp;"%",IF(J94=4,RANDBETWEEN(20,25)&amp;"%",IF(J94=5,RANDBETWEEN(15,20)&amp;"%",IF(J94=6,RANDBETWEEN(10,15)&amp;"%",IF(J94=7,RANDBETWEEN(8,10)&amp;"%",IF(J94=8,RANDBETWEEN(6,8)&amp;"%",IF(J94=9,RANDBETWEEN(4,6)&amp;"%",IF(J94=10,RANDBETWEEN(2,4)&amp;"%","")))))))))))</f>
        <v>8%</v>
      </c>
      <c r="Q94" s="123">
        <f ca="1">IFERROR(L94*(M94+N94)*O94*P94,RANDBETWEEN(1,2)%*L94*(M94+N94)*O94)</f>
        <v>0.88628238335999998</v>
      </c>
      <c r="R94" s="125">
        <f>VLOOKUP(D:D,ranking!W:X,2,0)</f>
        <v>0.6</v>
      </c>
      <c r="S94" s="126">
        <f ca="1">R94*Q94</f>
        <v>0.53176943001599997</v>
      </c>
      <c r="T94" s="123">
        <v>3.1964812175359998</v>
      </c>
    </row>
    <row r="95" spans="1:20" x14ac:dyDescent="0.25">
      <c r="A95" s="98" t="s">
        <v>1057</v>
      </c>
      <c r="B95" s="98" t="s">
        <v>85</v>
      </c>
      <c r="C95" s="98" t="s">
        <v>150</v>
      </c>
      <c r="D95" s="46" t="s">
        <v>859</v>
      </c>
      <c r="E95" s="98" t="s">
        <v>211</v>
      </c>
      <c r="F95" s="46" t="s">
        <v>213</v>
      </c>
      <c r="G95" s="46" t="s">
        <v>1837</v>
      </c>
      <c r="H95" s="46" t="s">
        <v>1058</v>
      </c>
      <c r="I95" s="53">
        <v>46178</v>
      </c>
      <c r="J95" s="46">
        <v>1</v>
      </c>
      <c r="K95" s="46" t="s">
        <v>355</v>
      </c>
      <c r="L95" s="123">
        <f>VLOOKUP($C95&amp;$E95,'Updated SES'!A:N,14,0)</f>
        <v>60.152000000000001</v>
      </c>
      <c r="M95" s="124">
        <f>VLOOKUP($K95,'Genre Penetration'!A:B,2,0)*VLOOKUP($C95&amp;$E95,'Updated SES'!A:I,9,0)</f>
        <v>0.377</v>
      </c>
      <c r="N95" s="124">
        <f>VLOOKUP(K:K,'Genre Penetration'!A:C,3,0)*VLOOKUP($C95&amp;$E95,'Updated SES'!A:J,10,0)</f>
        <v>0.14699999999999999</v>
      </c>
      <c r="O95" s="124">
        <f>VLOOKUP($B95,'Language Penetration'!$B$1:$BE$14,MATCH('Compile data Working'!$H95,'Language Penetration'!$B$1:$BE$1,0),0)</f>
        <v>0.20400000000000001</v>
      </c>
      <c r="P95" s="124" t="str">
        <f ca="1">IF(ISBLANK(J95),RANDBETWEEN(1,2)&amp;"%",IF(J95=1,RANDBETWEEN(35,40)&amp;"%",IF(J95=2,RANDBETWEEN(30,35)&amp;"%",IF(J95=3,RANDBETWEEN(25,30)&amp;"%",IF(J95=4,RANDBETWEEN(20,25)&amp;"%",IF(J95=5,RANDBETWEEN(15,20)&amp;"%",IF(J95=6,RANDBETWEEN(10,15)&amp;"%",IF(J95=7,RANDBETWEEN(8,10)&amp;"%",IF(J95=8,RANDBETWEEN(6,8)&amp;"%",IF(J95=9,RANDBETWEEN(4,6)&amp;"%",IF(J95=10,RANDBETWEEN(2,4)&amp;"%","")))))))))))</f>
        <v>35%</v>
      </c>
      <c r="Q95" s="123">
        <f ca="1">IFERROR(L95*(M95+N95)*O95*P95,RANDBETWEEN(1,2)%*L95*(M95+N95)*O95)</f>
        <v>2.2505028672000003</v>
      </c>
      <c r="R95" s="125">
        <f>VLOOKUP(D:D,ranking!W:X,2,0)</f>
        <v>0.7</v>
      </c>
      <c r="S95" s="126">
        <f ca="1">R95*Q95</f>
        <v>1.57535200704</v>
      </c>
      <c r="T95" s="123">
        <v>3.1306645045700874</v>
      </c>
    </row>
    <row r="96" spans="1:20" x14ac:dyDescent="0.25">
      <c r="A96" s="98" t="s">
        <v>1057</v>
      </c>
      <c r="B96" s="98" t="s">
        <v>85</v>
      </c>
      <c r="C96" s="98" t="s">
        <v>150</v>
      </c>
      <c r="D96" s="98" t="s">
        <v>431</v>
      </c>
      <c r="E96" s="98" t="s">
        <v>211</v>
      </c>
      <c r="F96" s="46" t="s">
        <v>215</v>
      </c>
      <c r="G96" s="46" t="s">
        <v>1833</v>
      </c>
      <c r="H96" s="46" t="s">
        <v>19</v>
      </c>
      <c r="I96" s="53">
        <v>46178</v>
      </c>
      <c r="J96" s="119">
        <v>2</v>
      </c>
      <c r="K96" s="46" t="s">
        <v>202</v>
      </c>
      <c r="L96" s="123">
        <f>VLOOKUP($C96&amp;$E96,'Updated SES'!A:N,14,0)</f>
        <v>60.152000000000001</v>
      </c>
      <c r="M96" s="124">
        <f>VLOOKUP($K96,'Genre Penetration'!A:B,2,0)*VLOOKUP($C96&amp;$E96,'Updated SES'!A:I,9,0)</f>
        <v>0.46799999999999997</v>
      </c>
      <c r="N96" s="124">
        <f>VLOOKUP(K:K,'Genre Penetration'!A:C,3,0)*VLOOKUP($C96&amp;$E96,'Updated SES'!A:J,10,0)</f>
        <v>9.8000000000000004E-2</v>
      </c>
      <c r="O96" s="124">
        <f>VLOOKUP($B96,'Language Penetration'!$B$1:$BE$14,MATCH('Compile data Working'!$H96,'Language Penetration'!$B$1:$BE$1,0),0)</f>
        <v>0.6</v>
      </c>
      <c r="P96" s="124" t="str">
        <f ca="1">IF(ISBLANK(J96),RANDBETWEEN(1,2)&amp;"%",IF(J96=1,RANDBETWEEN(35,40)&amp;"%",IF(J96=2,RANDBETWEEN(30,35)&amp;"%",IF(J96=3,RANDBETWEEN(25,30)&amp;"%",IF(J96=4,RANDBETWEEN(20,25)&amp;"%",IF(J96=5,RANDBETWEEN(15,20)&amp;"%",IF(J96=6,RANDBETWEEN(10,15)&amp;"%",IF(J96=7,RANDBETWEEN(8,10)&amp;"%",IF(J96=8,RANDBETWEEN(6,8)&amp;"%",IF(J96=9,RANDBETWEEN(4,6)&amp;"%",IF(J96=10,RANDBETWEEN(2,4)&amp;"%","")))))))))))</f>
        <v>30%</v>
      </c>
      <c r="Q96" s="123">
        <f ca="1">IFERROR(L96*(M96+N96)*O96*P96,RANDBETWEEN(1,2)%*L96*(M96+N96)*O96)</f>
        <v>6.1282857599999998</v>
      </c>
      <c r="R96" s="125">
        <f>VLOOKUP(D:D,ranking!W:X,2,0)</f>
        <v>0.6</v>
      </c>
      <c r="S96" s="126">
        <f ca="1">R96*Q96</f>
        <v>3.6769714559999995</v>
      </c>
      <c r="T96" s="123">
        <v>3.1037721894998369</v>
      </c>
    </row>
    <row r="97" spans="1:20" x14ac:dyDescent="0.25">
      <c r="A97" s="98" t="s">
        <v>1057</v>
      </c>
      <c r="B97" s="98" t="s">
        <v>85</v>
      </c>
      <c r="C97" s="98" t="s">
        <v>132</v>
      </c>
      <c r="D97" s="98" t="s">
        <v>456</v>
      </c>
      <c r="E97" s="98" t="s">
        <v>211</v>
      </c>
      <c r="F97" s="46" t="s">
        <v>215</v>
      </c>
      <c r="G97" s="98" t="s">
        <v>1794</v>
      </c>
      <c r="H97" s="98" t="s">
        <v>19</v>
      </c>
      <c r="I97" s="106">
        <v>46118</v>
      </c>
      <c r="J97" s="119">
        <v>7</v>
      </c>
      <c r="K97" s="98" t="s">
        <v>216</v>
      </c>
      <c r="L97" s="123">
        <f>VLOOKUP($C97&amp;$E97,'Updated SES'!A:N,14,0)</f>
        <v>21.682040000000004</v>
      </c>
      <c r="M97" s="124">
        <f>VLOOKUP($K97,'Genre Penetration'!A:B,2,0)*VLOOKUP($C97&amp;$E97,'Updated SES'!A:I,9,0)</f>
        <v>0.32500000000000001</v>
      </c>
      <c r="N97" s="124">
        <f>VLOOKUP(K:K,'Genre Penetration'!A:C,3,0)*VLOOKUP($C97&amp;$E97,'Updated SES'!A:J,10,0)</f>
        <v>0.17499999999999999</v>
      </c>
      <c r="O97" s="124">
        <f>VLOOKUP($B97,'Language Penetration'!$B$1:$BE$14,MATCH('Compile data Working'!$H97,'Language Penetration'!$B$1:$BE$1,0),0)</f>
        <v>0.6</v>
      </c>
      <c r="P97" s="124" t="str">
        <f ca="1">IF(ISBLANK(J97),RANDBETWEEN(1,2)&amp;"%",IF(J97=1,RANDBETWEEN(35,40)&amp;"%",IF(J97=2,RANDBETWEEN(30,35)&amp;"%",IF(J97=3,RANDBETWEEN(25,30)&amp;"%",IF(J97=4,RANDBETWEEN(20,25)&amp;"%",IF(J97=5,RANDBETWEEN(15,20)&amp;"%",IF(J97=6,RANDBETWEEN(10,15)&amp;"%",IF(J97=7,RANDBETWEEN(8,10)&amp;"%",IF(J97=8,RANDBETWEEN(6,8)&amp;"%",IF(J97=9,RANDBETWEEN(4,6)&amp;"%",IF(J97=10,RANDBETWEEN(2,4)&amp;"%","")))))))))))</f>
        <v>9%</v>
      </c>
      <c r="Q97" s="123">
        <f ca="1">IFERROR(L97*(M97+N97)*O97*P97,RANDBETWEEN(1,2)%*L97*(M97+N97)*O97)</f>
        <v>0.58541508000000009</v>
      </c>
      <c r="R97" s="125">
        <f>VLOOKUP(D:D,ranking!W:X,2,0)</f>
        <v>0.3</v>
      </c>
      <c r="S97" s="126">
        <f ca="1">R97*Q97</f>
        <v>0.17562452400000003</v>
      </c>
      <c r="T97" s="123">
        <v>2.9307140764824968</v>
      </c>
    </row>
    <row r="98" spans="1:20" x14ac:dyDescent="0.25">
      <c r="A98" s="98" t="s">
        <v>1057</v>
      </c>
      <c r="B98" s="98" t="s">
        <v>85</v>
      </c>
      <c r="C98" s="98" t="s">
        <v>150</v>
      </c>
      <c r="D98" s="46" t="s">
        <v>859</v>
      </c>
      <c r="E98" s="98" t="s">
        <v>219</v>
      </c>
      <c r="F98" s="46" t="s">
        <v>213</v>
      </c>
      <c r="G98" s="98" t="s">
        <v>1847</v>
      </c>
      <c r="H98" s="98" t="s">
        <v>19</v>
      </c>
      <c r="I98" s="106">
        <v>46169</v>
      </c>
      <c r="J98" s="119">
        <v>8</v>
      </c>
      <c r="K98" s="98" t="s">
        <v>160</v>
      </c>
      <c r="L98" s="123">
        <f>VLOOKUP($C98&amp;$E98,'Updated SES'!A:N,14,0)</f>
        <v>24.425800000000002</v>
      </c>
      <c r="M98" s="124">
        <f>VLOOKUP($K98,'Genre Penetration'!A:B,2,0)*VLOOKUP($C98&amp;$E98,'Updated SES'!A:I,9,0)</f>
        <v>0.34</v>
      </c>
      <c r="N98" s="124">
        <f>VLOOKUP(K:K,'Genre Penetration'!A:C,3,0)*VLOOKUP($C98&amp;$E98,'Updated SES'!A:J,10,0)</f>
        <v>0.16</v>
      </c>
      <c r="O98" s="124">
        <f>VLOOKUP($B98,'Language Penetration'!$B$1:$BE$14,MATCH('Compile data Working'!$H98,'Language Penetration'!$B$1:$BE$1,0),0)</f>
        <v>0.6</v>
      </c>
      <c r="P98" s="124" t="str">
        <f ca="1">IF(ISBLANK(J98),RANDBETWEEN(1,2)&amp;"%",IF(J98=1,RANDBETWEEN(35,40)&amp;"%",IF(J98=2,RANDBETWEEN(30,35)&amp;"%",IF(J98=3,RANDBETWEEN(25,30)&amp;"%",IF(J98=4,RANDBETWEEN(20,25)&amp;"%",IF(J98=5,RANDBETWEEN(15,20)&amp;"%",IF(J98=6,RANDBETWEEN(10,15)&amp;"%",IF(J98=7,RANDBETWEEN(8,10)&amp;"%",IF(J98=8,RANDBETWEEN(6,8)&amp;"%",IF(J98=9,RANDBETWEEN(4,6)&amp;"%",IF(J98=10,RANDBETWEEN(2,4)&amp;"%","")))))))))))</f>
        <v>6%</v>
      </c>
      <c r="Q98" s="123">
        <f ca="1">IFERROR(L98*(M98+N98)*O98*P98,RANDBETWEEN(1,2)%*L98*(M98+N98)*O98)</f>
        <v>0.43966440000000001</v>
      </c>
      <c r="R98" s="125">
        <f>VLOOKUP(D:D,ranking!W:X,2,0)</f>
        <v>0.7</v>
      </c>
      <c r="S98" s="126">
        <f ca="1">R98*Q98</f>
        <v>0.30776507999999997</v>
      </c>
      <c r="T98" s="123">
        <v>2.5044502132092852</v>
      </c>
    </row>
    <row r="99" spans="1:20" x14ac:dyDescent="0.25">
      <c r="A99" s="98" t="s">
        <v>1057</v>
      </c>
      <c r="B99" s="98" t="s">
        <v>85</v>
      </c>
      <c r="C99" s="46" t="s">
        <v>123</v>
      </c>
      <c r="D99" s="46" t="s">
        <v>431</v>
      </c>
      <c r="E99" s="46" t="s">
        <v>211</v>
      </c>
      <c r="F99" s="46" t="s">
        <v>215</v>
      </c>
      <c r="G99" s="46" t="s">
        <v>1802</v>
      </c>
      <c r="H99" s="46" t="s">
        <v>77</v>
      </c>
      <c r="I99" s="53">
        <v>46157</v>
      </c>
      <c r="J99" s="119">
        <v>3</v>
      </c>
      <c r="K99" s="46" t="s">
        <v>52</v>
      </c>
      <c r="L99" s="123">
        <f>VLOOKUP($C99&amp;$E99,'Updated SES'!A:N,14,0)</f>
        <v>55.459200000000003</v>
      </c>
      <c r="M99" s="124">
        <f>VLOOKUP($K99,'Genre Penetration'!A:B,2,0)*VLOOKUP($C99&amp;$E99,'Updated SES'!A:I,9,0)</f>
        <v>0.29399999999999998</v>
      </c>
      <c r="N99" s="124">
        <f>VLOOKUP(K:K,'Genre Penetration'!A:C,3,0)*VLOOKUP($C99&amp;$E99,'Updated SES'!A:J,10,0)</f>
        <v>0.20400000000000001</v>
      </c>
      <c r="O99" s="124">
        <f>VLOOKUP($B99,'Language Penetration'!$B$1:$BE$14,MATCH('Compile data Working'!$H99,'Language Penetration'!$B$1:$BE$1,0),0)</f>
        <v>0.26250000000000001</v>
      </c>
      <c r="P99" s="124" t="str">
        <f ca="1">IF(ISBLANK(J99),RANDBETWEEN(1,2)&amp;"%",IF(J99=1,RANDBETWEEN(35,40)&amp;"%",IF(J99=2,RANDBETWEEN(30,35)&amp;"%",IF(J99=3,RANDBETWEEN(25,30)&amp;"%",IF(J99=4,RANDBETWEEN(20,25)&amp;"%",IF(J99=5,RANDBETWEEN(15,20)&amp;"%",IF(J99=6,RANDBETWEEN(10,15)&amp;"%",IF(J99=7,RANDBETWEEN(8,10)&amp;"%",IF(J99=8,RANDBETWEEN(6,8)&amp;"%",IF(J99=9,RANDBETWEEN(4,6)&amp;"%",IF(J99=10,RANDBETWEEN(2,4)&amp;"%","")))))))))))</f>
        <v>28%</v>
      </c>
      <c r="Q99" s="123">
        <f ca="1">IFERROR(L99*(M99+N99)*O99*P99,RANDBETWEEN(1,2)%*L99*(M99+N99)*O99)</f>
        <v>2.0299730976000006</v>
      </c>
      <c r="R99" s="125">
        <f>VLOOKUP(D:D,ranking!W:X,2,0)</f>
        <v>0.6</v>
      </c>
      <c r="S99" s="126">
        <f ca="1">R99*Q99</f>
        <v>1.2179838585600002</v>
      </c>
      <c r="T99" s="123">
        <v>2.3831663016911158</v>
      </c>
    </row>
    <row r="100" spans="1:20" x14ac:dyDescent="0.25">
      <c r="A100" s="98" t="s">
        <v>1057</v>
      </c>
      <c r="B100" s="98" t="s">
        <v>85</v>
      </c>
      <c r="C100" s="98" t="s">
        <v>150</v>
      </c>
      <c r="D100" s="46" t="s">
        <v>859</v>
      </c>
      <c r="E100" s="98" t="s">
        <v>211</v>
      </c>
      <c r="F100" s="46" t="s">
        <v>213</v>
      </c>
      <c r="G100" s="46" t="s">
        <v>1840</v>
      </c>
      <c r="H100" s="98" t="s">
        <v>1841</v>
      </c>
      <c r="I100" s="53">
        <v>46178</v>
      </c>
      <c r="J100" s="119">
        <v>7</v>
      </c>
      <c r="K100" s="46" t="s">
        <v>216</v>
      </c>
      <c r="L100" s="123">
        <f>VLOOKUP($C100&amp;$E100,'Updated SES'!A:N,14,0)</f>
        <v>60.152000000000001</v>
      </c>
      <c r="M100" s="124">
        <f>VLOOKUP($K100,'Genre Penetration'!A:B,2,0)*VLOOKUP($C100&amp;$E100,'Updated SES'!A:I,9,0)</f>
        <v>0.32500000000000001</v>
      </c>
      <c r="N100" s="124">
        <f>VLOOKUP(K:K,'Genre Penetration'!A:C,3,0)*VLOOKUP($C100&amp;$E100,'Updated SES'!A:J,10,0)</f>
        <v>0.17499999999999999</v>
      </c>
      <c r="O100" s="124" t="e">
        <f>VLOOKUP($B100,'Language Penetration'!$B$1:$BE$14,MATCH('Compile data Working'!$H100,'Language Penetration'!$B$1:$BE$1,0),0)</f>
        <v>#N/A</v>
      </c>
      <c r="P100" s="124" t="str">
        <f ca="1">IF(ISBLANK(J100),RANDBETWEEN(1,2)&amp;"%",IF(J100=1,RANDBETWEEN(35,40)&amp;"%",IF(J100=2,RANDBETWEEN(30,35)&amp;"%",IF(J100=3,RANDBETWEEN(25,30)&amp;"%",IF(J100=4,RANDBETWEEN(20,25)&amp;"%",IF(J100=5,RANDBETWEEN(15,20)&amp;"%",IF(J100=6,RANDBETWEEN(10,15)&amp;"%",IF(J100=7,RANDBETWEEN(8,10)&amp;"%",IF(J100=8,RANDBETWEEN(6,8)&amp;"%",IF(J100=9,RANDBETWEEN(4,6)&amp;"%",IF(J100=10,RANDBETWEEN(2,4)&amp;"%","")))))))))))</f>
        <v>8%</v>
      </c>
      <c r="Q100" s="123" t="e">
        <f ca="1">IFERROR(L100*(M100+N100)*O100*P100,RANDBETWEEN(1,2)%*L100*(M100+N100)*O100)</f>
        <v>#N/A</v>
      </c>
      <c r="R100" s="125">
        <f>VLOOKUP(D:D,ranking!W:X,2,0)</f>
        <v>0.7</v>
      </c>
      <c r="S100" s="126" t="e">
        <f ca="1">R100*Q100</f>
        <v>#N/A</v>
      </c>
      <c r="T100" s="123">
        <v>2.1973998013642171</v>
      </c>
    </row>
    <row r="101" spans="1:20" x14ac:dyDescent="0.25">
      <c r="A101" s="98" t="s">
        <v>1057</v>
      </c>
      <c r="B101" s="98" t="s">
        <v>85</v>
      </c>
      <c r="C101" s="46" t="s">
        <v>1849</v>
      </c>
      <c r="D101" s="46" t="s">
        <v>1012</v>
      </c>
      <c r="E101" s="46" t="s">
        <v>211</v>
      </c>
      <c r="F101" s="46" t="s">
        <v>215</v>
      </c>
      <c r="G101" s="46" t="s">
        <v>1928</v>
      </c>
      <c r="H101" s="46" t="s">
        <v>19</v>
      </c>
      <c r="I101" s="53">
        <v>46136</v>
      </c>
      <c r="J101" s="119">
        <v>4</v>
      </c>
      <c r="K101" s="46" t="s">
        <v>87</v>
      </c>
      <c r="L101" s="123">
        <f>VLOOKUP($C101&amp;$E101,'Updated SES'!A:N,14,0)</f>
        <v>127.11702000000001</v>
      </c>
      <c r="M101" s="124">
        <f>VLOOKUP($K101,'Genre Penetration'!A:B,2,0)*VLOOKUP($C101&amp;$E101,'Updated SES'!A:I,9,0)</f>
        <v>0.40869999999999995</v>
      </c>
      <c r="N101" s="124">
        <f>VLOOKUP(K:K,'Genre Penetration'!A:C,3,0)*VLOOKUP($C101&amp;$E101,'Updated SES'!A:J,10,0)</f>
        <v>0.12869999999999998</v>
      </c>
      <c r="O101" s="124">
        <f>VLOOKUP($B101,'Language Penetration'!$B$1:$BE$14,MATCH('Compile data Working'!$H101,'Language Penetration'!$B$1:$BE$1,0),0)</f>
        <v>0.6</v>
      </c>
      <c r="P101" s="124" t="str">
        <f ca="1">IF(ISBLANK(J101),RANDBETWEEN(1,2)&amp;"%",IF(J101=1,RANDBETWEEN(35,40)&amp;"%",IF(J101=2,RANDBETWEEN(30,35)&amp;"%",IF(J101=3,RANDBETWEEN(25,30)&amp;"%",IF(J101=4,RANDBETWEEN(20,25)&amp;"%",IF(J101=5,RANDBETWEEN(15,20)&amp;"%",IF(J101=6,RANDBETWEEN(10,15)&amp;"%",IF(J101=7,RANDBETWEEN(8,10)&amp;"%",IF(J101=8,RANDBETWEEN(6,8)&amp;"%",IF(J101=9,RANDBETWEEN(4,6)&amp;"%",IF(J101=10,RANDBETWEEN(2,4)&amp;"%","")))))))))))</f>
        <v>21%</v>
      </c>
      <c r="Q101" s="123">
        <f ca="1">IFERROR(L101*(M101+N101)*O101*P101,RANDBETWEEN(1,2)%*L101*(M101+N101)*O101)</f>
        <v>8.607398505047998</v>
      </c>
      <c r="R101" s="125">
        <f>VLOOKUP(D:D,ranking!W:X,2,0)</f>
        <v>0.6</v>
      </c>
      <c r="S101" s="126">
        <f ca="1">R101*Q101</f>
        <v>5.1644391030287986</v>
      </c>
      <c r="T101" s="101">
        <v>2.0986062858758308</v>
      </c>
    </row>
    <row r="102" spans="1:20" x14ac:dyDescent="0.25">
      <c r="A102" s="98" t="s">
        <v>1057</v>
      </c>
      <c r="B102" s="98" t="s">
        <v>85</v>
      </c>
      <c r="C102" s="46" t="s">
        <v>1229</v>
      </c>
      <c r="D102" s="46" t="s">
        <v>433</v>
      </c>
      <c r="E102" s="46" t="s">
        <v>219</v>
      </c>
      <c r="F102" s="46" t="s">
        <v>215</v>
      </c>
      <c r="G102" s="46" t="s">
        <v>1804</v>
      </c>
      <c r="H102" s="46" t="s">
        <v>19</v>
      </c>
      <c r="I102" s="53">
        <v>46115</v>
      </c>
      <c r="J102" s="119">
        <v>6</v>
      </c>
      <c r="K102" s="46" t="s">
        <v>202</v>
      </c>
      <c r="L102" s="123">
        <f>VLOOKUP($C102&amp;$E102,'Updated SES'!A:N,14,0)</f>
        <v>78.939870000000013</v>
      </c>
      <c r="M102" s="124">
        <f>VLOOKUP($K102,'Genre Penetration'!A:B,2,0)*VLOOKUP($C102&amp;$E102,'Updated SES'!A:I,9,0)</f>
        <v>0.57599999999999996</v>
      </c>
      <c r="N102" s="124">
        <f>VLOOKUP(K:K,'Genre Penetration'!A:C,3,0)*VLOOKUP($C102&amp;$E102,'Updated SES'!A:J,10,0)</f>
        <v>5.6000000000000008E-2</v>
      </c>
      <c r="O102" s="124">
        <f>VLOOKUP($B102,'Language Penetration'!$B$1:$BE$14,MATCH('Compile data Working'!$H102,'Language Penetration'!$B$1:$BE$1,0),0)</f>
        <v>0.6</v>
      </c>
      <c r="P102" s="124" t="str">
        <f ca="1">IF(ISBLANK(J102),RANDBETWEEN(1,2)&amp;"%",IF(J102=1,RANDBETWEEN(35,40)&amp;"%",IF(J102=2,RANDBETWEEN(30,35)&amp;"%",IF(J102=3,RANDBETWEEN(25,30)&amp;"%",IF(J102=4,RANDBETWEEN(20,25)&amp;"%",IF(J102=5,RANDBETWEEN(15,20)&amp;"%",IF(J102=6,RANDBETWEEN(10,15)&amp;"%",IF(J102=7,RANDBETWEEN(8,10)&amp;"%",IF(J102=8,RANDBETWEEN(6,8)&amp;"%",IF(J102=9,RANDBETWEEN(4,6)&amp;"%",IF(J102=10,RANDBETWEEN(2,4)&amp;"%","")))))))))))</f>
        <v>11%</v>
      </c>
      <c r="Q102" s="123">
        <f ca="1">IFERROR(L102*(M102+N102)*O102*P102,RANDBETWEEN(1,2)%*L102*(M102+N102)*O102)</f>
        <v>3.2927398574400004</v>
      </c>
      <c r="R102" s="125">
        <f>VLOOKUP(D:D,ranking!W:X,2,0)</f>
        <v>0.6</v>
      </c>
      <c r="S102" s="126">
        <f ca="1">R102*Q102</f>
        <v>1.9756439144640001</v>
      </c>
      <c r="T102" s="123">
        <v>2.0941008905936198</v>
      </c>
    </row>
    <row r="103" spans="1:20" x14ac:dyDescent="0.25">
      <c r="A103" s="98" t="s">
        <v>1057</v>
      </c>
      <c r="B103" s="98" t="s">
        <v>85</v>
      </c>
      <c r="C103" s="98" t="s">
        <v>150</v>
      </c>
      <c r="D103" s="98" t="s">
        <v>432</v>
      </c>
      <c r="E103" s="98" t="s">
        <v>211</v>
      </c>
      <c r="F103" s="46" t="s">
        <v>213</v>
      </c>
      <c r="G103" s="98" t="s">
        <v>1791</v>
      </c>
      <c r="H103" s="98" t="s">
        <v>19</v>
      </c>
      <c r="I103" s="106">
        <v>46122</v>
      </c>
      <c r="J103" s="119">
        <v>9</v>
      </c>
      <c r="K103" s="98" t="s">
        <v>422</v>
      </c>
      <c r="L103" s="123">
        <f>VLOOKUP($C103&amp;$E103,'Updated SES'!A:N,14,0)</f>
        <v>60.152000000000001</v>
      </c>
      <c r="M103" s="124">
        <f>VLOOKUP($K103,'Genre Penetration'!A:B,2,0)*VLOOKUP($C103&amp;$E103,'Updated SES'!A:I,9,0)</f>
        <v>0.377</v>
      </c>
      <c r="N103" s="124">
        <f>VLOOKUP(K:K,'Genre Penetration'!A:C,3,0)*VLOOKUP($C103&amp;$E103,'Updated SES'!A:J,10,0)</f>
        <v>0.14699999999999999</v>
      </c>
      <c r="O103" s="124">
        <f>VLOOKUP($B103,'Language Penetration'!$B$1:$BE$14,MATCH('Compile data Working'!$H103,'Language Penetration'!$B$1:$BE$1,0),0)</f>
        <v>0.6</v>
      </c>
      <c r="P103" s="124" t="str">
        <f ca="1">IF(ISBLANK(J103),RANDBETWEEN(1,2)&amp;"%",IF(J103=1,RANDBETWEEN(35,40)&amp;"%",IF(J103=2,RANDBETWEEN(30,35)&amp;"%",IF(J103=3,RANDBETWEEN(25,30)&amp;"%",IF(J103=4,RANDBETWEEN(20,25)&amp;"%",IF(J103=5,RANDBETWEEN(15,20)&amp;"%",IF(J103=6,RANDBETWEEN(10,15)&amp;"%",IF(J103=7,RANDBETWEEN(8,10)&amp;"%",IF(J103=8,RANDBETWEEN(6,8)&amp;"%",IF(J103=9,RANDBETWEEN(4,6)&amp;"%",IF(J103=10,RANDBETWEEN(2,4)&amp;"%","")))))))))))</f>
        <v>6%</v>
      </c>
      <c r="Q103" s="123">
        <f ca="1">IFERROR(L103*(M103+N103)*O103*P103,RANDBETWEEN(1,2)%*L103*(M103+N103)*O103)</f>
        <v>1.134707328</v>
      </c>
      <c r="R103" s="125">
        <f>VLOOKUP(D:D,ranking!W:X,2,0)</f>
        <v>0.8</v>
      </c>
      <c r="S103" s="126">
        <f ca="1">R103*Q103</f>
        <v>0.90776586240000001</v>
      </c>
      <c r="T103" s="123">
        <v>2.0397469816085514</v>
      </c>
    </row>
    <row r="104" spans="1:20" x14ac:dyDescent="0.25">
      <c r="A104" s="98" t="s">
        <v>1057</v>
      </c>
      <c r="B104" s="98" t="s">
        <v>85</v>
      </c>
      <c r="C104" s="98" t="s">
        <v>150</v>
      </c>
      <c r="D104" s="46" t="s">
        <v>859</v>
      </c>
      <c r="E104" s="98" t="s">
        <v>211</v>
      </c>
      <c r="F104" s="46" t="s">
        <v>213</v>
      </c>
      <c r="G104" s="46" t="s">
        <v>1829</v>
      </c>
      <c r="H104" s="98" t="s">
        <v>29</v>
      </c>
      <c r="I104" s="53">
        <v>46171</v>
      </c>
      <c r="J104" s="119">
        <v>3</v>
      </c>
      <c r="K104" s="46" t="s">
        <v>138</v>
      </c>
      <c r="L104" s="123">
        <f>VLOOKUP($C104&amp;$E104,'Updated SES'!A:N,14,0)</f>
        <v>60.152000000000001</v>
      </c>
      <c r="M104" s="124">
        <f>VLOOKUP($K104,'Genre Penetration'!A:B,2,0)*VLOOKUP($C104&amp;$E104,'Updated SES'!A:I,9,0)</f>
        <v>0.30549999999999999</v>
      </c>
      <c r="N104" s="124">
        <f>VLOOKUP(K:K,'Genre Penetration'!A:C,3,0)*VLOOKUP($C104&amp;$E104,'Updated SES'!A:J,10,0)</f>
        <v>0.1855</v>
      </c>
      <c r="O104" s="124">
        <f>VLOOKUP($B104,'Language Penetration'!$B$1:$BE$14,MATCH('Compile data Working'!$H104,'Language Penetration'!$B$1:$BE$1,0),0)</f>
        <v>0.12</v>
      </c>
      <c r="P104" s="124" t="str">
        <f ca="1">IF(ISBLANK(J104),RANDBETWEEN(1,2)&amp;"%",IF(J104=1,RANDBETWEEN(35,40)&amp;"%",IF(J104=2,RANDBETWEEN(30,35)&amp;"%",IF(J104=3,RANDBETWEEN(25,30)&amp;"%",IF(J104=4,RANDBETWEEN(20,25)&amp;"%",IF(J104=5,RANDBETWEEN(15,20)&amp;"%",IF(J104=6,RANDBETWEEN(10,15)&amp;"%",IF(J104=7,RANDBETWEEN(8,10)&amp;"%",IF(J104=8,RANDBETWEEN(6,8)&amp;"%",IF(J104=9,RANDBETWEEN(4,6)&amp;"%",IF(J104=10,RANDBETWEEN(2,4)&amp;"%","")))))))))))</f>
        <v>28%</v>
      </c>
      <c r="Q104" s="123">
        <f ca="1">IFERROR(L104*(M104+N104)*O104*P104,RANDBETWEEN(1,2)%*L104*(M104+N104)*O104)</f>
        <v>0.99236363520000004</v>
      </c>
      <c r="R104" s="125">
        <f>VLOOKUP(D:D,ranking!W:X,2,0)</f>
        <v>0.7</v>
      </c>
      <c r="S104" s="126">
        <f ca="1">R104*Q104</f>
        <v>0.69465454463999998</v>
      </c>
      <c r="T104" s="123">
        <v>2.0281324429714784</v>
      </c>
    </row>
    <row r="105" spans="1:20" x14ac:dyDescent="0.25">
      <c r="A105" s="98" t="s">
        <v>1057</v>
      </c>
      <c r="B105" s="98" t="s">
        <v>85</v>
      </c>
      <c r="C105" s="98" t="s">
        <v>150</v>
      </c>
      <c r="D105" s="98" t="s">
        <v>431</v>
      </c>
      <c r="E105" s="98" t="s">
        <v>211</v>
      </c>
      <c r="F105" s="46" t="s">
        <v>215</v>
      </c>
      <c r="G105" s="98" t="s">
        <v>1815</v>
      </c>
      <c r="H105" s="120" t="s">
        <v>1757</v>
      </c>
      <c r="I105" s="106">
        <v>46142</v>
      </c>
      <c r="J105" s="119">
        <v>6</v>
      </c>
      <c r="K105" s="98" t="s">
        <v>275</v>
      </c>
      <c r="L105" s="123">
        <f>VLOOKUP($C105&amp;$E105,'Updated SES'!A:N,14,0)</f>
        <v>60.152000000000001</v>
      </c>
      <c r="M105" s="124">
        <f>VLOOKUP($K105,'Genre Penetration'!A:B,2,0)*VLOOKUP($C105&amp;$E105,'Updated SES'!A:I,9,0)</f>
        <v>0.35750000000000004</v>
      </c>
      <c r="N105" s="124">
        <f>VLOOKUP(K:K,'Genre Penetration'!A:C,3,0)*VLOOKUP($C105&amp;$E105,'Updated SES'!A:J,10,0)</f>
        <v>0.1575</v>
      </c>
      <c r="O105" s="124">
        <f>VLOOKUP($B105,'Language Penetration'!$B$1:$BE$14,MATCH('Compile data Working'!$H105,'Language Penetration'!$B$1:$BE$1,0),0)</f>
        <v>0.22999999999999998</v>
      </c>
      <c r="P105" s="124" t="str">
        <f ca="1">IF(ISBLANK(J105),RANDBETWEEN(1,2)&amp;"%",IF(J105=1,RANDBETWEEN(35,40)&amp;"%",IF(J105=2,RANDBETWEEN(30,35)&amp;"%",IF(J105=3,RANDBETWEEN(25,30)&amp;"%",IF(J105=4,RANDBETWEEN(20,25)&amp;"%",IF(J105=5,RANDBETWEEN(15,20)&amp;"%",IF(J105=6,RANDBETWEEN(10,15)&amp;"%",IF(J105=7,RANDBETWEEN(8,10)&amp;"%",IF(J105=8,RANDBETWEEN(6,8)&amp;"%",IF(J105=9,RANDBETWEEN(4,6)&amp;"%",IF(J105=10,RANDBETWEEN(2,4)&amp;"%","")))))))))))</f>
        <v>15%</v>
      </c>
      <c r="Q105" s="123">
        <f ca="1">IFERROR(L105*(M105+N105)*O105*P105,RANDBETWEEN(1,2)%*L105*(M105+N105)*O105)</f>
        <v>1.0687506599999999</v>
      </c>
      <c r="R105" s="125">
        <f>VLOOKUP(D:D,ranking!W:X,2,0)</f>
        <v>0.6</v>
      </c>
      <c r="S105" s="126">
        <f ca="1">R105*Q105</f>
        <v>0.64125039599999989</v>
      </c>
      <c r="T105" s="123">
        <v>1.7189805435420265</v>
      </c>
    </row>
    <row r="106" spans="1:20" x14ac:dyDescent="0.25">
      <c r="A106" s="98" t="s">
        <v>1057</v>
      </c>
      <c r="B106" s="98" t="s">
        <v>85</v>
      </c>
      <c r="C106" s="98" t="s">
        <v>150</v>
      </c>
      <c r="D106" s="98" t="s">
        <v>431</v>
      </c>
      <c r="E106" s="98" t="s">
        <v>211</v>
      </c>
      <c r="F106" s="46" t="s">
        <v>215</v>
      </c>
      <c r="G106" s="119" t="s">
        <v>1795</v>
      </c>
      <c r="H106" s="119" t="s">
        <v>40</v>
      </c>
      <c r="I106" s="121">
        <v>45513</v>
      </c>
      <c r="J106" s="119">
        <v>7</v>
      </c>
      <c r="K106" s="119" t="s">
        <v>173</v>
      </c>
      <c r="L106" s="123">
        <f>VLOOKUP($C106&amp;$E106,'Updated SES'!A:N,14,0)</f>
        <v>60.152000000000001</v>
      </c>
      <c r="M106" s="124">
        <f>VLOOKUP($K106,'Genre Penetration'!A:B,2,0)*VLOOKUP($C106&amp;$E106,'Updated SES'!A:I,9,0)</f>
        <v>0.35750000000000004</v>
      </c>
      <c r="N106" s="124">
        <f>VLOOKUP(K:K,'Genre Penetration'!A:C,3,0)*VLOOKUP($C106&amp;$E106,'Updated SES'!A:J,10,0)</f>
        <v>0.1575</v>
      </c>
      <c r="O106" s="124">
        <f>VLOOKUP($B106,'Language Penetration'!$B$1:$BE$14,MATCH('Compile data Working'!$H106,'Language Penetration'!$B$1:$BE$1,0),0)</f>
        <v>0.28333333333333333</v>
      </c>
      <c r="P106" s="124" t="str">
        <f ca="1">IF(ISBLANK(J106),RANDBETWEEN(1,2)&amp;"%",IF(J106=1,RANDBETWEEN(35,40)&amp;"%",IF(J106=2,RANDBETWEEN(30,35)&amp;"%",IF(J106=3,RANDBETWEEN(25,30)&amp;"%",IF(J106=4,RANDBETWEEN(20,25)&amp;"%",IF(J106=5,RANDBETWEEN(15,20)&amp;"%",IF(J106=6,RANDBETWEEN(10,15)&amp;"%",IF(J106=7,RANDBETWEEN(8,10)&amp;"%",IF(J106=8,RANDBETWEEN(6,8)&amp;"%",IF(J106=9,RANDBETWEEN(4,6)&amp;"%",IF(J106=10,RANDBETWEEN(2,4)&amp;"%","")))))))))))</f>
        <v>8%</v>
      </c>
      <c r="Q106" s="123">
        <f ca="1">IFERROR(L106*(M106+N106)*O106*P106,RANDBETWEEN(1,2)%*L106*(M106+N106)*O106)</f>
        <v>0.70217434666666667</v>
      </c>
      <c r="R106" s="125">
        <f>VLOOKUP(D:D,ranking!W:X,2,0)</f>
        <v>0.6</v>
      </c>
      <c r="S106" s="126">
        <f ca="1">R106*Q106</f>
        <v>0.42130460799999997</v>
      </c>
      <c r="T106" s="123">
        <v>1.4060371762226302</v>
      </c>
    </row>
    <row r="107" spans="1:20" x14ac:dyDescent="0.25">
      <c r="A107" s="98" t="s">
        <v>1057</v>
      </c>
      <c r="B107" s="98" t="s">
        <v>85</v>
      </c>
      <c r="C107" s="98" t="s">
        <v>150</v>
      </c>
      <c r="D107" s="46" t="s">
        <v>859</v>
      </c>
      <c r="E107" s="98" t="s">
        <v>211</v>
      </c>
      <c r="F107" s="46" t="s">
        <v>213</v>
      </c>
      <c r="G107" s="46" t="s">
        <v>1846</v>
      </c>
      <c r="H107" s="98" t="s">
        <v>25</v>
      </c>
      <c r="I107" s="53">
        <v>46150</v>
      </c>
      <c r="J107" s="119">
        <v>6</v>
      </c>
      <c r="K107" s="46" t="s">
        <v>216</v>
      </c>
      <c r="L107" s="123">
        <f>VLOOKUP($C107&amp;$E107,'Updated SES'!A:N,14,0)</f>
        <v>60.152000000000001</v>
      </c>
      <c r="M107" s="124">
        <f>VLOOKUP($K107,'Genre Penetration'!A:B,2,0)*VLOOKUP($C107&amp;$E107,'Updated SES'!A:I,9,0)</f>
        <v>0.32500000000000001</v>
      </c>
      <c r="N107" s="124">
        <f>VLOOKUP(K:K,'Genre Penetration'!A:C,3,0)*VLOOKUP($C107&amp;$E107,'Updated SES'!A:J,10,0)</f>
        <v>0.17499999999999999</v>
      </c>
      <c r="O107" s="124">
        <f>VLOOKUP($B107,'Language Penetration'!$B$1:$BE$14,MATCH('Compile data Working'!$H107,'Language Penetration'!$B$1:$BE$1,0),0)</f>
        <v>0.1</v>
      </c>
      <c r="P107" s="124" t="str">
        <f ca="1">IF(ISBLANK(J107),RANDBETWEEN(1,2)&amp;"%",IF(J107=1,RANDBETWEEN(35,40)&amp;"%",IF(J107=2,RANDBETWEEN(30,35)&amp;"%",IF(J107=3,RANDBETWEEN(25,30)&amp;"%",IF(J107=4,RANDBETWEEN(20,25)&amp;"%",IF(J107=5,RANDBETWEEN(15,20)&amp;"%",IF(J107=6,RANDBETWEEN(10,15)&amp;"%",IF(J107=7,RANDBETWEEN(8,10)&amp;"%",IF(J107=8,RANDBETWEEN(6,8)&amp;"%",IF(J107=9,RANDBETWEEN(4,6)&amp;"%",IF(J107=10,RANDBETWEEN(2,4)&amp;"%","")))))))))))</f>
        <v>13%</v>
      </c>
      <c r="Q107" s="123">
        <f ca="1">IFERROR(L107*(M107+N107)*O107*P107,RANDBETWEEN(1,2)%*L107*(M107+N107)*O107)</f>
        <v>0.390988</v>
      </c>
      <c r="R107" s="125">
        <f>VLOOKUP(D:D,ranking!W:X,2,0)</f>
        <v>0.7</v>
      </c>
      <c r="S107" s="126">
        <f ca="1">R107*Q107</f>
        <v>0.27369159999999998</v>
      </c>
      <c r="T107" s="123">
        <v>1.1729184619680002</v>
      </c>
    </row>
    <row r="108" spans="1:20" x14ac:dyDescent="0.25">
      <c r="A108" s="98" t="s">
        <v>1781</v>
      </c>
      <c r="B108" s="98" t="s">
        <v>85</v>
      </c>
      <c r="C108" s="46" t="s">
        <v>150</v>
      </c>
      <c r="D108" s="98" t="s">
        <v>456</v>
      </c>
      <c r="E108" s="98" t="s">
        <v>211</v>
      </c>
      <c r="F108" s="46" t="s">
        <v>1908</v>
      </c>
      <c r="G108" s="46" t="s">
        <v>1821</v>
      </c>
      <c r="H108" s="46" t="s">
        <v>29</v>
      </c>
      <c r="I108" s="129">
        <v>45803</v>
      </c>
      <c r="J108" s="98"/>
      <c r="K108" s="46" t="s">
        <v>216</v>
      </c>
      <c r="L108" s="123">
        <f>VLOOKUP($C108&amp;$E108,'Updated SES'!A:N,14,0)</f>
        <v>60.152000000000001</v>
      </c>
      <c r="M108" s="124">
        <f>VLOOKUP($K108,'Genre Penetration'!A:B,2,0)*VLOOKUP($C108&amp;$E108,'Updated SES'!A:I,9,0)</f>
        <v>0.32500000000000001</v>
      </c>
      <c r="N108" s="124">
        <f>VLOOKUP(K:K,'Genre Penetration'!A:C,3,0)*VLOOKUP($C108&amp;$E108,'Updated SES'!A:J,10,0)</f>
        <v>0.17499999999999999</v>
      </c>
      <c r="O108" s="124">
        <f>VLOOKUP($B108,'Language Penetration'!$B$1:$BE$14,MATCH('Compile data Working'!$H108,'Language Penetration'!$B$1:$BE$1,0),0)</f>
        <v>0.12</v>
      </c>
      <c r="P108" s="124" t="str">
        <f ca="1">IF(ISBLANK(J108),RANDBETWEEN(1,2)&amp;"%",IF(J108=1,RANDBETWEEN(35,40)&amp;"%",IF(J108=2,RANDBETWEEN(30,35)&amp;"%",IF(J108=3,RANDBETWEEN(25,30)&amp;"%",IF(J108=4,RANDBETWEEN(20,25)&amp;"%",IF(J108=5,RANDBETWEEN(15,20)&amp;"%",IF(J108=6,RANDBETWEEN(10,15)&amp;"%",IF(J108=7,RANDBETWEEN(8,10)&amp;"%",IF(J108=8,RANDBETWEEN(6,8)&amp;"%",IF(J108=9,RANDBETWEEN(4,6)&amp;"%",IF(J108=10,RANDBETWEEN(2,4)&amp;"%","")))))))))))</f>
        <v>1%</v>
      </c>
      <c r="Q108" s="123">
        <f ca="1">IFERROR(L108*(M108+N108)*O108*P108,RANDBETWEEN(1,2)%*L108*(M108+N108)*O108)</f>
        <v>3.6091199999999997E-2</v>
      </c>
      <c r="R108" s="125">
        <f>VLOOKUP(D:D,ranking!W:X,2,0)</f>
        <v>0.3</v>
      </c>
      <c r="S108" s="126">
        <f ca="1">R108*Q108</f>
        <v>1.0827359999999999E-2</v>
      </c>
      <c r="T108" s="123">
        <v>0.87978370922918747</v>
      </c>
    </row>
    <row r="109" spans="1:20" x14ac:dyDescent="0.25">
      <c r="A109" s="98" t="s">
        <v>1781</v>
      </c>
      <c r="B109" s="98" t="s">
        <v>85</v>
      </c>
      <c r="C109" s="46" t="s">
        <v>879</v>
      </c>
      <c r="D109" s="46" t="s">
        <v>1798</v>
      </c>
      <c r="E109" s="46" t="s">
        <v>219</v>
      </c>
      <c r="F109" s="46" t="s">
        <v>215</v>
      </c>
      <c r="G109" s="46" t="s">
        <v>1824</v>
      </c>
      <c r="H109" s="46" t="s">
        <v>19</v>
      </c>
      <c r="I109" s="46">
        <v>44868</v>
      </c>
      <c r="J109" s="46"/>
      <c r="K109" s="46" t="s">
        <v>172</v>
      </c>
      <c r="L109" s="123">
        <f>VLOOKUP($C109&amp;$E109,'Updated SES'!A:N,14,0)</f>
        <v>78.939870000000013</v>
      </c>
      <c r="M109" s="124">
        <f>VLOOKUP($K109,'Genre Penetration'!A:B,2,0)*VLOOKUP($C109&amp;$E109,'Updated SES'!A:I,9,0)</f>
        <v>0.32000000000000006</v>
      </c>
      <c r="N109" s="124">
        <f>VLOOKUP(K:K,'Genre Penetration'!A:C,3,0)*VLOOKUP($C109&amp;$E109,'Updated SES'!A:J,10,0)</f>
        <v>0.12</v>
      </c>
      <c r="O109" s="124">
        <f>VLOOKUP($B109,'Language Penetration'!$B$1:$BE$14,MATCH('Compile data Working'!$H109,'Language Penetration'!$B$1:$BE$1,0),0)</f>
        <v>0.6</v>
      </c>
      <c r="P109" s="124" t="str">
        <f ca="1">IF(ISBLANK(J109),RANDBETWEEN(1,2)&amp;"%",IF(J109=1,RANDBETWEEN(35,40)&amp;"%",IF(J109=2,RANDBETWEEN(30,35)&amp;"%",IF(J109=3,RANDBETWEEN(25,30)&amp;"%",IF(J109=4,RANDBETWEEN(20,25)&amp;"%",IF(J109=5,RANDBETWEEN(15,20)&amp;"%",IF(J109=6,RANDBETWEEN(10,15)&amp;"%",IF(J109=7,RANDBETWEEN(8,10)&amp;"%",IF(J109=8,RANDBETWEEN(6,8)&amp;"%",IF(J109=9,RANDBETWEEN(4,6)&amp;"%",IF(J109=10,RANDBETWEEN(2,4)&amp;"%","")))))))))))</f>
        <v>2%</v>
      </c>
      <c r="Q109" s="123">
        <f ca="1">IFERROR(L109*(M109+N109)*O109*P109,RANDBETWEEN(1,2)%*L109*(M109+N109)*O109)</f>
        <v>0.41680251360000009</v>
      </c>
      <c r="R109" s="125">
        <f>VLOOKUP(D:D,ranking!W:X,2,0)</f>
        <v>0.6</v>
      </c>
      <c r="S109" s="126">
        <f ca="1">R109*Q109</f>
        <v>0.25008150816000002</v>
      </c>
      <c r="T109" s="123">
        <v>0.83945806450300875</v>
      </c>
    </row>
    <row r="110" spans="1:20" x14ac:dyDescent="0.25">
      <c r="A110" s="98" t="s">
        <v>1057</v>
      </c>
      <c r="B110" s="98" t="s">
        <v>85</v>
      </c>
      <c r="C110" s="46" t="s">
        <v>1229</v>
      </c>
      <c r="D110" s="46" t="s">
        <v>433</v>
      </c>
      <c r="E110" s="46" t="s">
        <v>219</v>
      </c>
      <c r="F110" s="46" t="s">
        <v>215</v>
      </c>
      <c r="G110" s="53" t="s">
        <v>1805</v>
      </c>
      <c r="H110" s="46" t="s">
        <v>19</v>
      </c>
      <c r="I110" s="53">
        <v>46108</v>
      </c>
      <c r="J110" s="119">
        <v>7</v>
      </c>
      <c r="K110" s="46" t="s">
        <v>910</v>
      </c>
      <c r="L110" s="123">
        <f>VLOOKUP($C110&amp;$E110,'Updated SES'!A:N,14,0)</f>
        <v>78.939870000000013</v>
      </c>
      <c r="M110" s="124">
        <f>VLOOKUP($K110,'Genre Penetration'!A:B,2,0)*VLOOKUP($C110&amp;$E110,'Updated SES'!A:I,9,0)</f>
        <v>0.4</v>
      </c>
      <c r="N110" s="124">
        <f>VLOOKUP(K:K,'Genre Penetration'!A:C,3,0)*VLOOKUP($C110&amp;$E110,'Updated SES'!A:J,10,0)</f>
        <v>0.1</v>
      </c>
      <c r="O110" s="124">
        <f>VLOOKUP($B110,'Language Penetration'!$B$1:$BE$14,MATCH('Compile data Working'!$H110,'Language Penetration'!$B$1:$BE$1,0),0)</f>
        <v>0.6</v>
      </c>
      <c r="P110" s="124" t="str">
        <f ca="1">IF(ISBLANK(J110),RANDBETWEEN(1,2)&amp;"%",IF(J110=1,RANDBETWEEN(35,40)&amp;"%",IF(J110=2,RANDBETWEEN(30,35)&amp;"%",IF(J110=3,RANDBETWEEN(25,30)&amp;"%",IF(J110=4,RANDBETWEEN(20,25)&amp;"%",IF(J110=5,RANDBETWEEN(15,20)&amp;"%",IF(J110=6,RANDBETWEEN(10,15)&amp;"%",IF(J110=7,RANDBETWEEN(8,10)&amp;"%",IF(J110=8,RANDBETWEEN(6,8)&amp;"%",IF(J110=9,RANDBETWEEN(4,6)&amp;"%",IF(J110=10,RANDBETWEEN(2,4)&amp;"%","")))))))))))</f>
        <v>9%</v>
      </c>
      <c r="Q110" s="123">
        <f ca="1">IFERROR(L110*(M110+N110)*O110*P110,RANDBETWEEN(1,2)%*L110*(M110+N110)*O110)</f>
        <v>2.1313764900000005</v>
      </c>
      <c r="R110" s="125">
        <f>VLOOKUP(D:D,ranking!W:X,2,0)</f>
        <v>0.6</v>
      </c>
      <c r="S110" s="126">
        <f ca="1">R110*Q110</f>
        <v>1.2788258940000004</v>
      </c>
      <c r="T110" s="123">
        <v>0.79764452814344633</v>
      </c>
    </row>
    <row r="111" spans="1:20" x14ac:dyDescent="0.25">
      <c r="A111" s="98" t="s">
        <v>1861</v>
      </c>
      <c r="B111" s="98" t="s">
        <v>85</v>
      </c>
      <c r="C111" s="46" t="s">
        <v>49</v>
      </c>
      <c r="D111" s="46" t="s">
        <v>859</v>
      </c>
      <c r="E111" s="46" t="s">
        <v>211</v>
      </c>
      <c r="F111" s="46" t="s">
        <v>213</v>
      </c>
      <c r="G111" s="53" t="s">
        <v>1876</v>
      </c>
      <c r="H111" s="46" t="s">
        <v>23</v>
      </c>
      <c r="I111" s="53">
        <v>46190</v>
      </c>
      <c r="J111" s="98"/>
      <c r="K111" s="46" t="s">
        <v>176</v>
      </c>
      <c r="L111" s="123">
        <f>VLOOKUP($C111&amp;$E111,'Updated SES'!A:N,14,0)</f>
        <v>12.626640000000002</v>
      </c>
      <c r="M111" s="124">
        <f>VLOOKUP($K111,'Genre Penetration'!A:B,2,0)*VLOOKUP($C111&amp;$E111,'Updated SES'!A:I,9,0)</f>
        <v>0.47120000000000001</v>
      </c>
      <c r="N111" s="124">
        <f>VLOOKUP(K:K,'Genre Penetration'!A:C,3,0)*VLOOKUP($C111&amp;$E111,'Updated SES'!A:J,10,0)</f>
        <v>9.1200000000000003E-2</v>
      </c>
      <c r="O111" s="124">
        <f>VLOOKUP($B111,'Language Penetration'!$B$1:$BE$14,MATCH('Compile data Working'!$H111,'Language Penetration'!$B$1:$BE$1,0),0)</f>
        <v>0.15</v>
      </c>
      <c r="P111" s="124" t="str">
        <f ca="1">IF(ISBLANK(J111),RANDBETWEEN(1,2)&amp;"%",IF(J111=1,RANDBETWEEN(35,40)&amp;"%",IF(J111=2,RANDBETWEEN(30,35)&amp;"%",IF(J111=3,RANDBETWEEN(25,30)&amp;"%",IF(J111=4,RANDBETWEEN(20,25)&amp;"%",IF(J111=5,RANDBETWEEN(15,20)&amp;"%",IF(J111=6,RANDBETWEEN(10,15)&amp;"%",IF(J111=7,RANDBETWEEN(8,10)&amp;"%",IF(J111=8,RANDBETWEEN(6,8)&amp;"%",IF(J111=9,RANDBETWEEN(4,6)&amp;"%",IF(J111=10,RANDBETWEEN(2,4)&amp;"%","")))))))))))</f>
        <v>1%</v>
      </c>
      <c r="Q111" s="123">
        <f ca="1">IFERROR(L111*(M111+N111)*O111*P111,RANDBETWEEN(1,2)%*L111*(M111+N111)*O111)</f>
        <v>1.0651833504000001E-2</v>
      </c>
      <c r="R111" s="125">
        <f>VLOOKUP(D:D,ranking!W:X,2,0)</f>
        <v>0.7</v>
      </c>
      <c r="S111" s="126">
        <f ca="1">R111*Q111</f>
        <v>7.4562834527999999E-3</v>
      </c>
      <c r="T111" s="123">
        <v>0.65615294384639999</v>
      </c>
    </row>
    <row r="112" spans="1:20" x14ac:dyDescent="0.25">
      <c r="A112" s="98" t="s">
        <v>1057</v>
      </c>
      <c r="B112" s="98" t="s">
        <v>85</v>
      </c>
      <c r="C112" s="46" t="s">
        <v>1229</v>
      </c>
      <c r="D112" s="46" t="s">
        <v>433</v>
      </c>
      <c r="E112" s="46" t="s">
        <v>219</v>
      </c>
      <c r="F112" s="46" t="s">
        <v>215</v>
      </c>
      <c r="G112" s="46" t="s">
        <v>1806</v>
      </c>
      <c r="H112" s="46" t="s">
        <v>19</v>
      </c>
      <c r="I112" s="53">
        <v>46092</v>
      </c>
      <c r="J112" s="119">
        <v>9</v>
      </c>
      <c r="K112" s="46" t="s">
        <v>173</v>
      </c>
      <c r="L112" s="123">
        <f>VLOOKUP($C112&amp;$E112,'Updated SES'!A:N,14,0)</f>
        <v>78.939870000000013</v>
      </c>
      <c r="M112" s="124">
        <f>VLOOKUP($K112,'Genre Penetration'!A:B,2,0)*VLOOKUP($C112&amp;$E112,'Updated SES'!A:I,9,0)</f>
        <v>0.44000000000000006</v>
      </c>
      <c r="N112" s="124">
        <f>VLOOKUP(K:K,'Genre Penetration'!A:C,3,0)*VLOOKUP($C112&amp;$E112,'Updated SES'!A:J,10,0)</f>
        <v>9.0000000000000011E-2</v>
      </c>
      <c r="O112" s="124">
        <f>VLOOKUP($B112,'Language Penetration'!$B$1:$BE$14,MATCH('Compile data Working'!$H112,'Language Penetration'!$B$1:$BE$1,0),0)</f>
        <v>0.6</v>
      </c>
      <c r="P112" s="124" t="str">
        <f ca="1">IF(ISBLANK(J112),RANDBETWEEN(1,2)&amp;"%",IF(J112=1,RANDBETWEEN(35,40)&amp;"%",IF(J112=2,RANDBETWEEN(30,35)&amp;"%",IF(J112=3,RANDBETWEEN(25,30)&amp;"%",IF(J112=4,RANDBETWEEN(20,25)&amp;"%",IF(J112=5,RANDBETWEEN(15,20)&amp;"%",IF(J112=6,RANDBETWEEN(10,15)&amp;"%",IF(J112=7,RANDBETWEEN(8,10)&amp;"%",IF(J112=8,RANDBETWEEN(6,8)&amp;"%",IF(J112=9,RANDBETWEEN(4,6)&amp;"%",IF(J112=10,RANDBETWEEN(2,4)&amp;"%","")))))))))))</f>
        <v>4%</v>
      </c>
      <c r="Q112" s="123">
        <f ca="1">IFERROR(L112*(M112+N112)*O112*P112,RANDBETWEEN(1,2)%*L112*(M112+N112)*O112)</f>
        <v>1.0041151464000002</v>
      </c>
      <c r="R112" s="125">
        <f>VLOOKUP(D:D,ranking!W:X,2,0)</f>
        <v>0.6</v>
      </c>
      <c r="S112" s="126">
        <f ca="1">R112*Q112</f>
        <v>0.60246908784000008</v>
      </c>
      <c r="T112" s="123">
        <v>0.64831181289886564</v>
      </c>
    </row>
    <row r="113" spans="1:20" x14ac:dyDescent="0.25">
      <c r="A113" s="98" t="s">
        <v>1057</v>
      </c>
      <c r="B113" s="98" t="s">
        <v>85</v>
      </c>
      <c r="C113" s="98" t="s">
        <v>150</v>
      </c>
      <c r="D113" s="46" t="s">
        <v>859</v>
      </c>
      <c r="E113" s="98" t="s">
        <v>211</v>
      </c>
      <c r="F113" s="46" t="s">
        <v>213</v>
      </c>
      <c r="G113" s="98" t="s">
        <v>1812</v>
      </c>
      <c r="H113" s="98" t="s">
        <v>19</v>
      </c>
      <c r="I113" s="106">
        <v>46129</v>
      </c>
      <c r="J113" s="119">
        <v>5</v>
      </c>
      <c r="K113" s="98" t="s">
        <v>202</v>
      </c>
      <c r="L113" s="123">
        <f>VLOOKUP($C113&amp;$E113,'Updated SES'!A:N,14,0)</f>
        <v>60.152000000000001</v>
      </c>
      <c r="M113" s="124">
        <f>VLOOKUP($K113,'Genre Penetration'!A:B,2,0)*VLOOKUP($C113&amp;$E113,'Updated SES'!A:I,9,0)</f>
        <v>0.46799999999999997</v>
      </c>
      <c r="N113" s="124">
        <f>VLOOKUP(K:K,'Genre Penetration'!A:C,3,0)*VLOOKUP($C113&amp;$E113,'Updated SES'!A:J,10,0)</f>
        <v>9.8000000000000004E-2</v>
      </c>
      <c r="O113" s="124">
        <f>VLOOKUP($B113,'Language Penetration'!$B$1:$BE$14,MATCH('Compile data Working'!$H113,'Language Penetration'!$B$1:$BE$1,0),0)</f>
        <v>0.6</v>
      </c>
      <c r="P113" s="124" t="str">
        <f ca="1">IF(ISBLANK(J113),RANDBETWEEN(1,2)&amp;"%",IF(J113=1,RANDBETWEEN(35,40)&amp;"%",IF(J113=2,RANDBETWEEN(30,35)&amp;"%",IF(J113=3,RANDBETWEEN(25,30)&amp;"%",IF(J113=4,RANDBETWEEN(20,25)&amp;"%",IF(J113=5,RANDBETWEEN(15,20)&amp;"%",IF(J113=6,RANDBETWEEN(10,15)&amp;"%",IF(J113=7,RANDBETWEEN(8,10)&amp;"%",IF(J113=8,RANDBETWEEN(6,8)&amp;"%",IF(J113=9,RANDBETWEEN(4,6)&amp;"%",IF(J113=10,RANDBETWEEN(2,4)&amp;"%","")))))))))))</f>
        <v>19%</v>
      </c>
      <c r="Q113" s="123">
        <f ca="1">IFERROR(L113*(M113+N113)*O113*P113,RANDBETWEEN(1,2)%*L113*(M113+N113)*O113)</f>
        <v>3.881247648</v>
      </c>
      <c r="R113" s="125">
        <f>VLOOKUP(D:D,ranking!W:X,2,0)</f>
        <v>0.7</v>
      </c>
      <c r="S113" s="126">
        <f ca="1">R113*Q113</f>
        <v>2.7168733536</v>
      </c>
      <c r="T113" s="123">
        <v>0.63494119733973353</v>
      </c>
    </row>
    <row r="114" spans="1:20" x14ac:dyDescent="0.25">
      <c r="A114" s="98" t="s">
        <v>1781</v>
      </c>
      <c r="B114" s="98" t="s">
        <v>85</v>
      </c>
      <c r="C114" s="46" t="s">
        <v>123</v>
      </c>
      <c r="D114" s="46" t="s">
        <v>859</v>
      </c>
      <c r="E114" s="119" t="s">
        <v>211</v>
      </c>
      <c r="F114" s="46" t="s">
        <v>213</v>
      </c>
      <c r="G114" s="46" t="s">
        <v>1820</v>
      </c>
      <c r="H114" s="46" t="s">
        <v>19</v>
      </c>
      <c r="I114" s="129">
        <v>46108</v>
      </c>
      <c r="J114" s="119"/>
      <c r="K114" s="46" t="s">
        <v>92</v>
      </c>
      <c r="L114" s="123">
        <f>VLOOKUP($C114&amp;$E114,'Updated SES'!A:N,14,0)</f>
        <v>55.459200000000003</v>
      </c>
      <c r="M114" s="124">
        <f>VLOOKUP($K114,'Genre Penetration'!A:B,2,0)*VLOOKUP($C114&amp;$E114,'Updated SES'!A:I,9,0)</f>
        <v>0.25969999999999999</v>
      </c>
      <c r="N114" s="124">
        <f>VLOOKUP(K:K,'Genre Penetration'!A:C,3,0)*VLOOKUP($C114&amp;$E114,'Updated SES'!A:J,10,0)</f>
        <v>0.2397</v>
      </c>
      <c r="O114" s="124">
        <f>VLOOKUP($B114,'Language Penetration'!$B$1:$BE$14,MATCH('Compile data Working'!$H114,'Language Penetration'!$B$1:$BE$1,0),0)</f>
        <v>0.6</v>
      </c>
      <c r="P114" s="124" t="str">
        <f ca="1">IF(ISBLANK(J114),RANDBETWEEN(1,2)&amp;"%",IF(J114=1,RANDBETWEEN(35,40)&amp;"%",IF(J114=2,RANDBETWEEN(30,35)&amp;"%",IF(J114=3,RANDBETWEEN(25,30)&amp;"%",IF(J114=4,RANDBETWEEN(20,25)&amp;"%",IF(J114=5,RANDBETWEEN(15,20)&amp;"%",IF(J114=6,RANDBETWEEN(10,15)&amp;"%",IF(J114=7,RANDBETWEEN(8,10)&amp;"%",IF(J114=8,RANDBETWEEN(6,8)&amp;"%",IF(J114=9,RANDBETWEEN(4,6)&amp;"%",IF(J114=10,RANDBETWEEN(2,4)&amp;"%","")))))))))))</f>
        <v>1%</v>
      </c>
      <c r="Q114" s="123">
        <f ca="1">IFERROR(L114*(M114+N114)*O114*P114,RANDBETWEEN(1,2)%*L114*(M114+N114)*O114)</f>
        <v>0.16617794687999995</v>
      </c>
      <c r="R114" s="125">
        <f>VLOOKUP(D:D,ranking!W:X,2,0)</f>
        <v>0.7</v>
      </c>
      <c r="S114" s="126">
        <f ca="1">R114*Q114</f>
        <v>0.11632456281599995</v>
      </c>
      <c r="T114" s="123">
        <v>0.51025983104082429</v>
      </c>
    </row>
    <row r="115" spans="1:20" x14ac:dyDescent="0.25">
      <c r="A115" s="98" t="s">
        <v>1781</v>
      </c>
      <c r="B115" s="98" t="s">
        <v>85</v>
      </c>
      <c r="C115" s="46" t="s">
        <v>1849</v>
      </c>
      <c r="D115" s="46" t="s">
        <v>1012</v>
      </c>
      <c r="E115" s="119" t="s">
        <v>211</v>
      </c>
      <c r="F115" s="46" t="s">
        <v>215</v>
      </c>
      <c r="G115" s="46" t="s">
        <v>1788</v>
      </c>
      <c r="H115" s="46" t="s">
        <v>29</v>
      </c>
      <c r="I115" s="129">
        <v>44900</v>
      </c>
      <c r="J115" s="46"/>
      <c r="K115" s="46" t="s">
        <v>84</v>
      </c>
      <c r="L115" s="123">
        <f>VLOOKUP($C115&amp;$E115,'Updated SES'!A:N,14,0)</f>
        <v>127.11702000000001</v>
      </c>
      <c r="M115" s="124">
        <f>VLOOKUP($K115,'Genre Penetration'!A:B,2,0)*VLOOKUP($C115&amp;$E115,'Updated SES'!A:I,9,0)</f>
        <v>0.42879999999999996</v>
      </c>
      <c r="N115" s="124">
        <f>VLOOKUP(K:K,'Genre Penetration'!A:C,3,0)*VLOOKUP($C115&amp;$E115,'Updated SES'!A:J,10,0)</f>
        <v>0.11879999999999998</v>
      </c>
      <c r="O115" s="124">
        <f>VLOOKUP($B115,'Language Penetration'!$B$1:$BE$14,MATCH('Compile data Working'!$H115,'Language Penetration'!$B$1:$BE$1,0),0)</f>
        <v>0.12</v>
      </c>
      <c r="P115" s="124" t="str">
        <f ca="1">IF(ISBLANK(J115),RANDBETWEEN(1,2)&amp;"%",IF(J115=1,RANDBETWEEN(35,40)&amp;"%",IF(J115=2,RANDBETWEEN(30,35)&amp;"%",IF(J115=3,RANDBETWEEN(25,30)&amp;"%",IF(J115=4,RANDBETWEEN(20,25)&amp;"%",IF(J115=5,RANDBETWEEN(15,20)&amp;"%",IF(J115=6,RANDBETWEEN(10,15)&amp;"%",IF(J115=7,RANDBETWEEN(8,10)&amp;"%",IF(J115=8,RANDBETWEEN(6,8)&amp;"%",IF(J115=9,RANDBETWEEN(4,6)&amp;"%",IF(J115=10,RANDBETWEEN(2,4)&amp;"%","")))))))))))</f>
        <v>2%</v>
      </c>
      <c r="Q115" s="123">
        <f ca="1">IFERROR(L115*(M115+N115)*O115*P115,RANDBETWEEN(1,2)%*L115*(M115+N115)*O115)</f>
        <v>0.16706227236480001</v>
      </c>
      <c r="R115" s="125">
        <f>VLOOKUP(D:D,ranking!W:X,2,0)</f>
        <v>0.6</v>
      </c>
      <c r="S115" s="126">
        <f ca="1">R115*Q115</f>
        <v>0.10023736341888</v>
      </c>
      <c r="T115" s="123">
        <v>0.49158051262330255</v>
      </c>
    </row>
    <row r="116" spans="1:20" x14ac:dyDescent="0.25">
      <c r="A116" s="98" t="s">
        <v>1057</v>
      </c>
      <c r="B116" s="98" t="s">
        <v>85</v>
      </c>
      <c r="C116" s="98" t="s">
        <v>150</v>
      </c>
      <c r="D116" s="46" t="s">
        <v>859</v>
      </c>
      <c r="E116" s="98" t="s">
        <v>211</v>
      </c>
      <c r="F116" s="46" t="s">
        <v>213</v>
      </c>
      <c r="G116" s="98" t="s">
        <v>1811</v>
      </c>
      <c r="H116" s="98" t="s">
        <v>1058</v>
      </c>
      <c r="I116" s="106">
        <v>46143</v>
      </c>
      <c r="J116" s="119">
        <v>4</v>
      </c>
      <c r="K116" s="98" t="s">
        <v>170</v>
      </c>
      <c r="L116" s="123">
        <f>VLOOKUP($C116&amp;$E116,'Updated SES'!A:N,14,0)</f>
        <v>60.152000000000001</v>
      </c>
      <c r="M116" s="124">
        <f>VLOOKUP($K116,'Genre Penetration'!A:B,2,0)*VLOOKUP($C116&amp;$E116,'Updated SES'!A:I,9,0)</f>
        <v>0.377</v>
      </c>
      <c r="N116" s="124">
        <f>VLOOKUP(K:K,'Genre Penetration'!A:C,3,0)*VLOOKUP($C116&amp;$E116,'Updated SES'!A:J,10,0)</f>
        <v>0.14699999999999999</v>
      </c>
      <c r="O116" s="124">
        <f>VLOOKUP($B116,'Language Penetration'!$B$1:$BE$14,MATCH('Compile data Working'!$H116,'Language Penetration'!$B$1:$BE$1,0),0)</f>
        <v>0.20400000000000001</v>
      </c>
      <c r="P116" s="124" t="str">
        <f ca="1">IF(ISBLANK(J116),RANDBETWEEN(1,2)&amp;"%",IF(J116=1,RANDBETWEEN(35,40)&amp;"%",IF(J116=2,RANDBETWEEN(30,35)&amp;"%",IF(J116=3,RANDBETWEEN(25,30)&amp;"%",IF(J116=4,RANDBETWEEN(20,25)&amp;"%",IF(J116=5,RANDBETWEEN(15,20)&amp;"%",IF(J116=6,RANDBETWEEN(10,15)&amp;"%",IF(J116=7,RANDBETWEEN(8,10)&amp;"%",IF(J116=8,RANDBETWEEN(6,8)&amp;"%",IF(J116=9,RANDBETWEEN(4,6)&amp;"%",IF(J116=10,RANDBETWEEN(2,4)&amp;"%","")))))))))))</f>
        <v>25%</v>
      </c>
      <c r="Q116" s="123">
        <f ca="1">IFERROR(L116*(M116+N116)*O116*P116,RANDBETWEEN(1,2)%*L116*(M116+N116)*O116)</f>
        <v>1.6075020480000002</v>
      </c>
      <c r="R116" s="125">
        <f>VLOOKUP(D:D,ranking!W:X,2,0)</f>
        <v>0.7</v>
      </c>
      <c r="S116" s="126">
        <f ca="1">R116*Q116</f>
        <v>1.1252514336000001</v>
      </c>
      <c r="T116" s="123">
        <v>0.48641914212131648</v>
      </c>
    </row>
    <row r="117" spans="1:20" x14ac:dyDescent="0.25">
      <c r="A117" s="98" t="s">
        <v>1781</v>
      </c>
      <c r="B117" s="98" t="s">
        <v>85</v>
      </c>
      <c r="C117" s="46" t="s">
        <v>1849</v>
      </c>
      <c r="D117" s="46" t="s">
        <v>1012</v>
      </c>
      <c r="E117" s="98" t="s">
        <v>211</v>
      </c>
      <c r="F117" s="46" t="s">
        <v>215</v>
      </c>
      <c r="G117" s="46" t="s">
        <v>1789</v>
      </c>
      <c r="H117" s="46" t="s">
        <v>19</v>
      </c>
      <c r="I117" s="129">
        <v>46087</v>
      </c>
      <c r="J117" s="119"/>
      <c r="K117" s="46" t="s">
        <v>103</v>
      </c>
      <c r="L117" s="123">
        <f>VLOOKUP($C117&amp;$E117,'Updated SES'!A:N,14,0)</f>
        <v>127.11702000000001</v>
      </c>
      <c r="M117" s="124">
        <f>VLOOKUP($K117,'Genre Penetration'!A:B,2,0)*VLOOKUP($C117&amp;$E117,'Updated SES'!A:I,9,0)</f>
        <v>0.4756999999999999</v>
      </c>
      <c r="N117" s="124">
        <f>VLOOKUP(K:K,'Genre Penetration'!A:C,3,0)*VLOOKUP($C117&amp;$E117,'Updated SES'!A:J,10,0)</f>
        <v>9.569999999999998E-2</v>
      </c>
      <c r="O117" s="124">
        <f>VLOOKUP($B117,'Language Penetration'!$B$1:$BE$14,MATCH('Compile data Working'!$H117,'Language Penetration'!$B$1:$BE$1,0),0)</f>
        <v>0.6</v>
      </c>
      <c r="P117" s="124" t="str">
        <f ca="1">IF(ISBLANK(J117),RANDBETWEEN(1,2)&amp;"%",IF(J117=1,RANDBETWEEN(35,40)&amp;"%",IF(J117=2,RANDBETWEEN(30,35)&amp;"%",IF(J117=3,RANDBETWEEN(25,30)&amp;"%",IF(J117=4,RANDBETWEEN(20,25)&amp;"%",IF(J117=5,RANDBETWEEN(15,20)&amp;"%",IF(J117=6,RANDBETWEEN(10,15)&amp;"%",IF(J117=7,RANDBETWEEN(8,10)&amp;"%",IF(J117=8,RANDBETWEEN(6,8)&amp;"%",IF(J117=9,RANDBETWEEN(4,6)&amp;"%",IF(J117=10,RANDBETWEEN(2,4)&amp;"%","")))))))))))</f>
        <v>2%</v>
      </c>
      <c r="Q117" s="123">
        <f ca="1">IFERROR(L117*(M117+N117)*O117*P117,RANDBETWEEN(1,2)%*L117*(M117+N117)*O117)</f>
        <v>0.87161598273599983</v>
      </c>
      <c r="R117" s="125">
        <f>VLOOKUP(D:D,ranking!W:X,2,0)</f>
        <v>0.6</v>
      </c>
      <c r="S117" s="126">
        <f ca="1">R117*Q117</f>
        <v>0.5229695896415999</v>
      </c>
      <c r="T117" s="123">
        <v>0.48514858944875466</v>
      </c>
    </row>
    <row r="118" spans="1:20" x14ac:dyDescent="0.25">
      <c r="A118" s="98" t="s">
        <v>1057</v>
      </c>
      <c r="B118" s="98" t="s">
        <v>85</v>
      </c>
      <c r="C118" s="98" t="s">
        <v>150</v>
      </c>
      <c r="D118" s="98" t="s">
        <v>431</v>
      </c>
      <c r="E118" s="98" t="s">
        <v>211</v>
      </c>
      <c r="F118" s="46" t="s">
        <v>215</v>
      </c>
      <c r="G118" s="98" t="s">
        <v>1792</v>
      </c>
      <c r="H118" s="120" t="s">
        <v>1819</v>
      </c>
      <c r="I118" s="106">
        <v>46053</v>
      </c>
      <c r="J118" s="119">
        <v>10</v>
      </c>
      <c r="K118" s="120" t="s">
        <v>275</v>
      </c>
      <c r="L118" s="123">
        <f>VLOOKUP($C118&amp;$E118,'Updated SES'!A:N,14,0)</f>
        <v>60.152000000000001</v>
      </c>
      <c r="M118" s="124">
        <f>VLOOKUP($K118,'Genre Penetration'!A:B,2,0)*VLOOKUP($C118&amp;$E118,'Updated SES'!A:I,9,0)</f>
        <v>0.35750000000000004</v>
      </c>
      <c r="N118" s="124">
        <f>VLOOKUP(K:K,'Genre Penetration'!A:C,3,0)*VLOOKUP($C118&amp;$E118,'Updated SES'!A:J,10,0)</f>
        <v>0.1575</v>
      </c>
      <c r="O118" s="124">
        <f>VLOOKUP($B118,'Language Penetration'!$B$1:$BE$14,MATCH('Compile data Working'!$H118,'Language Penetration'!$B$1:$BE$1,0),0)</f>
        <v>0.29666666666666669</v>
      </c>
      <c r="P118" s="124" t="str">
        <f ca="1">IF(ISBLANK(J118),RANDBETWEEN(1,2)&amp;"%",IF(J118=1,RANDBETWEEN(35,40)&amp;"%",IF(J118=2,RANDBETWEEN(30,35)&amp;"%",IF(J118=3,RANDBETWEEN(25,30)&amp;"%",IF(J118=4,RANDBETWEEN(20,25)&amp;"%",IF(J118=5,RANDBETWEEN(15,20)&amp;"%",IF(J118=6,RANDBETWEEN(10,15)&amp;"%",IF(J118=7,RANDBETWEEN(8,10)&amp;"%",IF(J118=8,RANDBETWEEN(6,8)&amp;"%",IF(J118=9,RANDBETWEEN(4,6)&amp;"%",IF(J118=10,RANDBETWEEN(2,4)&amp;"%","")))))))))))</f>
        <v>3%</v>
      </c>
      <c r="Q118" s="123">
        <f ca="1">IFERROR(L118*(M118+N118)*O118*P118,RANDBETWEEN(1,2)%*L118*(M118+N118)*O118)</f>
        <v>0.27570669200000003</v>
      </c>
      <c r="R118" s="125">
        <f>VLOOKUP(D:D,ranking!W:X,2,0)</f>
        <v>0.6</v>
      </c>
      <c r="S118" s="126">
        <f ca="1">R118*Q118</f>
        <v>0.16542401520000002</v>
      </c>
      <c r="T118" s="123">
        <v>0.23250539281573673</v>
      </c>
    </row>
    <row r="119" spans="1:20" x14ac:dyDescent="0.25">
      <c r="A119" s="98" t="s">
        <v>1057</v>
      </c>
      <c r="B119" s="98" t="s">
        <v>85</v>
      </c>
      <c r="C119" s="46" t="s">
        <v>1229</v>
      </c>
      <c r="D119" s="46" t="s">
        <v>433</v>
      </c>
      <c r="E119" s="46" t="s">
        <v>219</v>
      </c>
      <c r="F119" s="46" t="s">
        <v>215</v>
      </c>
      <c r="G119" s="46" t="s">
        <v>1807</v>
      </c>
      <c r="H119" s="46" t="s">
        <v>19</v>
      </c>
      <c r="I119" s="53">
        <v>46043</v>
      </c>
      <c r="J119" s="119">
        <v>10</v>
      </c>
      <c r="K119" s="46" t="s">
        <v>138</v>
      </c>
      <c r="L119" s="123">
        <f>VLOOKUP($C119&amp;$E119,'Updated SES'!A:N,14,0)</f>
        <v>78.939870000000013</v>
      </c>
      <c r="M119" s="124">
        <f>VLOOKUP($K119,'Genre Penetration'!A:B,2,0)*VLOOKUP($C119&amp;$E119,'Updated SES'!A:I,9,0)</f>
        <v>0.376</v>
      </c>
      <c r="N119" s="124">
        <f>VLOOKUP(K:K,'Genre Penetration'!A:C,3,0)*VLOOKUP($C119&amp;$E119,'Updated SES'!A:J,10,0)</f>
        <v>0.10600000000000001</v>
      </c>
      <c r="O119" s="124">
        <f>VLOOKUP($B119,'Language Penetration'!$B$1:$BE$14,MATCH('Compile data Working'!$H119,'Language Penetration'!$B$1:$BE$1,0),0)</f>
        <v>0.6</v>
      </c>
      <c r="P119" s="124" t="str">
        <f ca="1">IF(ISBLANK(J119),RANDBETWEEN(1,2)&amp;"%",IF(J119=1,RANDBETWEEN(35,40)&amp;"%",IF(J119=2,RANDBETWEEN(30,35)&amp;"%",IF(J119=3,RANDBETWEEN(25,30)&amp;"%",IF(J119=4,RANDBETWEEN(20,25)&amp;"%",IF(J119=5,RANDBETWEEN(15,20)&amp;"%",IF(J119=6,RANDBETWEEN(10,15)&amp;"%",IF(J119=7,RANDBETWEEN(8,10)&amp;"%",IF(J119=8,RANDBETWEEN(6,8)&amp;"%",IF(J119=9,RANDBETWEEN(4,6)&amp;"%",IF(J119=10,RANDBETWEEN(2,4)&amp;"%","")))))))))))</f>
        <v>2%</v>
      </c>
      <c r="Q119" s="123">
        <f ca="1">IFERROR(L119*(M119+N119)*O119*P119,RANDBETWEEN(1,2)%*L119*(M119+N119)*O119)</f>
        <v>0.45658820808000011</v>
      </c>
      <c r="R119" s="125">
        <f>VLOOKUP(D:D,ranking!W:X,2,0)</f>
        <v>0.6</v>
      </c>
      <c r="S119" s="126">
        <f ca="1">R119*Q119</f>
        <v>0.27395292484800005</v>
      </c>
      <c r="T119" s="123">
        <v>0.12057860405412549</v>
      </c>
    </row>
    <row r="120" spans="1:20" x14ac:dyDescent="0.25">
      <c r="A120" s="98" t="s">
        <v>1057</v>
      </c>
      <c r="B120" s="98" t="s">
        <v>85</v>
      </c>
      <c r="C120" s="98" t="s">
        <v>150</v>
      </c>
      <c r="D120" s="98" t="s">
        <v>431</v>
      </c>
      <c r="E120" s="98" t="s">
        <v>211</v>
      </c>
      <c r="F120" s="46" t="s">
        <v>215</v>
      </c>
      <c r="G120" s="98" t="s">
        <v>1817</v>
      </c>
      <c r="H120" s="98" t="s">
        <v>320</v>
      </c>
      <c r="I120" s="106">
        <v>46052</v>
      </c>
      <c r="J120" s="119">
        <v>9</v>
      </c>
      <c r="K120" s="120" t="s">
        <v>176</v>
      </c>
      <c r="L120" s="123">
        <f>VLOOKUP($C120&amp;$E120,'Updated SES'!A:N,14,0)</f>
        <v>60.152000000000001</v>
      </c>
      <c r="M120" s="124">
        <f>VLOOKUP($K120,'Genre Penetration'!A:B,2,0)*VLOOKUP($C120&amp;$E120,'Updated SES'!A:I,9,0)</f>
        <v>0.40300000000000002</v>
      </c>
      <c r="N120" s="124">
        <f>VLOOKUP(K:K,'Genre Penetration'!A:C,3,0)*VLOOKUP($C120&amp;$E120,'Updated SES'!A:J,10,0)</f>
        <v>0.13299999999999998</v>
      </c>
      <c r="O120" s="124">
        <f>VLOOKUP($B120,'Language Penetration'!$B$1:$BE$14,MATCH('Compile data Working'!$H120,'Language Penetration'!$B$1:$BE$1,0),0)</f>
        <v>0.36</v>
      </c>
      <c r="P120" s="124" t="str">
        <f ca="1">IF(ISBLANK(J120),RANDBETWEEN(1,2)&amp;"%",IF(J120=1,RANDBETWEEN(35,40)&amp;"%",IF(J120=2,RANDBETWEEN(30,35)&amp;"%",IF(J120=3,RANDBETWEEN(25,30)&amp;"%",IF(J120=4,RANDBETWEEN(20,25)&amp;"%",IF(J120=5,RANDBETWEEN(15,20)&amp;"%",IF(J120=6,RANDBETWEEN(10,15)&amp;"%",IF(J120=7,RANDBETWEEN(8,10)&amp;"%",IF(J120=8,RANDBETWEEN(6,8)&amp;"%",IF(J120=9,RANDBETWEEN(4,6)&amp;"%",IF(J120=10,RANDBETWEEN(2,4)&amp;"%","")))))))))))</f>
        <v>4%</v>
      </c>
      <c r="Q120" s="123">
        <f ca="1">IFERROR(L120*(M120+N120)*O120*P120,RANDBETWEEN(1,2)%*L120*(M120+N120)*O120)</f>
        <v>0.46427719680000001</v>
      </c>
      <c r="R120" s="125">
        <f>VLOOKUP(D:D,ranking!W:X,2,0)</f>
        <v>0.6</v>
      </c>
      <c r="S120" s="126">
        <f ca="1">R120*Q120</f>
        <v>0.27856631807999999</v>
      </c>
      <c r="T120" s="123">
        <v>0.11460217761851178</v>
      </c>
    </row>
    <row r="121" spans="1:20" x14ac:dyDescent="0.25">
      <c r="A121" s="98" t="s">
        <v>1057</v>
      </c>
      <c r="B121" s="98" t="s">
        <v>85</v>
      </c>
      <c r="C121" s="98" t="s">
        <v>150</v>
      </c>
      <c r="D121" s="98" t="s">
        <v>433</v>
      </c>
      <c r="E121" s="98" t="s">
        <v>219</v>
      </c>
      <c r="F121" s="46" t="s">
        <v>215</v>
      </c>
      <c r="G121" s="98" t="s">
        <v>1816</v>
      </c>
      <c r="H121" s="119" t="s">
        <v>40</v>
      </c>
      <c r="I121" s="106">
        <v>45597</v>
      </c>
      <c r="J121" s="119">
        <v>8</v>
      </c>
      <c r="K121" s="119" t="s">
        <v>173</v>
      </c>
      <c r="L121" s="123">
        <f>VLOOKUP($C121&amp;$E121,'Updated SES'!A:N,14,0)</f>
        <v>24.425800000000002</v>
      </c>
      <c r="M121" s="124">
        <f>VLOOKUP($K121,'Genre Penetration'!A:B,2,0)*VLOOKUP($C121&amp;$E121,'Updated SES'!A:I,9,0)</f>
        <v>0.37400000000000005</v>
      </c>
      <c r="N121" s="124">
        <f>VLOOKUP(K:K,'Genre Penetration'!A:C,3,0)*VLOOKUP($C121&amp;$E121,'Updated SES'!A:J,10,0)</f>
        <v>0.14400000000000002</v>
      </c>
      <c r="O121" s="124">
        <f>VLOOKUP($B121,'Language Penetration'!$B$1:$BE$14,MATCH('Compile data Working'!$H121,'Language Penetration'!$B$1:$BE$1,0),0)</f>
        <v>0.28333333333333333</v>
      </c>
      <c r="P121" s="124" t="str">
        <f ca="1">IF(ISBLANK(J121),RANDBETWEEN(1,2)&amp;"%",IF(J121=1,RANDBETWEEN(35,40)&amp;"%",IF(J121=2,RANDBETWEEN(30,35)&amp;"%",IF(J121=3,RANDBETWEEN(25,30)&amp;"%",IF(J121=4,RANDBETWEEN(20,25)&amp;"%",IF(J121=5,RANDBETWEEN(15,20)&amp;"%",IF(J121=6,RANDBETWEEN(10,15)&amp;"%",IF(J121=7,RANDBETWEEN(8,10)&amp;"%",IF(J121=8,RANDBETWEEN(6,8)&amp;"%",IF(J121=9,RANDBETWEEN(4,6)&amp;"%",IF(J121=10,RANDBETWEEN(2,4)&amp;"%","")))))))))))</f>
        <v>7%</v>
      </c>
      <c r="Q121" s="123">
        <f ca="1">IFERROR(L121*(M121+N121)*O121*P121,RANDBETWEEN(1,2)%*L121*(M121+N121)*O121)</f>
        <v>0.25094252726666672</v>
      </c>
      <c r="R121" s="125">
        <f>VLOOKUP(D:D,ranking!W:X,2,0)</f>
        <v>0.6</v>
      </c>
      <c r="S121" s="126">
        <f ca="1">R121*Q121</f>
        <v>0.15056551636000001</v>
      </c>
      <c r="T121" s="123">
        <v>8.0085939582074606E-2</v>
      </c>
    </row>
    <row r="122" spans="1:20" x14ac:dyDescent="0.25">
      <c r="A122" s="98" t="s">
        <v>1057</v>
      </c>
      <c r="B122" s="98" t="s">
        <v>85</v>
      </c>
      <c r="C122" s="98" t="s">
        <v>150</v>
      </c>
      <c r="D122" s="46" t="s">
        <v>859</v>
      </c>
      <c r="E122" s="98" t="s">
        <v>211</v>
      </c>
      <c r="F122" s="46" t="s">
        <v>213</v>
      </c>
      <c r="G122" s="98" t="s">
        <v>1813</v>
      </c>
      <c r="H122" s="98" t="s">
        <v>19</v>
      </c>
      <c r="I122" s="106">
        <v>45982</v>
      </c>
      <c r="J122" s="119">
        <v>10</v>
      </c>
      <c r="K122" s="98" t="s">
        <v>173</v>
      </c>
      <c r="L122" s="123">
        <f>VLOOKUP($C122&amp;$E122,'Updated SES'!A:N,14,0)</f>
        <v>60.152000000000001</v>
      </c>
      <c r="M122" s="124">
        <f>VLOOKUP($K122,'Genre Penetration'!A:B,2,0)*VLOOKUP($C122&amp;$E122,'Updated SES'!A:I,9,0)</f>
        <v>0.35750000000000004</v>
      </c>
      <c r="N122" s="124">
        <f>VLOOKUP(K:K,'Genre Penetration'!A:C,3,0)*VLOOKUP($C122&amp;$E122,'Updated SES'!A:J,10,0)</f>
        <v>0.1575</v>
      </c>
      <c r="O122" s="124">
        <f>VLOOKUP($B122,'Language Penetration'!$B$1:$BE$14,MATCH('Compile data Working'!$H122,'Language Penetration'!$B$1:$BE$1,0),0)</f>
        <v>0.6</v>
      </c>
      <c r="P122" s="124" t="str">
        <f ca="1">IF(ISBLANK(J122),RANDBETWEEN(1,2)&amp;"%",IF(J122=1,RANDBETWEEN(35,40)&amp;"%",IF(J122=2,RANDBETWEEN(30,35)&amp;"%",IF(J122=3,RANDBETWEEN(25,30)&amp;"%",IF(J122=4,RANDBETWEEN(20,25)&amp;"%",IF(J122=5,RANDBETWEEN(15,20)&amp;"%",IF(J122=6,RANDBETWEEN(10,15)&amp;"%",IF(J122=7,RANDBETWEEN(8,10)&amp;"%",IF(J122=8,RANDBETWEEN(6,8)&amp;"%",IF(J122=9,RANDBETWEEN(4,6)&amp;"%",IF(J122=10,RANDBETWEEN(2,4)&amp;"%","")))))))))))</f>
        <v>2%</v>
      </c>
      <c r="Q122" s="123">
        <f ca="1">IFERROR(L122*(M122+N122)*O122*P122,RANDBETWEEN(1,2)%*L122*(M122+N122)*O122)</f>
        <v>0.37173935999999996</v>
      </c>
      <c r="R122" s="125">
        <f>VLOOKUP(D:D,ranking!W:X,2,0)</f>
        <v>0.7</v>
      </c>
      <c r="S122" s="126">
        <f ca="1">R122*Q122</f>
        <v>0.26021755199999996</v>
      </c>
      <c r="T122" s="123">
        <v>1.3259138269204098E-2</v>
      </c>
    </row>
    <row r="123" spans="1:20" x14ac:dyDescent="0.25">
      <c r="A123" s="98" t="s">
        <v>1781</v>
      </c>
      <c r="B123" s="98" t="s">
        <v>85</v>
      </c>
      <c r="C123" s="46" t="s">
        <v>1849</v>
      </c>
      <c r="D123" s="46" t="s">
        <v>456</v>
      </c>
      <c r="E123" s="46" t="s">
        <v>211</v>
      </c>
      <c r="F123" s="46" t="s">
        <v>1908</v>
      </c>
      <c r="G123" s="46" t="s">
        <v>1787</v>
      </c>
      <c r="H123" s="46" t="s">
        <v>22</v>
      </c>
      <c r="I123" s="46">
        <v>38904</v>
      </c>
      <c r="J123" s="46"/>
      <c r="K123" s="46" t="s">
        <v>216</v>
      </c>
      <c r="L123" s="123">
        <f>VLOOKUP($C123&amp;$E123,'Updated SES'!A:N,14,0)</f>
        <v>127.11702000000001</v>
      </c>
      <c r="M123" s="124">
        <f>VLOOKUP($K123,'Genre Penetration'!A:B,2,0)*VLOOKUP($C123&amp;$E123,'Updated SES'!A:I,9,0)</f>
        <v>0.33499999999999996</v>
      </c>
      <c r="N123" s="124">
        <f>VLOOKUP(K:K,'Genre Penetration'!A:C,3,0)*VLOOKUP($C123&amp;$E123,'Updated SES'!A:J,10,0)</f>
        <v>0.16499999999999998</v>
      </c>
      <c r="O123" s="124">
        <f>VLOOKUP($B123,'Language Penetration'!$B$1:$BE$14,MATCH('Compile data Working'!$H123,'Language Penetration'!$B$1:$BE$1,0),0)</f>
        <v>0.1</v>
      </c>
      <c r="P123" s="124" t="str">
        <f ca="1">IF(ISBLANK(J123),RANDBETWEEN(1,2)&amp;"%",IF(J123=1,RANDBETWEEN(35,40)&amp;"%",IF(J123=2,RANDBETWEEN(30,35)&amp;"%",IF(J123=3,RANDBETWEEN(25,30)&amp;"%",IF(J123=4,RANDBETWEEN(20,25)&amp;"%",IF(J123=5,RANDBETWEEN(15,20)&amp;"%",IF(J123=6,RANDBETWEEN(10,15)&amp;"%",IF(J123=7,RANDBETWEEN(8,10)&amp;"%",IF(J123=8,RANDBETWEEN(6,8)&amp;"%",IF(J123=9,RANDBETWEEN(4,6)&amp;"%",IF(J123=10,RANDBETWEEN(2,4)&amp;"%","")))))))))))</f>
        <v>2%</v>
      </c>
      <c r="Q123" s="123">
        <f ca="1">IFERROR(L123*(M123+N123)*O123*P123,RANDBETWEEN(1,2)%*L123*(M123+N123)*O123)</f>
        <v>0.12711702</v>
      </c>
      <c r="R123" s="125">
        <f>VLOOKUP(D:D,ranking!W:X,2,0)</f>
        <v>0.3</v>
      </c>
      <c r="S123" s="126">
        <f ca="1">R123*Q123</f>
        <v>3.8135105999999995E-2</v>
      </c>
      <c r="T123" s="123">
        <v>1.1202533599938481E-2</v>
      </c>
    </row>
    <row r="124" spans="1:20" x14ac:dyDescent="0.25">
      <c r="A124" s="98" t="s">
        <v>1057</v>
      </c>
      <c r="B124" s="98" t="s">
        <v>85</v>
      </c>
      <c r="C124" s="98" t="s">
        <v>150</v>
      </c>
      <c r="D124" s="98" t="s">
        <v>431</v>
      </c>
      <c r="E124" s="98" t="s">
        <v>211</v>
      </c>
      <c r="F124" s="46" t="s">
        <v>215</v>
      </c>
      <c r="G124" s="119" t="s">
        <v>1783</v>
      </c>
      <c r="H124" s="119" t="s">
        <v>19</v>
      </c>
      <c r="I124" s="121">
        <v>45534</v>
      </c>
      <c r="J124" s="119">
        <v>5</v>
      </c>
      <c r="K124" s="119" t="s">
        <v>176</v>
      </c>
      <c r="L124" s="123">
        <f>VLOOKUP($C124&amp;$E124,'Updated SES'!A:N,14,0)</f>
        <v>60.152000000000001</v>
      </c>
      <c r="M124" s="124">
        <f>VLOOKUP($K124,'Genre Penetration'!A:B,2,0)*VLOOKUP($C124&amp;$E124,'Updated SES'!A:I,9,0)</f>
        <v>0.40300000000000002</v>
      </c>
      <c r="N124" s="124">
        <f>VLOOKUP(K:K,'Genre Penetration'!A:C,3,0)*VLOOKUP($C124&amp;$E124,'Updated SES'!A:J,10,0)</f>
        <v>0.13299999999999998</v>
      </c>
      <c r="O124" s="124">
        <f>VLOOKUP($B124,'Language Penetration'!$B$1:$BE$14,MATCH('Compile data Working'!$H124,'Language Penetration'!$B$1:$BE$1,0),0)</f>
        <v>0.6</v>
      </c>
      <c r="P124" s="124" t="str">
        <f ca="1">IF(ISBLANK(J124),RANDBETWEEN(1,2)&amp;"%",IF(J124=1,RANDBETWEEN(35,40)&amp;"%",IF(J124=2,RANDBETWEEN(30,35)&amp;"%",IF(J124=3,RANDBETWEEN(25,30)&amp;"%",IF(J124=4,RANDBETWEEN(20,25)&amp;"%",IF(J124=5,RANDBETWEEN(15,20)&amp;"%",IF(J124=6,RANDBETWEEN(10,15)&amp;"%",IF(J124=7,RANDBETWEEN(8,10)&amp;"%",IF(J124=8,RANDBETWEEN(6,8)&amp;"%",IF(J124=9,RANDBETWEEN(4,6)&amp;"%",IF(J124=10,RANDBETWEEN(2,4)&amp;"%","")))))))))))</f>
        <v>16%</v>
      </c>
      <c r="Q124" s="123">
        <f ca="1">IFERROR(L124*(M124+N124)*O124*P124,RANDBETWEEN(1,2)%*L124*(M124+N124)*O124)</f>
        <v>3.0951813120000002</v>
      </c>
      <c r="R124" s="125">
        <f>VLOOKUP(D:D,ranking!W:X,2,0)</f>
        <v>0.6</v>
      </c>
      <c r="S124" s="126">
        <f ca="1">R124*Q124</f>
        <v>1.8571087872000001</v>
      </c>
      <c r="T124" s="123">
        <v>8.015171122614807E-3</v>
      </c>
    </row>
  </sheetData>
  <autoFilter ref="A4:T124" xr:uid="{A2D6C5F7-E04E-4CA0-8007-A188E93E8878}"/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66CD-DA27-4C92-B350-F94AAE2BADBA}">
  <dimension ref="A1:B10"/>
  <sheetViews>
    <sheetView workbookViewId="0">
      <selection activeCell="B2" sqref="B2:B10"/>
    </sheetView>
  </sheetViews>
  <sheetFormatPr defaultRowHeight="15" x14ac:dyDescent="0.25"/>
  <sheetData>
    <row r="1" spans="1:2" x14ac:dyDescent="0.25">
      <c r="A1" t="s">
        <v>1775</v>
      </c>
      <c r="B1" t="s">
        <v>1775</v>
      </c>
    </row>
    <row r="2" spans="1:2" x14ac:dyDescent="0.25">
      <c r="A2" s="46" t="s">
        <v>1763</v>
      </c>
      <c r="B2" s="26">
        <v>9.5000000000000001E-2</v>
      </c>
    </row>
    <row r="3" spans="1:2" x14ac:dyDescent="0.25">
      <c r="A3" s="46" t="s">
        <v>1764</v>
      </c>
      <c r="B3" s="26">
        <v>0.26666666666666666</v>
      </c>
    </row>
    <row r="4" spans="1:2" x14ac:dyDescent="0.25">
      <c r="A4" s="46" t="s">
        <v>1757</v>
      </c>
      <c r="B4" s="26">
        <v>0.22999999999999998</v>
      </c>
    </row>
    <row r="5" spans="1:2" x14ac:dyDescent="0.25">
      <c r="A5" s="46" t="s">
        <v>1545</v>
      </c>
      <c r="B5" s="26" t="e">
        <v>#N/A</v>
      </c>
    </row>
    <row r="6" spans="1:2" x14ac:dyDescent="0.25">
      <c r="A6" s="46" t="s">
        <v>1765</v>
      </c>
      <c r="B6" s="26">
        <v>0.19000000000000003</v>
      </c>
    </row>
    <row r="7" spans="1:2" x14ac:dyDescent="0.25">
      <c r="A7" s="46" t="s">
        <v>147</v>
      </c>
      <c r="B7" s="26">
        <v>0.1</v>
      </c>
    </row>
    <row r="8" spans="1:2" x14ac:dyDescent="0.25">
      <c r="A8" s="46" t="s">
        <v>1766</v>
      </c>
      <c r="B8" s="26">
        <v>0.22399999999999998</v>
      </c>
    </row>
    <row r="9" spans="1:2" x14ac:dyDescent="0.25">
      <c r="A9" s="46" t="s">
        <v>1762</v>
      </c>
      <c r="B9" s="26">
        <v>0.375</v>
      </c>
    </row>
    <row r="10" spans="1:2" x14ac:dyDescent="0.25">
      <c r="A10" s="46" t="s">
        <v>1767</v>
      </c>
      <c r="B10" s="26">
        <v>0.19142857142857145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/>
  <dimension ref="A1:AX46"/>
  <sheetViews>
    <sheetView topLeftCell="A16" zoomScale="80" zoomScaleNormal="80" workbookViewId="0">
      <selection activeCell="B44" sqref="B44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</row>
    <row r="5" spans="1:50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W5" s="26"/>
      <c r="X5" s="26"/>
      <c r="Y5" s="26"/>
      <c r="Z5" s="26"/>
    </row>
    <row r="6" spans="1:50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</row>
    <row r="7" spans="1:50" ht="15.75" thickBot="1" x14ac:dyDescent="0.3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</row>
    <row r="8" spans="1:50" ht="15.75" thickBot="1" x14ac:dyDescent="0.3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</row>
    <row r="18" spans="1:50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</row>
    <row r="19" spans="1:50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T19" s="1" t="s">
        <v>1243</v>
      </c>
    </row>
    <row r="20" spans="1:50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x14ac:dyDescent="0.25">
      <c r="A21" s="39" t="str">
        <f t="shared" si="0"/>
        <v>JioHotstarFREE</v>
      </c>
      <c r="B21" s="37" t="s">
        <v>1849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T21" s="82" t="s">
        <v>1235</v>
      </c>
      <c r="U21" s="83">
        <f ca="1">U9*RANDBETWEEN(90,105)/100</f>
        <v>9.926819688393651E-2</v>
      </c>
      <c r="V21" s="83">
        <f ca="1">V9*RANDBETWEEN(80,110)/100</f>
        <v>3.6895770792139342E-2</v>
      </c>
      <c r="W21" s="83">
        <f ca="1">W9*RANDBETWEEN(95,115)/100</f>
        <v>3.5260567809460894E-2</v>
      </c>
      <c r="X21" s="83">
        <f ca="1">X9*RANDBETWEEN(98,118)/100</f>
        <v>8.9860945909947698E-2</v>
      </c>
      <c r="Y21" s="83">
        <f t="shared" ref="Y21:AG21" ca="1" si="2">Y9*RANDBETWEEN(90,105)/100</f>
        <v>1.3503582747236025E-2</v>
      </c>
      <c r="Z21" s="83">
        <f t="shared" ca="1" si="2"/>
        <v>3.9617964231964085E-2</v>
      </c>
      <c r="AA21" s="83">
        <f t="shared" ca="1" si="2"/>
        <v>3.2000498281454848E-2</v>
      </c>
      <c r="AB21" s="83">
        <f t="shared" ca="1" si="2"/>
        <v>3.3978046060769145E-2</v>
      </c>
      <c r="AC21" s="83">
        <f t="shared" ca="1" si="2"/>
        <v>0.11914985015173592</v>
      </c>
      <c r="AD21" s="83">
        <f t="shared" ca="1" si="2"/>
        <v>2.3882568336013339E-2</v>
      </c>
      <c r="AE21" s="83">
        <f t="shared" ca="1" si="2"/>
        <v>3.2650609367079877E-2</v>
      </c>
      <c r="AF21" s="83">
        <f t="shared" ca="1" si="2"/>
        <v>0.10125432630285822</v>
      </c>
      <c r="AG21" s="83">
        <f t="shared" ca="1" si="2"/>
        <v>4.5928920114664748E-2</v>
      </c>
      <c r="AK21" s="82" t="s">
        <v>1245</v>
      </c>
      <c r="AL21" s="83">
        <f ca="1">AL9*RANDBETWEEN(90,105)/100</f>
        <v>0.15466572245514684</v>
      </c>
      <c r="AM21" s="83">
        <f t="shared" ref="AM21:AX21" ca="1" si="3">AM9*RANDBETWEEN(90,105)/100</f>
        <v>0.22260068122620719</v>
      </c>
      <c r="AN21" s="83">
        <f t="shared" ca="1" si="3"/>
        <v>0.22416561253284029</v>
      </c>
      <c r="AO21" s="83">
        <f t="shared" ca="1" si="3"/>
        <v>0.33251350633247723</v>
      </c>
      <c r="AP21" s="83">
        <f t="shared" ca="1" si="3"/>
        <v>0.17306423442654764</v>
      </c>
      <c r="AQ21" s="83">
        <f t="shared" ca="1" si="3"/>
        <v>0.18243243243243246</v>
      </c>
      <c r="AR21" s="83">
        <f t="shared" ca="1" si="3"/>
        <v>0.16998011928429424</v>
      </c>
      <c r="AS21" s="83">
        <f t="shared" ca="1" si="3"/>
        <v>1.0224247085971244E-3</v>
      </c>
      <c r="AT21" s="83">
        <f t="shared" ca="1" si="3"/>
        <v>4.3523459571246561E-3</v>
      </c>
      <c r="AU21" s="83">
        <f t="shared" ca="1" si="3"/>
        <v>1.8849916949631592E-3</v>
      </c>
      <c r="AV21" s="83">
        <f t="shared" ca="1" si="3"/>
        <v>0.52052719845278295</v>
      </c>
      <c r="AW21" s="83">
        <f t="shared" ca="1" si="3"/>
        <v>0.19179517020657552</v>
      </c>
      <c r="AX21" s="83">
        <f t="shared" ca="1" si="3"/>
        <v>8.9791813336015269E-2</v>
      </c>
    </row>
    <row r="22" spans="1:50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T22" s="82" t="s">
        <v>1236</v>
      </c>
      <c r="U22" s="83">
        <f ca="1">U10*RANDBETWEEN(90,105)/100</f>
        <v>0.14194899364265331</v>
      </c>
      <c r="V22" s="83">
        <f t="shared" ref="V22:V28" ca="1" si="4">V10*RANDBETWEEN(80,110)/100</f>
        <v>0.16776210563728408</v>
      </c>
      <c r="W22" s="83">
        <f t="shared" ref="W22:W28" ca="1" si="5">W10*RANDBETWEEN(95,115)/100</f>
        <v>0.23722143397362352</v>
      </c>
      <c r="X22" s="83">
        <f t="shared" ref="X22:X28" ca="1" si="6">X10*RANDBETWEEN(98,118)/100</f>
        <v>0.28998592050607064</v>
      </c>
      <c r="Y22" s="83">
        <f t="shared" ref="U22:AG28" ca="1" si="7">Y10*RANDBETWEEN(90,105)/100</f>
        <v>0.11419832068794551</v>
      </c>
      <c r="Z22" s="83">
        <f t="shared" ca="1" si="7"/>
        <v>0.11406885785927427</v>
      </c>
      <c r="AA22" s="83">
        <f t="shared" ca="1" si="7"/>
        <v>0.18932687564963988</v>
      </c>
      <c r="AB22" s="83">
        <f t="shared" ca="1" si="7"/>
        <v>0.16748945389848857</v>
      </c>
      <c r="AC22" s="83">
        <f t="shared" ca="1" si="7"/>
        <v>0.14653761566444182</v>
      </c>
      <c r="AD22" s="83">
        <f t="shared" ca="1" si="7"/>
        <v>4.6742426937791681E-2</v>
      </c>
      <c r="AE22" s="83">
        <f t="shared" ca="1" si="7"/>
        <v>0.13454496331173002</v>
      </c>
      <c r="AF22" s="83">
        <f t="shared" ca="1" si="7"/>
        <v>0.22090314103976436</v>
      </c>
      <c r="AG22" s="83">
        <f t="shared" ca="1" si="7"/>
        <v>0.2480469268783124</v>
      </c>
      <c r="AK22" s="82" t="s">
        <v>1246</v>
      </c>
      <c r="AL22" s="83">
        <f ca="1">AL10*RANDBETWEEN(90,105)/100</f>
        <v>0.14804059551786322</v>
      </c>
      <c r="AM22" s="83">
        <f t="shared" ref="AM22:AX22" ca="1" si="8">AM10*RANDBETWEEN(90,105)/100</f>
        <v>0.10320577038669607</v>
      </c>
      <c r="AN22" s="83">
        <f t="shared" ca="1" si="8"/>
        <v>7.7563491291232842E-2</v>
      </c>
      <c r="AO22" s="83">
        <f t="shared" ca="1" si="8"/>
        <v>0.33843769373837573</v>
      </c>
      <c r="AP22" s="83">
        <f t="shared" ca="1" si="8"/>
        <v>0.16657772171550556</v>
      </c>
      <c r="AQ22" s="83">
        <f t="shared" ca="1" si="8"/>
        <v>0.10540540540540543</v>
      </c>
      <c r="AR22" s="83">
        <f t="shared" ca="1" si="8"/>
        <v>0.14761431411530815</v>
      </c>
      <c r="AS22" s="83">
        <f t="shared" ca="1" si="8"/>
        <v>9.1710549671617056E-4</v>
      </c>
      <c r="AT22" s="83">
        <f t="shared" ca="1" si="8"/>
        <v>3.3741898554203518E-3</v>
      </c>
      <c r="AU22" s="83">
        <f t="shared" ca="1" si="8"/>
        <v>3.7808244636572362E-3</v>
      </c>
      <c r="AV22" s="83">
        <f t="shared" ca="1" si="8"/>
        <v>0.33709787783253342</v>
      </c>
      <c r="AW22" s="83">
        <f t="shared" ca="1" si="8"/>
        <v>0.11752109397730581</v>
      </c>
      <c r="AX22" s="83">
        <f t="shared" ca="1" si="8"/>
        <v>0.1318515538569848</v>
      </c>
    </row>
    <row r="23" spans="1:50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T23" s="82" t="s">
        <v>1237</v>
      </c>
      <c r="U23" s="83">
        <f ca="1">U11*RANDBETWEEN(90,105)/100</f>
        <v>0.16838118014856143</v>
      </c>
      <c r="V23" s="83">
        <f t="shared" ca="1" si="4"/>
        <v>0.19245473873798255</v>
      </c>
      <c r="W23" s="83">
        <f t="shared" ca="1" si="5"/>
        <v>0.17432832959969283</v>
      </c>
      <c r="X23" s="83">
        <f t="shared" ca="1" si="6"/>
        <v>0.21445728267026873</v>
      </c>
      <c r="Y23" s="83">
        <f t="shared" ca="1" si="7"/>
        <v>0.32600167201273927</v>
      </c>
      <c r="Z23" s="83">
        <f t="shared" ca="1" si="7"/>
        <v>0.20646359462010197</v>
      </c>
      <c r="AA23" s="83">
        <f t="shared" ca="1" si="7"/>
        <v>0.36624273724478246</v>
      </c>
      <c r="AB23" s="83">
        <f t="shared" ca="1" si="7"/>
        <v>0.19544819277806741</v>
      </c>
      <c r="AC23" s="83">
        <f t="shared" ca="1" si="7"/>
        <v>0.22391488500646395</v>
      </c>
      <c r="AD23" s="83">
        <f t="shared" ca="1" si="7"/>
        <v>0.24396111539984264</v>
      </c>
      <c r="AE23" s="83">
        <f t="shared" ca="1" si="7"/>
        <v>0.31300296866917293</v>
      </c>
      <c r="AF23" s="83">
        <f t="shared" ca="1" si="7"/>
        <v>0.1109891208673978</v>
      </c>
      <c r="AG23" s="83">
        <f t="shared" ca="1" si="7"/>
        <v>0.22556357282495745</v>
      </c>
      <c r="AK23" s="82" t="s">
        <v>1247</v>
      </c>
      <c r="AL23" s="83">
        <f ca="1">AL11*RANDBETWEEN(90,105)/100</f>
        <v>0.1524606395052909</v>
      </c>
      <c r="AM23" s="83">
        <f t="shared" ref="AM23:AX23" ca="1" si="9">AM11*RANDBETWEEN(90,105)/100</f>
        <v>0.17830494890803444</v>
      </c>
      <c r="AN23" s="83">
        <f t="shared" ca="1" si="9"/>
        <v>0.21616814245402355</v>
      </c>
      <c r="AO23" s="83">
        <f t="shared" ca="1" si="9"/>
        <v>4.8463377911611037E-3</v>
      </c>
      <c r="AP23" s="83">
        <f t="shared" ca="1" si="9"/>
        <v>0.13227052202600428</v>
      </c>
      <c r="AQ23" s="83">
        <f t="shared" ca="1" si="9"/>
        <v>0.15845559845559851</v>
      </c>
      <c r="AR23" s="83">
        <f t="shared" ca="1" si="9"/>
        <v>0.15039562624254474</v>
      </c>
      <c r="AS23" s="83">
        <f t="shared" ca="1" si="9"/>
        <v>0.47047511981539542</v>
      </c>
      <c r="AT23" s="83">
        <f t="shared" ca="1" si="9"/>
        <v>2.4011208154070571E-3</v>
      </c>
      <c r="AU23" s="83">
        <f t="shared" ca="1" si="9"/>
        <v>0.55411205798425711</v>
      </c>
      <c r="AV23" s="83">
        <f t="shared" ca="1" si="9"/>
        <v>2.4474568154542616E-3</v>
      </c>
      <c r="AW23" s="83">
        <f t="shared" ca="1" si="9"/>
        <v>0.13811463485597905</v>
      </c>
      <c r="AX23" s="83">
        <f t="shared" ca="1" si="9"/>
        <v>0.18726742431861609</v>
      </c>
    </row>
    <row r="24" spans="1:50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T24" s="82" t="s">
        <v>1238</v>
      </c>
      <c r="U24" s="83">
        <f ca="1">U12*RANDBETWEEN(90,105)/100</f>
        <v>0.10125452063150861</v>
      </c>
      <c r="V24" s="83">
        <f t="shared" ca="1" si="4"/>
        <v>0.12297624892061998</v>
      </c>
      <c r="W24" s="83">
        <f t="shared" ca="1" si="5"/>
        <v>9.3268505089500062E-2</v>
      </c>
      <c r="X24" s="83">
        <f t="shared" ca="1" si="6"/>
        <v>7.2250658502456266E-2</v>
      </c>
      <c r="Y24" s="83">
        <f t="shared" ca="1" si="7"/>
        <v>9.1408650456922216E-2</v>
      </c>
      <c r="Z24" s="83">
        <f t="shared" ca="1" si="7"/>
        <v>2.9961247544052622E-2</v>
      </c>
      <c r="AA24" s="83">
        <f t="shared" ca="1" si="7"/>
        <v>7.8681725245945341E-2</v>
      </c>
      <c r="AB24" s="83">
        <f t="shared" ca="1" si="7"/>
        <v>8.6427310874815075E-2</v>
      </c>
      <c r="AC24" s="83">
        <f t="shared" ca="1" si="7"/>
        <v>7.4521241775626232E-2</v>
      </c>
      <c r="AD24" s="83">
        <f t="shared" ca="1" si="7"/>
        <v>8.9844106335000368E-2</v>
      </c>
      <c r="AE24" s="83">
        <f t="shared" ca="1" si="7"/>
        <v>0.18426806324813924</v>
      </c>
      <c r="AF24" s="83">
        <f t="shared" ca="1" si="7"/>
        <v>0.12944092857553968</v>
      </c>
      <c r="AG24" s="83">
        <f t="shared" ca="1" si="7"/>
        <v>9.4107041748766079E-2</v>
      </c>
      <c r="AK24" s="82" t="s">
        <v>1248</v>
      </c>
      <c r="AL24" s="83">
        <f ca="1">AL12*RANDBETWEEN(90,105)/100</f>
        <v>0.11569234181307268</v>
      </c>
      <c r="AM24" s="83">
        <f t="shared" ref="AM24:AX24" ca="1" si="10">AM12*RANDBETWEEN(90,105)/100</f>
        <v>8.3580444800641154E-2</v>
      </c>
      <c r="AN24" s="83">
        <f t="shared" ca="1" si="10"/>
        <v>7.7240439817067241E-2</v>
      </c>
      <c r="AO24" s="83">
        <f t="shared" ca="1" si="10"/>
        <v>3.5029669648392538E-3</v>
      </c>
      <c r="AP24" s="83">
        <f t="shared" ca="1" si="10"/>
        <v>0.12183970502619833</v>
      </c>
      <c r="AQ24" s="83">
        <f t="shared" ca="1" si="10"/>
        <v>9.1945945945945975E-2</v>
      </c>
      <c r="AR24" s="83">
        <f t="shared" ca="1" si="10"/>
        <v>0.13304970178926442</v>
      </c>
      <c r="AS24" s="83">
        <f t="shared" ca="1" si="10"/>
        <v>0.4498402461392817</v>
      </c>
      <c r="AT24" s="83">
        <f t="shared" ca="1" si="10"/>
        <v>3.9073896264564135E-3</v>
      </c>
      <c r="AU24" s="83">
        <f t="shared" ca="1" si="10"/>
        <v>0.45587200950917028</v>
      </c>
      <c r="AV24" s="83">
        <f t="shared" ca="1" si="10"/>
        <v>4.2127404021635347E-3</v>
      </c>
      <c r="AW24" s="83">
        <f t="shared" ca="1" si="10"/>
        <v>9.1242362525458254E-2</v>
      </c>
      <c r="AX24" s="83">
        <f t="shared" ca="1" si="10"/>
        <v>0.18465251936035401</v>
      </c>
    </row>
    <row r="25" spans="1:50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T25" s="82" t="s">
        <v>1239</v>
      </c>
      <c r="U25" s="83">
        <f ca="1">U13*RANDBETWEEN(90,105)/100</f>
        <v>6.7544954095199811E-2</v>
      </c>
      <c r="V25" s="83">
        <f t="shared" ca="1" si="4"/>
        <v>4.8139745846614491E-2</v>
      </c>
      <c r="W25" s="83">
        <f t="shared" ca="1" si="5"/>
        <v>5.7292344329720753E-2</v>
      </c>
      <c r="X25" s="83">
        <f t="shared" ca="1" si="6"/>
        <v>4.8096607816956502E-2</v>
      </c>
      <c r="Y25" s="83">
        <f t="shared" ca="1" si="7"/>
        <v>2.7904974867518494E-2</v>
      </c>
      <c r="Z25" s="83">
        <f t="shared" ca="1" si="7"/>
        <v>8.3033413238488424E-2</v>
      </c>
      <c r="AA25" s="83">
        <f t="shared" ca="1" si="7"/>
        <v>3.892153371905363E-2</v>
      </c>
      <c r="AB25" s="83">
        <f t="shared" ca="1" si="7"/>
        <v>0.16144117100675687</v>
      </c>
      <c r="AC25" s="83">
        <f t="shared" ca="1" si="7"/>
        <v>0.1334139445336687</v>
      </c>
      <c r="AD25" s="83">
        <f t="shared" ca="1" si="7"/>
        <v>0.17514361165844261</v>
      </c>
      <c r="AE25" s="83">
        <f t="shared" ca="1" si="7"/>
        <v>4.5075964739445057E-2</v>
      </c>
      <c r="AF25" s="83">
        <f t="shared" ca="1" si="7"/>
        <v>4.5499508576720124E-2</v>
      </c>
      <c r="AG25" s="83">
        <f t="shared" ca="1" si="7"/>
        <v>6.8593691409163868E-2</v>
      </c>
      <c r="AK25" s="82" t="s">
        <v>1249</v>
      </c>
      <c r="AL25" s="83">
        <f ca="1">AL13*RANDBETWEEN(90,105)/100</f>
        <v>0.12980765541836647</v>
      </c>
      <c r="AM25" s="83">
        <f t="shared" ref="AM25:AX25" ca="1" si="11">AM13*RANDBETWEEN(90,105)/100</f>
        <v>0.19831697054698461</v>
      </c>
      <c r="AN25" s="83">
        <f t="shared" ca="1" si="11"/>
        <v>0.2195485063734553</v>
      </c>
      <c r="AO25" s="83">
        <f t="shared" ca="1" si="11"/>
        <v>0.10423641248191778</v>
      </c>
      <c r="AP25" s="83">
        <f t="shared" ca="1" si="11"/>
        <v>0.17437609159712786</v>
      </c>
      <c r="AQ25" s="83">
        <f t="shared" ca="1" si="11"/>
        <v>0.20478764478764483</v>
      </c>
      <c r="AR25" s="83">
        <f t="shared" ca="1" si="11"/>
        <v>0.16833399602385687</v>
      </c>
      <c r="AS25" s="83">
        <f t="shared" ca="1" si="11"/>
        <v>5.320691083367848E-3</v>
      </c>
      <c r="AT25" s="83">
        <f t="shared" ca="1" si="11"/>
        <v>3.6444411618073384E-3</v>
      </c>
      <c r="AU25" s="83">
        <f t="shared" ca="1" si="11"/>
        <v>1.1290203928340501E-3</v>
      </c>
      <c r="AV25" s="83">
        <f t="shared" ca="1" si="11"/>
        <v>2.9875227882611615E-3</v>
      </c>
      <c r="AW25" s="83">
        <f t="shared" ca="1" si="11"/>
        <v>0.23058287266026578</v>
      </c>
      <c r="AX25" s="83">
        <f t="shared" ca="1" si="11"/>
        <v>0.14120486774615304</v>
      </c>
    </row>
    <row r="26" spans="1:50" s="1" customFormat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T26" s="82" t="s">
        <v>1240</v>
      </c>
      <c r="U26" s="83">
        <f t="shared" ca="1" si="7"/>
        <v>0.13771624653705222</v>
      </c>
      <c r="V26" s="83">
        <f t="shared" ca="1" si="4"/>
        <v>0.13368903853778077</v>
      </c>
      <c r="W26" s="83">
        <f t="shared" ca="1" si="5"/>
        <v>0.20019690786654545</v>
      </c>
      <c r="X26" s="83">
        <f t="shared" ca="1" si="6"/>
        <v>0.16951105107995409</v>
      </c>
      <c r="Y26" s="83">
        <f t="shared" ca="1" si="7"/>
        <v>0.14750233439358382</v>
      </c>
      <c r="Z26" s="83">
        <f t="shared" ca="1" si="7"/>
        <v>0.22797284901367218</v>
      </c>
      <c r="AA26" s="83">
        <f t="shared" ca="1" si="7"/>
        <v>0.11233441427115114</v>
      </c>
      <c r="AB26" s="83">
        <f t="shared" ca="1" si="7"/>
        <v>0.10998580027741975</v>
      </c>
      <c r="AC26" s="83">
        <f t="shared" ca="1" si="7"/>
        <v>9.1730280324284014E-2</v>
      </c>
      <c r="AD26" s="83">
        <f t="shared" ca="1" si="7"/>
        <v>0.15611737968659106</v>
      </c>
      <c r="AE26" s="83">
        <f t="shared" ca="1" si="7"/>
        <v>0.10715369673793219</v>
      </c>
      <c r="AF26" s="83">
        <f t="shared" ca="1" si="7"/>
        <v>0.22254952083938981</v>
      </c>
      <c r="AG26" s="83">
        <f t="shared" ca="1" si="7"/>
        <v>0.10003394375712872</v>
      </c>
      <c r="AK26" s="82" t="s">
        <v>1250</v>
      </c>
      <c r="AL26" s="83">
        <f t="shared" ref="AL26:AX26" ca="1" si="12">AL14*RANDBETWEEN(90,105)/100</f>
        <v>0.12195847676619677</v>
      </c>
      <c r="AM26" s="83">
        <f t="shared" ca="1" si="12"/>
        <v>8.5017030655179335E-2</v>
      </c>
      <c r="AN26" s="83">
        <f t="shared" ca="1" si="12"/>
        <v>6.0595504524666728E-2</v>
      </c>
      <c r="AO26" s="83">
        <f t="shared" ca="1" si="12"/>
        <v>8.0089156555368607E-2</v>
      </c>
      <c r="AP26" s="83">
        <f t="shared" ca="1" si="12"/>
        <v>9.9941781486512726E-2</v>
      </c>
      <c r="AQ26" s="83">
        <f t="shared" ca="1" si="12"/>
        <v>9.2355212355212365E-2</v>
      </c>
      <c r="AR26" s="83">
        <f t="shared" ca="1" si="12"/>
        <v>0.10033797216699802</v>
      </c>
      <c r="AS26" s="83">
        <f t="shared" ca="1" si="12"/>
        <v>1.0147328560440208E-3</v>
      </c>
      <c r="AT26" s="83">
        <f t="shared" ca="1" si="12"/>
        <v>4.2125117713314991E-3</v>
      </c>
      <c r="AU26" s="83">
        <f t="shared" ca="1" si="12"/>
        <v>6.1150431513452598E-3</v>
      </c>
      <c r="AV26" s="83">
        <f t="shared" ca="1" si="12"/>
        <v>3.9990149825821289E-3</v>
      </c>
      <c r="AW26" s="83">
        <f t="shared" ca="1" si="12"/>
        <v>9.789545145960625E-2</v>
      </c>
      <c r="AX26" s="83">
        <f t="shared" ca="1" si="12"/>
        <v>9.9567534949210487E-2</v>
      </c>
    </row>
    <row r="27" spans="1:50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T27" s="82" t="s">
        <v>1241</v>
      </c>
      <c r="U27" s="83">
        <f t="shared" ca="1" si="7"/>
        <v>0.12062845387023216</v>
      </c>
      <c r="V27" s="83">
        <f t="shared" ca="1" si="4"/>
        <v>0.18321664641540383</v>
      </c>
      <c r="W27" s="83">
        <f t="shared" ca="1" si="5"/>
        <v>0.15687817965426087</v>
      </c>
      <c r="X27" s="83">
        <f t="shared" ca="1" si="6"/>
        <v>0.10463713199245811</v>
      </c>
      <c r="Y27" s="83">
        <f t="shared" ca="1" si="7"/>
        <v>0.21739733096909519</v>
      </c>
      <c r="Z27" s="83">
        <f t="shared" ca="1" si="7"/>
        <v>0.17927416469109886</v>
      </c>
      <c r="AA27" s="83">
        <f t="shared" ca="1" si="7"/>
        <v>6.6525978748119774E-2</v>
      </c>
      <c r="AB27" s="83">
        <f t="shared" ca="1" si="7"/>
        <v>0.11813288251476255</v>
      </c>
      <c r="AC27" s="83">
        <f t="shared" ca="1" si="7"/>
        <v>0.10095991415969258</v>
      </c>
      <c r="AD27" s="83">
        <f t="shared" ca="1" si="7"/>
        <v>9.0482350836910433E-2</v>
      </c>
      <c r="AE27" s="83">
        <f t="shared" ca="1" si="7"/>
        <v>8.0154067669841816E-2</v>
      </c>
      <c r="AF27" s="83">
        <f t="shared" ca="1" si="7"/>
        <v>8.3112122592969892E-2</v>
      </c>
      <c r="AG27" s="83">
        <f t="shared" ca="1" si="7"/>
        <v>0.12819252913849982</v>
      </c>
      <c r="AK27" s="82" t="s">
        <v>1251</v>
      </c>
      <c r="AL27" s="83">
        <f t="shared" ref="AL27:AX27" ca="1" si="13">AL15*RANDBETWEEN(90,105)/100</f>
        <v>9.2271409817190134E-2</v>
      </c>
      <c r="AM27" s="83">
        <f t="shared" ca="1" si="13"/>
        <v>8.4509116409537163E-2</v>
      </c>
      <c r="AN27" s="83">
        <f t="shared" ca="1" si="13"/>
        <v>6.8106451299017226E-2</v>
      </c>
      <c r="AO27" s="83">
        <f t="shared" ca="1" si="13"/>
        <v>6.4298999202904994E-2</v>
      </c>
      <c r="AP27" s="83">
        <f t="shared" ca="1" si="13"/>
        <v>6.1740733553269964E-2</v>
      </c>
      <c r="AQ27" s="83">
        <f t="shared" ca="1" si="13"/>
        <v>8.423166023166026E-2</v>
      </c>
      <c r="AR27" s="83">
        <f t="shared" ca="1" si="13"/>
        <v>6.8886679920477131E-2</v>
      </c>
      <c r="AS27" s="83">
        <f t="shared" ca="1" si="13"/>
        <v>9.9796856201802642E-4</v>
      </c>
      <c r="AT27" s="83">
        <f t="shared" ca="1" si="13"/>
        <v>0.5648788177973344</v>
      </c>
      <c r="AU27" s="83">
        <f t="shared" ca="1" si="13"/>
        <v>9.7569663578251254E-4</v>
      </c>
      <c r="AV27" s="83">
        <f t="shared" ca="1" si="13"/>
        <v>5.8901510911598585E-2</v>
      </c>
      <c r="AW27" s="83">
        <f t="shared" ca="1" si="13"/>
        <v>7.8867229172728176E-2</v>
      </c>
      <c r="AX27" s="83">
        <f t="shared" ca="1" si="13"/>
        <v>7.7504777230212221E-2</v>
      </c>
    </row>
    <row r="28" spans="1:50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T28" s="82" t="s">
        <v>1242</v>
      </c>
      <c r="U28" s="83">
        <f t="shared" ca="1" si="7"/>
        <v>0.14216638219699293</v>
      </c>
      <c r="V28" s="83">
        <f t="shared" ca="1" si="4"/>
        <v>9.3511647395481748E-2</v>
      </c>
      <c r="W28" s="83">
        <f t="shared" ca="1" si="5"/>
        <v>6.1728127509817113E-2</v>
      </c>
      <c r="X28" s="83">
        <f t="shared" ca="1" si="6"/>
        <v>3.4503811940872896E-2</v>
      </c>
      <c r="Y28" s="83">
        <f t="shared" ca="1" si="7"/>
        <v>7.7847912150393231E-2</v>
      </c>
      <c r="Z28" s="83">
        <f t="shared" ca="1" si="7"/>
        <v>0.1032026627403865</v>
      </c>
      <c r="AA28" s="83">
        <f t="shared" ca="1" si="7"/>
        <v>7.9436155977022957E-2</v>
      </c>
      <c r="AB28" s="83">
        <f t="shared" ca="1" si="7"/>
        <v>0.10689802747622318</v>
      </c>
      <c r="AC28" s="83">
        <f t="shared" ca="1" si="7"/>
        <v>8.4212523726120245E-2</v>
      </c>
      <c r="AD28" s="83">
        <f t="shared" ca="1" si="7"/>
        <v>0.15095900959466085</v>
      </c>
      <c r="AE28" s="83">
        <f t="shared" ca="1" si="7"/>
        <v>7.8256470888955071E-2</v>
      </c>
      <c r="AF28" s="83">
        <f t="shared" ca="1" si="7"/>
        <v>6.6456121455052822E-2</v>
      </c>
      <c r="AG28" s="83">
        <f t="shared" ca="1" si="7"/>
        <v>8.2795875515602677E-2</v>
      </c>
      <c r="AK28" s="82" t="s">
        <v>1252</v>
      </c>
      <c r="AL28" s="83">
        <f t="shared" ref="AL28:AX28" ca="1" si="14">AL16*RANDBETWEEN(90,105)/100</f>
        <v>6.6794801689521427E-2</v>
      </c>
      <c r="AM28" s="83">
        <f t="shared" ca="1" si="14"/>
        <v>3.8485273492286115E-2</v>
      </c>
      <c r="AN28" s="83">
        <f t="shared" ca="1" si="14"/>
        <v>1.9184586941714505E-2</v>
      </c>
      <c r="AO28" s="83">
        <f t="shared" ca="1" si="14"/>
        <v>6.239659906119914E-2</v>
      </c>
      <c r="AP28" s="83">
        <f t="shared" ca="1" si="14"/>
        <v>3.8851154667184168E-2</v>
      </c>
      <c r="AQ28" s="83">
        <f t="shared" ca="1" si="14"/>
        <v>4.0957528957528966E-2</v>
      </c>
      <c r="AR28" s="83">
        <f t="shared" ca="1" si="14"/>
        <v>4.0497017892644135E-2</v>
      </c>
      <c r="AS28" s="83">
        <f t="shared" ca="1" si="14"/>
        <v>9.6493304143739004E-4</v>
      </c>
      <c r="AT28" s="83">
        <f t="shared" ca="1" si="14"/>
        <v>0.34266126892919913</v>
      </c>
      <c r="AU28" s="83">
        <f t="shared" ca="1" si="14"/>
        <v>9.6708185397848033E-4</v>
      </c>
      <c r="AV28" s="83">
        <f t="shared" ca="1" si="14"/>
        <v>4.7108672143960507E-2</v>
      </c>
      <c r="AW28" s="83">
        <f t="shared" ca="1" si="14"/>
        <v>3.0864125691009606E-2</v>
      </c>
      <c r="AX28" s="83">
        <f t="shared" ca="1" si="14"/>
        <v>4.681685607965403E-2</v>
      </c>
    </row>
    <row r="29" spans="1:50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U29" s="26">
        <f ca="1">SUM(U21:U28)</f>
        <v>0.97890892800613705</v>
      </c>
      <c r="V29" s="26">
        <f t="shared" ref="V29:AG29" ca="1" si="15">SUM(V21:V28)</f>
        <v>0.97864594228330681</v>
      </c>
      <c r="W29" s="26">
        <f t="shared" ca="1" si="15"/>
        <v>1.0161743958326215</v>
      </c>
      <c r="X29" s="26">
        <f t="shared" ca="1" si="15"/>
        <v>1.0233034104189849</v>
      </c>
      <c r="Y29" s="26">
        <f t="shared" ca="1" si="15"/>
        <v>1.015764778285434</v>
      </c>
      <c r="Z29" s="26">
        <f t="shared" ca="1" si="15"/>
        <v>0.98359475393903895</v>
      </c>
      <c r="AA29" s="26">
        <f t="shared" ca="1" si="15"/>
        <v>0.96346991913716984</v>
      </c>
      <c r="AB29" s="26">
        <f t="shared" ca="1" si="15"/>
        <v>0.97980088488730255</v>
      </c>
      <c r="AC29" s="26">
        <f t="shared" ca="1" si="15"/>
        <v>0.97444025534203349</v>
      </c>
      <c r="AD29" s="26">
        <f t="shared" ca="1" si="15"/>
        <v>0.97713256878525301</v>
      </c>
      <c r="AE29" s="26">
        <f t="shared" ca="1" si="15"/>
        <v>0.97510680463229615</v>
      </c>
      <c r="AF29" s="26">
        <f t="shared" ca="1" si="15"/>
        <v>0.98020479024969276</v>
      </c>
      <c r="AG29" s="26">
        <f t="shared" ca="1" si="15"/>
        <v>0.99326250138709571</v>
      </c>
    </row>
    <row r="30" spans="1:50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</row>
    <row r="31" spans="1:50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T32" s="82" t="s">
        <v>1235</v>
      </c>
      <c r="U32" s="94">
        <f ca="1">U21/U$29</f>
        <v>0.10140697877393777</v>
      </c>
      <c r="V32" s="94">
        <f t="shared" ref="V32:AG32" ca="1" si="16">V21/V$29</f>
        <v>3.770083663358044E-2</v>
      </c>
      <c r="W32" s="94">
        <f t="shared" ca="1" si="16"/>
        <v>3.4699327156899565E-2</v>
      </c>
      <c r="X32" s="94">
        <f t="shared" ca="1" si="16"/>
        <v>8.7814567014053754E-2</v>
      </c>
      <c r="Y32" s="94">
        <f t="shared" ca="1" si="16"/>
        <v>1.3294005694930154E-2</v>
      </c>
      <c r="Z32" s="94">
        <f t="shared" ca="1" si="16"/>
        <v>4.0278746987318231E-2</v>
      </c>
      <c r="AA32" s="94">
        <f t="shared" ca="1" si="16"/>
        <v>3.321380112221118E-2</v>
      </c>
      <c r="AB32" s="94">
        <f t="shared" ca="1" si="16"/>
        <v>3.4678521508660735E-2</v>
      </c>
      <c r="AC32" s="94">
        <f t="shared" ca="1" si="16"/>
        <v>0.1222751723346176</v>
      </c>
      <c r="AD32" s="94">
        <f t="shared" ca="1" si="16"/>
        <v>2.4441482250155223E-2</v>
      </c>
      <c r="AE32" s="94">
        <f t="shared" ca="1" si="16"/>
        <v>3.3484136519170454E-2</v>
      </c>
      <c r="AF32" s="94">
        <f t="shared" ca="1" si="16"/>
        <v>0.10329915473792488</v>
      </c>
      <c r="AG32" s="94">
        <f t="shared" ca="1" si="16"/>
        <v>4.6240465184706758E-2</v>
      </c>
    </row>
    <row r="33" spans="1:50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T33" s="82" t="s">
        <v>1236</v>
      </c>
      <c r="U33" s="94">
        <f t="shared" ref="U33:AG39" ca="1" si="17">U22/U$29</f>
        <v>0.14500735418950372</v>
      </c>
      <c r="V33" s="94">
        <f t="shared" ca="1" si="17"/>
        <v>0.17142267534045411</v>
      </c>
      <c r="W33" s="94">
        <f t="shared" ca="1" si="17"/>
        <v>0.23344559255426989</v>
      </c>
      <c r="X33" s="94">
        <f t="shared" ca="1" si="17"/>
        <v>0.28338214996013528</v>
      </c>
      <c r="Y33" s="94">
        <f t="shared" ca="1" si="17"/>
        <v>0.11242595050470959</v>
      </c>
      <c r="Z33" s="94">
        <f t="shared" ca="1" si="17"/>
        <v>0.11597139716581287</v>
      </c>
      <c r="AA33" s="94">
        <f t="shared" ca="1" si="17"/>
        <v>0.19650522750019067</v>
      </c>
      <c r="AB33" s="94">
        <f t="shared" ca="1" si="17"/>
        <v>0.17094233785852658</v>
      </c>
      <c r="AC33" s="94">
        <f t="shared" ca="1" si="17"/>
        <v>0.15038132390477482</v>
      </c>
      <c r="AD33" s="94">
        <f t="shared" ca="1" si="17"/>
        <v>4.7836320711222131E-2</v>
      </c>
      <c r="AE33" s="94">
        <f t="shared" ca="1" si="17"/>
        <v>0.137979719424136</v>
      </c>
      <c r="AF33" s="94">
        <f t="shared" ca="1" si="17"/>
        <v>0.22536427411611867</v>
      </c>
      <c r="AG33" s="94">
        <f t="shared" ca="1" si="17"/>
        <v>0.24972947889597535</v>
      </c>
    </row>
    <row r="34" spans="1:50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T34" s="82" t="s">
        <v>1237</v>
      </c>
      <c r="U34" s="94">
        <f t="shared" ca="1" si="17"/>
        <v>0.17200903509126622</v>
      </c>
      <c r="V34" s="94">
        <f t="shared" ca="1" si="17"/>
        <v>0.19665410177756512</v>
      </c>
      <c r="W34" s="94">
        <f t="shared" ca="1" si="17"/>
        <v>0.17155355450267337</v>
      </c>
      <c r="X34" s="94">
        <f t="shared" ca="1" si="17"/>
        <v>0.20957350526415289</v>
      </c>
      <c r="Y34" s="94">
        <f t="shared" ca="1" si="17"/>
        <v>0.32094209110402083</v>
      </c>
      <c r="Z34" s="94">
        <f t="shared" ca="1" si="17"/>
        <v>0.20990717345051857</v>
      </c>
      <c r="AA34" s="94">
        <f t="shared" ca="1" si="17"/>
        <v>0.38012887581666183</v>
      </c>
      <c r="AB34" s="94">
        <f t="shared" ca="1" si="17"/>
        <v>0.19947746097468366</v>
      </c>
      <c r="AC34" s="94">
        <f t="shared" ca="1" si="17"/>
        <v>0.22978821305762731</v>
      </c>
      <c r="AD34" s="94">
        <f t="shared" ca="1" si="17"/>
        <v>0.24967043694299235</v>
      </c>
      <c r="AE34" s="94">
        <f t="shared" ca="1" si="17"/>
        <v>0.32099352315278273</v>
      </c>
      <c r="AF34" s="94">
        <f t="shared" ca="1" si="17"/>
        <v>0.11323054322059062</v>
      </c>
      <c r="AG34" s="94">
        <f t="shared" ca="1" si="17"/>
        <v>0.22709361574604586</v>
      </c>
    </row>
    <row r="35" spans="1:50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T35" s="82" t="s">
        <v>1238</v>
      </c>
      <c r="U35" s="94">
        <f t="shared" ca="1" si="17"/>
        <v>0.10343609883888383</v>
      </c>
      <c r="V35" s="94">
        <f t="shared" ca="1" si="17"/>
        <v>0.12565959108122451</v>
      </c>
      <c r="W35" s="94">
        <f t="shared" ca="1" si="17"/>
        <v>9.1783955069128439E-2</v>
      </c>
      <c r="X35" s="94">
        <f t="shared" ca="1" si="17"/>
        <v>7.0605313894999827E-2</v>
      </c>
      <c r="Y35" s="94">
        <f t="shared" ca="1" si="17"/>
        <v>8.9989978399542439E-2</v>
      </c>
      <c r="Z35" s="94">
        <f t="shared" ca="1" si="17"/>
        <v>3.0460967206327287E-2</v>
      </c>
      <c r="AA35" s="94">
        <f t="shared" ca="1" si="17"/>
        <v>8.1664952566872381E-2</v>
      </c>
      <c r="AB35" s="94">
        <f t="shared" ca="1" si="17"/>
        <v>8.820905574580698E-2</v>
      </c>
      <c r="AC35" s="94">
        <f t="shared" ca="1" si="17"/>
        <v>7.6475947465315761E-2</v>
      </c>
      <c r="AD35" s="94">
        <f t="shared" ca="1" si="17"/>
        <v>9.1946690966091052E-2</v>
      </c>
      <c r="AE35" s="94">
        <f t="shared" ca="1" si="17"/>
        <v>0.18897218476249383</v>
      </c>
      <c r="AF35" s="94">
        <f t="shared" ca="1" si="17"/>
        <v>0.13205498469617405</v>
      </c>
      <c r="AG35" s="94">
        <f t="shared" ca="1" si="17"/>
        <v>9.474538867353309E-2</v>
      </c>
    </row>
    <row r="36" spans="1:50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T36" s="82" t="s">
        <v>1239</v>
      </c>
      <c r="U36" s="94">
        <f t="shared" ca="1" si="17"/>
        <v>6.9000243191955399E-2</v>
      </c>
      <c r="V36" s="94">
        <f t="shared" ca="1" si="17"/>
        <v>4.9190155261154278E-2</v>
      </c>
      <c r="W36" s="94">
        <f t="shared" ca="1" si="17"/>
        <v>5.6380425018263916E-2</v>
      </c>
      <c r="X36" s="94">
        <f t="shared" ca="1" si="17"/>
        <v>4.7001316840392098E-2</v>
      </c>
      <c r="Y36" s="94">
        <f t="shared" ca="1" si="17"/>
        <v>2.7471886665159682E-2</v>
      </c>
      <c r="Z36" s="94">
        <f t="shared" ca="1" si="17"/>
        <v>8.4418316492601647E-2</v>
      </c>
      <c r="AA36" s="94">
        <f t="shared" ca="1" si="17"/>
        <v>4.0397248472385724E-2</v>
      </c>
      <c r="AB36" s="94">
        <f t="shared" ca="1" si="17"/>
        <v>0.16476936640583453</v>
      </c>
      <c r="AC36" s="94">
        <f t="shared" ca="1" si="17"/>
        <v>0.13691341649964955</v>
      </c>
      <c r="AD36" s="94">
        <f t="shared" ca="1" si="17"/>
        <v>0.17924242549419553</v>
      </c>
      <c r="AE36" s="94">
        <f t="shared" ca="1" si="17"/>
        <v>4.6226694886456865E-2</v>
      </c>
      <c r="AF36" s="94">
        <f t="shared" ca="1" si="17"/>
        <v>4.6418369946069939E-2</v>
      </c>
      <c r="AG36" s="94">
        <f t="shared" ca="1" si="17"/>
        <v>6.9058976165286071E-2</v>
      </c>
    </row>
    <row r="37" spans="1:50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T37" s="82" t="s">
        <v>1240</v>
      </c>
      <c r="U37" s="94">
        <f t="shared" ca="1" si="17"/>
        <v>0.14068341047573818</v>
      </c>
      <c r="V37" s="94">
        <f t="shared" ca="1" si="17"/>
        <v>0.13660613380347447</v>
      </c>
      <c r="W37" s="94">
        <f t="shared" ca="1" si="17"/>
        <v>0.19701038393366563</v>
      </c>
      <c r="X37" s="94">
        <f t="shared" ca="1" si="17"/>
        <v>0.16565082198890446</v>
      </c>
      <c r="Y37" s="94">
        <f t="shared" ca="1" si="17"/>
        <v>0.14521308234625072</v>
      </c>
      <c r="Z37" s="94">
        <f t="shared" ca="1" si="17"/>
        <v>0.23177517783690968</v>
      </c>
      <c r="AA37" s="94">
        <f t="shared" ca="1" si="17"/>
        <v>0.11659358744874111</v>
      </c>
      <c r="AB37" s="94">
        <f t="shared" ca="1" si="17"/>
        <v>0.11225321590730182</v>
      </c>
      <c r="AC37" s="94">
        <f t="shared" ca="1" si="17"/>
        <v>9.4136382216769385E-2</v>
      </c>
      <c r="AD37" s="94">
        <f t="shared" ca="1" si="17"/>
        <v>0.15977093044874383</v>
      </c>
      <c r="AE37" s="94">
        <f t="shared" ca="1" si="17"/>
        <v>0.10988918980863729</v>
      </c>
      <c r="AF37" s="94">
        <f t="shared" ca="1" si="17"/>
        <v>0.22704390251214604</v>
      </c>
      <c r="AG37" s="94">
        <f t="shared" ca="1" si="17"/>
        <v>0.10071249404606622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T38" s="82" t="s">
        <v>1241</v>
      </c>
      <c r="U38" s="94">
        <f t="shared" ca="1" si="17"/>
        <v>0.12322745295206451</v>
      </c>
      <c r="V38" s="94">
        <f t="shared" ca="1" si="17"/>
        <v>0.18721443424977152</v>
      </c>
      <c r="W38" s="94">
        <f t="shared" ca="1" si="17"/>
        <v>0.15438115770051439</v>
      </c>
      <c r="X38" s="94">
        <f t="shared" ca="1" si="17"/>
        <v>0.10225425902725675</v>
      </c>
      <c r="Y38" s="94">
        <f t="shared" ca="1" si="17"/>
        <v>0.2140233010796577</v>
      </c>
      <c r="Z38" s="94">
        <f t="shared" ca="1" si="17"/>
        <v>0.18226425463652876</v>
      </c>
      <c r="AA38" s="94">
        <f t="shared" ca="1" si="17"/>
        <v>6.9048319440732253E-2</v>
      </c>
      <c r="AB38" s="94">
        <f t="shared" ca="1" si="17"/>
        <v>0.12056825456771279</v>
      </c>
      <c r="AC38" s="94">
        <f t="shared" ca="1" si="17"/>
        <v>0.10360811102190676</v>
      </c>
      <c r="AD38" s="94">
        <f t="shared" ca="1" si="17"/>
        <v>9.2599872041309456E-2</v>
      </c>
      <c r="AE38" s="94">
        <f t="shared" ca="1" si="17"/>
        <v>8.2200295689729266E-2</v>
      </c>
      <c r="AF38" s="94">
        <f t="shared" ca="1" si="17"/>
        <v>8.4790569705131005E-2</v>
      </c>
      <c r="AG38" s="94">
        <f t="shared" ca="1" si="17"/>
        <v>0.12906208475551867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T39" s="82" t="s">
        <v>1242</v>
      </c>
      <c r="U39" s="94">
        <f t="shared" ca="1" si="17"/>
        <v>0.1452294264866503</v>
      </c>
      <c r="V39" s="94">
        <f t="shared" ca="1" si="17"/>
        <v>9.5552071852775533E-2</v>
      </c>
      <c r="W39" s="94">
        <f t="shared" ca="1" si="17"/>
        <v>6.0745604064584818E-2</v>
      </c>
      <c r="X39" s="94">
        <f t="shared" ca="1" si="17"/>
        <v>3.3718066010104998E-2</v>
      </c>
      <c r="Y39" s="94">
        <f t="shared" ca="1" si="17"/>
        <v>7.6639704205728673E-2</v>
      </c>
      <c r="Z39" s="94">
        <f t="shared" ca="1" si="17"/>
        <v>0.10492396622398291</v>
      </c>
      <c r="AA39" s="94">
        <f t="shared" ca="1" si="17"/>
        <v>8.2447987632205025E-2</v>
      </c>
      <c r="AB39" s="94">
        <f t="shared" ca="1" si="17"/>
        <v>0.1091017870314729</v>
      </c>
      <c r="AC39" s="94">
        <f t="shared" ca="1" si="17"/>
        <v>8.6421433499338771E-2</v>
      </c>
      <c r="AD39" s="94">
        <f t="shared" ca="1" si="17"/>
        <v>0.15449184114529041</v>
      </c>
      <c r="AE39" s="94">
        <f t="shared" ca="1" si="17"/>
        <v>8.0254255756593632E-2</v>
      </c>
      <c r="AF39" s="94">
        <f t="shared" ca="1" si="17"/>
        <v>6.7798201065844721E-2</v>
      </c>
      <c r="AG39" s="94">
        <f t="shared" ca="1" si="17"/>
        <v>8.3357496532868045E-2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</row>
    <row r="41" spans="1:50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</row>
    <row r="42" spans="1:50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</row>
    <row r="43" spans="1:50" x14ac:dyDescent="0.25">
      <c r="A43" s="39" t="str">
        <f t="shared" si="0"/>
        <v>JioHotstarPAID</v>
      </c>
      <c r="B43" s="37" t="s">
        <v>1849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</row>
    <row r="44" spans="1:50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</row>
    <row r="45" spans="1:50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T45" s="82" t="s">
        <v>1238</v>
      </c>
      <c r="U45" s="83">
        <f ca="1">U33*RANDBETWEEN(90,105)/100</f>
        <v>0.13050661877055336</v>
      </c>
      <c r="V45" s="83">
        <f t="shared" ref="V45" ca="1" si="20">V33*RANDBETWEEN(80,110)/100</f>
        <v>0.18856494287449951</v>
      </c>
      <c r="W45" s="83">
        <f t="shared" ref="W45" ca="1" si="21">W33*RANDBETWEEN(95,115)/100</f>
        <v>0.2591246077352396</v>
      </c>
      <c r="X45" s="83">
        <f t="shared" ref="X45" ca="1" si="22">X33*RANDBETWEEN(98,118)/100</f>
        <v>0.33439093695295957</v>
      </c>
      <c r="Y45" s="83">
        <f t="shared" ref="Y45:AG45" ca="1" si="23">Y33*RANDBETWEEN(90,105)/100</f>
        <v>0.10230761495928573</v>
      </c>
      <c r="Z45" s="83">
        <f t="shared" ca="1" si="23"/>
        <v>0.10785339936420596</v>
      </c>
      <c r="AA45" s="83">
        <f t="shared" ca="1" si="23"/>
        <v>0.2063304888752002</v>
      </c>
      <c r="AB45" s="83">
        <f t="shared" ca="1" si="23"/>
        <v>0.17778003137286763</v>
      </c>
      <c r="AC45" s="83">
        <f t="shared" ca="1" si="23"/>
        <v>0.13534319151429736</v>
      </c>
      <c r="AD45" s="83">
        <f t="shared" ca="1" si="23"/>
        <v>4.7357957504109906E-2</v>
      </c>
      <c r="AE45" s="83">
        <f t="shared" ca="1" si="23"/>
        <v>0.1310807334529292</v>
      </c>
      <c r="AF45" s="83">
        <f t="shared" ca="1" si="23"/>
        <v>0.20508148944566798</v>
      </c>
      <c r="AG45" s="83">
        <f t="shared" ca="1" si="23"/>
        <v>0.26221595284077415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1777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1770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1779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1769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1768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1771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1774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1778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1772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1780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1773</v>
      </c>
      <c r="B659" s="112">
        <v>0.7</v>
      </c>
      <c r="C659" s="112">
        <v>0.3</v>
      </c>
    </row>
    <row r="660" spans="1:5" hidden="1" x14ac:dyDescent="0.25">
      <c r="A660" s="51" t="s">
        <v>1776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1782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E22"/>
  <sheetViews>
    <sheetView topLeftCell="R1" workbookViewId="0">
      <selection activeCell="Y1" sqref="Y1"/>
    </sheetView>
  </sheetViews>
  <sheetFormatPr defaultColWidth="8.85546875" defaultRowHeight="15" x14ac:dyDescent="0.25"/>
  <sheetData>
    <row r="1" spans="1:57" ht="13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1818</v>
      </c>
      <c r="F1" s="24" t="s">
        <v>1224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1059</v>
      </c>
      <c r="M1" s="24" t="s">
        <v>77</v>
      </c>
      <c r="N1" s="24" t="s">
        <v>77</v>
      </c>
      <c r="O1" s="24" t="s">
        <v>29</v>
      </c>
      <c r="P1" s="24" t="s">
        <v>30</v>
      </c>
      <c r="Q1" s="24" t="s">
        <v>1058</v>
      </c>
      <c r="R1" s="24" t="s">
        <v>77</v>
      </c>
      <c r="S1" s="24" t="s">
        <v>32</v>
      </c>
      <c r="T1" s="24" t="s">
        <v>33</v>
      </c>
      <c r="U1" s="24" t="s">
        <v>1912</v>
      </c>
      <c r="V1" s="24" t="s">
        <v>1222</v>
      </c>
      <c r="W1" s="24" t="s">
        <v>1222</v>
      </c>
      <c r="X1" s="24" t="s">
        <v>1913</v>
      </c>
      <c r="Y1" s="24" t="s">
        <v>1914</v>
      </c>
      <c r="Z1" s="24" t="s">
        <v>461</v>
      </c>
      <c r="AA1" s="24" t="s">
        <v>468</v>
      </c>
      <c r="AB1" s="24" t="s">
        <v>1915</v>
      </c>
      <c r="AC1" s="24" t="s">
        <v>1916</v>
      </c>
      <c r="AD1" s="24" t="s">
        <v>1917</v>
      </c>
      <c r="AE1" s="24" t="s">
        <v>1037</v>
      </c>
      <c r="AF1" s="24" t="s">
        <v>40</v>
      </c>
      <c r="AG1" s="24" t="s">
        <v>1755</v>
      </c>
      <c r="AH1" s="24" t="s">
        <v>1913</v>
      </c>
      <c r="AI1" s="24" t="s">
        <v>1059</v>
      </c>
      <c r="AJ1" s="24" t="s">
        <v>1058</v>
      </c>
      <c r="AK1" s="24" t="s">
        <v>1918</v>
      </c>
      <c r="AL1" s="24" t="s">
        <v>1432</v>
      </c>
      <c r="AM1" s="24" t="s">
        <v>315</v>
      </c>
      <c r="AN1" s="24" t="s">
        <v>320</v>
      </c>
      <c r="AO1" s="24" t="s">
        <v>379</v>
      </c>
      <c r="AP1" s="24" t="s">
        <v>1919</v>
      </c>
      <c r="AQ1" s="24" t="s">
        <v>1757</v>
      </c>
      <c r="AR1" s="24" t="s">
        <v>1920</v>
      </c>
      <c r="AS1" s="24" t="s">
        <v>469</v>
      </c>
      <c r="AT1" s="24" t="s">
        <v>472</v>
      </c>
      <c r="AU1" s="24" t="s">
        <v>1223</v>
      </c>
      <c r="AV1" s="24" t="s">
        <v>1921</v>
      </c>
      <c r="AW1" s="24" t="s">
        <v>1039</v>
      </c>
      <c r="AX1" s="24" t="s">
        <v>1912</v>
      </c>
      <c r="AY1" s="24" t="s">
        <v>1922</v>
      </c>
      <c r="AZ1" s="24" t="s">
        <v>1923</v>
      </c>
      <c r="BA1" s="24" t="s">
        <v>1793</v>
      </c>
      <c r="BB1" s="24" t="s">
        <v>1819</v>
      </c>
      <c r="BC1" s="24" t="s">
        <v>1924</v>
      </c>
      <c r="BD1" s="24" t="s">
        <v>1925</v>
      </c>
      <c r="BE1" s="24" t="s">
        <v>1926</v>
      </c>
    </row>
    <row r="2" spans="1:57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57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57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57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57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57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57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57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57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57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57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57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57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</row>
    <row r="15" spans="1:57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57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32" t="s">
        <v>222</v>
      </c>
      <c r="N3" s="132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 t="e">
        <f>VLOOKUP($C5&amp;$E5,'Updated SES'!A:N,14,0)</f>
        <v>#N/A</v>
      </c>
      <c r="M5" s="102" t="e">
        <f>VLOOKUP($K5,'Genre Penetration'!A:B,2,0)*VLOOKUP($C5&amp;$E5,'Updated SES'!A:I,9,0)</f>
        <v>#N/A</v>
      </c>
      <c r="N5" s="102" t="e">
        <f>VLOOKUP(K:K,'Genre Penetration'!A:C,3,0)*VLOOKUP($C5&amp;$E5,'Updated SES'!A:J,10,0)</f>
        <v>#N/A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 t="e">
        <f t="shared" ref="Q5:Q68" ca="1" si="1">IFERROR(L5*(M5+N5)*O5*P5,RANDBETWEEN(1,2)%*L5*(M5+N5)*O5)</f>
        <v>#N/A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1%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2%</v>
      </c>
      <c r="Q7" s="101">
        <f t="shared" ca="1" si="1"/>
        <v>0.25487450956799995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 t="e">
        <f>VLOOKUP($C8&amp;$E8,'Updated SES'!A:N,14,0)</f>
        <v>#N/A</v>
      </c>
      <c r="M8" s="102" t="e">
        <f>VLOOKUP($K8,'Genre Penetration'!A:B,2,0)*VLOOKUP($C8&amp;$E8,'Updated SES'!A:I,9,0)</f>
        <v>#N/A</v>
      </c>
      <c r="N8" s="102" t="e">
        <f>VLOOKUP(K:K,'Genre Penetration'!A:C,3,0)*VLOOKUP($C8&amp;$E8,'Updated SES'!A:J,10,0)</f>
        <v>#N/A</v>
      </c>
      <c r="O8" s="102" t="e">
        <f>VLOOKUP($B8,'Language Penetration'!$B$1:$AY$14,MATCH('Compile data Working'!$H6,'Language Penetration'!$B$1:$AY$1,0),0)</f>
        <v>#N/A</v>
      </c>
      <c r="P8" s="103" t="str">
        <f t="shared" ca="1" si="0"/>
        <v>2%</v>
      </c>
      <c r="Q8" s="101" t="e">
        <f t="shared" ca="1" si="1"/>
        <v>#N/A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 t="e">
        <f>VLOOKUP($C9&amp;$E9,'Updated SES'!A:N,14,0)</f>
        <v>#N/A</v>
      </c>
      <c r="M9" s="102" t="e">
        <f>VLOOKUP($K9,'Genre Penetration'!A:B,2,0)*VLOOKUP($C9&amp;$E9,'Updated SES'!A:I,9,0)</f>
        <v>#N/A</v>
      </c>
      <c r="N9" s="102" t="e">
        <f>VLOOKUP(K:K,'Genre Penetration'!A:C,3,0)*VLOOKUP($C9&amp;$E9,'Updated SES'!A:J,10,0)</f>
        <v>#N/A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1%</v>
      </c>
      <c r="Q9" s="101" t="e">
        <f t="shared" ca="1" si="1"/>
        <v>#N/A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>
        <f>VLOOKUP($B10,'Language Penetration'!$B$1:$AY$14,MATCH('Compile data Working'!$H7,'Language Penetration'!$B$1:$AY$1,0),0)</f>
        <v>0.6</v>
      </c>
      <c r="P10" s="103" t="str">
        <f t="shared" ca="1" si="0"/>
        <v>1%</v>
      </c>
      <c r="Q10" s="101">
        <f t="shared" ca="1" si="1"/>
        <v>0.16671035519999999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Working'!$H8,'Language Penetration'!$B$1:$AY$1,0),0)</f>
        <v>#N/A</v>
      </c>
      <c r="P11" s="103" t="str">
        <f t="shared" ca="1" si="0"/>
        <v>1%</v>
      </c>
      <c r="Q11" s="101" t="e">
        <f t="shared" ca="1" si="1"/>
        <v>#N/A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 t="e">
        <f>VLOOKUP($B12,'Language Penetration'!$B$1:$AY$14,MATCH('Compile data Working'!#REF!,'Language Penetration'!$B$1:$AY$1,0),0)</f>
        <v>#REF!</v>
      </c>
      <c r="P12" s="103" t="str">
        <f t="shared" ca="1" si="0"/>
        <v>1%</v>
      </c>
      <c r="Q12" s="101" t="e">
        <f t="shared" ca="1" si="1"/>
        <v>#REF!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1%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>
        <f>VLOOKUP($B14,'Language Penetration'!$B$1:$AY$14,MATCH('Compile data Working'!$H9,'Language Penetration'!$B$1:$AY$1,0),0)</f>
        <v>0.28333333333333333</v>
      </c>
      <c r="P14" s="103" t="str">
        <f t="shared" ca="1" si="0"/>
        <v>2%</v>
      </c>
      <c r="Q14" s="101">
        <f t="shared" ca="1" si="1"/>
        <v>0.15839147520000002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2%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>
        <f>VLOOKUP($B16,'Language Penetration'!$B$1:$AY$14,MATCH('Compile data Working'!$H10,'Language Penetration'!$B$1:$AY$1,0),0)</f>
        <v>0.6</v>
      </c>
      <c r="P16" s="103" t="str">
        <f t="shared" ca="1" si="0"/>
        <v>1%</v>
      </c>
      <c r="Q16" s="101">
        <f t="shared" ca="1" si="1"/>
        <v>0.16604484480000001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 t="e">
        <f>VLOOKUP($C17&amp;$E17,'Updated SES'!A:N,14,0)</f>
        <v>#N/A</v>
      </c>
      <c r="M17" s="102" t="e">
        <f>VLOOKUP($K17,'Genre Penetration'!A:B,2,0)*VLOOKUP($C17&amp;$E17,'Updated SES'!A:I,9,0)</f>
        <v>#N/A</v>
      </c>
      <c r="N17" s="102" t="e">
        <f>VLOOKUP(K:K,'Genre Penetration'!A:C,3,0)*VLOOKUP($C17&amp;$E17,'Updated SES'!A:J,10,0)</f>
        <v>#N/A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2%</v>
      </c>
      <c r="Q17" s="101" t="e">
        <f t="shared" ca="1" si="1"/>
        <v>#N/A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 t="e">
        <f>VLOOKUP($B18,'Language Penetration'!$B$1:$AY$14,MATCH('Compile data Working'!#REF!,'Language Penetration'!$B$1:$AY$1,0),0)</f>
        <v>#REF!</v>
      </c>
      <c r="P18" s="103" t="str">
        <f t="shared" ca="1" si="0"/>
        <v>2%</v>
      </c>
      <c r="Q18" s="101" t="e">
        <f t="shared" ca="1" si="1"/>
        <v>#REF!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>
        <f>VLOOKUP($B19,'Language Penetration'!$B$1:$AY$14,MATCH('Compile data Working'!$H11,'Language Penetration'!$B$1:$AY$1,0),0)</f>
        <v>0.6</v>
      </c>
      <c r="P19" s="103" t="str">
        <f t="shared" ca="1" si="0"/>
        <v>1%</v>
      </c>
      <c r="Q19" s="101">
        <f t="shared" ca="1" si="1"/>
        <v>1.4067000000000001E-2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Working'!#REF!,'Language Penetration'!$B$1:$AY$1,0),0)</f>
        <v>#REF!</v>
      </c>
      <c r="P20" s="103" t="str">
        <f t="shared" ca="1" si="0"/>
        <v>2%</v>
      </c>
      <c r="Q20" s="101" t="e">
        <f t="shared" ca="1" si="1"/>
        <v>#REF!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2%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 t="e">
        <f>VLOOKUP($B22,'Language Penetration'!$B$1:$AY$14,MATCH('Compile data Working'!#REF!,'Language Penetration'!$B$1:$AY$1,0),0)</f>
        <v>#REF!</v>
      </c>
      <c r="P22" s="103" t="str">
        <f t="shared" ca="1" si="0"/>
        <v>2%</v>
      </c>
      <c r="Q22" s="101" t="e">
        <f t="shared" ca="1" si="1"/>
        <v>#REF!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2%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 t="e">
        <f>VLOOKUP($C24&amp;$E24,'Updated SES'!A:N,14,0)</f>
        <v>#N/A</v>
      </c>
      <c r="M24" s="102" t="e">
        <f>VLOOKUP($K24,'Genre Penetration'!A:B,2,0)*VLOOKUP($C24&amp;$E24,'Updated SES'!A:I,9,0)</f>
        <v>#N/A</v>
      </c>
      <c r="N24" s="102" t="e">
        <f>VLOOKUP(K:K,'Genre Penetration'!A:C,3,0)*VLOOKUP($C24&amp;$E24,'Updated SES'!A:J,10,0)</f>
        <v>#N/A</v>
      </c>
      <c r="O24" s="102" t="e">
        <f>VLOOKUP($B24,'Language Penetration'!$B$1:$AY$14,MATCH('Compile data Working'!$H12,'Language Penetration'!$B$1:$AY$1,0),0)</f>
        <v>#N/A</v>
      </c>
      <c r="P24" s="103" t="str">
        <f t="shared" ca="1" si="0"/>
        <v>1%</v>
      </c>
      <c r="Q24" s="101" t="e">
        <f t="shared" ca="1" si="1"/>
        <v>#N/A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 t="e">
        <f>VLOOKUP($C25&amp;$E25,'Updated SES'!A:N,14,0)</f>
        <v>#N/A</v>
      </c>
      <c r="M25" s="102" t="e">
        <f>VLOOKUP($K25,'Genre Penetration'!A:B,2,0)*VLOOKUP($C25&amp;$E25,'Updated SES'!A:I,9,0)</f>
        <v>#N/A</v>
      </c>
      <c r="N25" s="102" t="e">
        <f>VLOOKUP(K:K,'Genre Penetration'!A:C,3,0)*VLOOKUP($C25&amp;$E25,'Updated SES'!A:J,10,0)</f>
        <v>#N/A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2%</v>
      </c>
      <c r="Q25" s="101" t="e">
        <f t="shared" ca="1" si="1"/>
        <v>#N/A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>
        <f>VLOOKUP($B26,'Language Penetration'!$B$1:$AY$14,MATCH('Compile data Working'!$H13,'Language Penetration'!$B$1:$AY$1,0),0)</f>
        <v>0.20400000000000001</v>
      </c>
      <c r="P26" s="103" t="str">
        <f t="shared" ca="1" si="0"/>
        <v>2%</v>
      </c>
      <c r="Q26" s="101">
        <f t="shared" ca="1" si="1"/>
        <v>0.11291049446400001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2%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>
        <f>VLOOKUP($B28,'Language Penetration'!$B$1:$AY$14,MATCH('Compile data Working'!$H14,'Language Penetration'!$B$1:$AY$1,0),0)</f>
        <v>0.6</v>
      </c>
      <c r="P28" s="103" t="str">
        <f t="shared" ca="1" si="0"/>
        <v>2%</v>
      </c>
      <c r="Q28" s="101">
        <f t="shared" ca="1" si="1"/>
        <v>0.22144212172800001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>
        <f>VLOOKUP($B29,'Language Penetration'!$B$1:$AY$14,MATCH('Compile data Working'!$H15,'Language Penetration'!$B$1:$AY$1,0),0)</f>
        <v>0.20333333333333337</v>
      </c>
      <c r="P29" s="103" t="str">
        <f t="shared" ca="1" si="0"/>
        <v>2%</v>
      </c>
      <c r="Q29" s="101">
        <f t="shared" ca="1" si="1"/>
        <v>0.11177469004800004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Working'!#REF!,'Language Penetration'!$B$1:$AY$1,0),0)</f>
        <v>#REF!</v>
      </c>
      <c r="P30" s="103" t="str">
        <f t="shared" ca="1" si="0"/>
        <v>1%</v>
      </c>
      <c r="Q30" s="101" t="e">
        <f t="shared" ca="1" si="1"/>
        <v>#REF!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1%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2%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 t="e">
        <f>VLOOKUP($B33,'Language Penetration'!$B$1:$AY$14,MATCH('Compile data Working'!#REF!,'Language Penetration'!$B$1:$AY$1,0),0)</f>
        <v>#REF!</v>
      </c>
      <c r="P33" s="103" t="str">
        <f t="shared" ca="1" si="0"/>
        <v>2%</v>
      </c>
      <c r="Q33" s="101" t="e">
        <f t="shared" ca="1" si="1"/>
        <v>#REF!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 t="e">
        <f>VLOOKUP($B34,'Language Penetration'!$B$1:$AY$14,MATCH('Compile data Working'!#REF!,'Language Penetration'!$B$1:$AY$1,0),0)</f>
        <v>#REF!</v>
      </c>
      <c r="P34" s="103" t="str">
        <f t="shared" ca="1" si="0"/>
        <v>1%</v>
      </c>
      <c r="Q34" s="101" t="e">
        <f t="shared" ca="1" si="1"/>
        <v>#REF!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>
        <f>VLOOKUP($B35,'Language Penetration'!$B$1:$AY$14,MATCH('Compile data Working'!$H16,'Language Penetration'!$B$1:$AY$1,0),0)</f>
        <v>0.6</v>
      </c>
      <c r="P35" s="103" t="str">
        <f t="shared" ca="1" si="0"/>
        <v>1%</v>
      </c>
      <c r="Q35" s="101">
        <f t="shared" ca="1" si="1"/>
        <v>0.16584519168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 t="e">
        <f>VLOOKUP($C36&amp;$E36,'Updated SES'!A:N,14,0)</f>
        <v>#N/A</v>
      </c>
      <c r="M36" s="102" t="e">
        <f>VLOOKUP($K36,'Genre Penetration'!A:B,2,0)*VLOOKUP($C36&amp;$E36,'Updated SES'!A:I,9,0)</f>
        <v>#N/A</v>
      </c>
      <c r="N36" s="102" t="e">
        <f>VLOOKUP(K:K,'Genre Penetration'!A:C,3,0)*VLOOKUP($C36&amp;$E36,'Updated SES'!A:J,10,0)</f>
        <v>#N/A</v>
      </c>
      <c r="O36" s="102" t="e">
        <f>VLOOKUP($B36,'Language Penetration'!$B$1:$AY$14,MATCH('Compile data Working'!#REF!,'Language Penetration'!$B$1:$AY$1,0),0)</f>
        <v>#REF!</v>
      </c>
      <c r="P36" s="103" t="str">
        <f t="shared" ca="1" si="0"/>
        <v>1%</v>
      </c>
      <c r="Q36" s="101" t="e">
        <f t="shared" ca="1" si="1"/>
        <v>#N/A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 t="e">
        <f>VLOOKUP($C37&amp;$E37,'Updated SES'!A:N,14,0)</f>
        <v>#N/A</v>
      </c>
      <c r="M37" s="102" t="e">
        <f>VLOOKUP($K37,'Genre Penetration'!A:B,2,0)*VLOOKUP($C37&amp;$E37,'Updated SES'!A:I,9,0)</f>
        <v>#N/A</v>
      </c>
      <c r="N37" s="102" t="e">
        <f>VLOOKUP(K:K,'Genre Penetration'!A:C,3,0)*VLOOKUP($C37&amp;$E37,'Updated SES'!A:J,10,0)</f>
        <v>#N/A</v>
      </c>
      <c r="O37" s="102">
        <v>0.7</v>
      </c>
      <c r="P37" s="103" t="str">
        <f t="shared" ca="1" si="0"/>
        <v>1%</v>
      </c>
      <c r="Q37" s="101" t="e">
        <f t="shared" ca="1" si="1"/>
        <v>#N/A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 t="e">
        <f>VLOOKUP($B38,'Language Penetration'!$B$1:$AY$14,MATCH('Compile data Working'!#REF!,'Language Penetration'!$B$1:$AY$1,0),0)</f>
        <v>#REF!</v>
      </c>
      <c r="P38" s="103" t="str">
        <f t="shared" ca="1" si="0"/>
        <v>1%</v>
      </c>
      <c r="Q38" s="101" t="e">
        <f t="shared" ca="1" si="1"/>
        <v>#REF!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1%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1%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 t="e">
        <f>VLOOKUP($B41,'Language Penetration'!$B$1:$AY$14,MATCH('Compile data Working'!#REF!,'Language Penetration'!$B$1:$AY$1,0),0)</f>
        <v>#REF!</v>
      </c>
      <c r="P41" s="103" t="str">
        <f t="shared" ca="1" si="0"/>
        <v>1%</v>
      </c>
      <c r="Q41" s="101" t="e">
        <f t="shared" ca="1" si="1"/>
        <v>#REF!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1%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 t="e">
        <f>VLOOKUP($C43&amp;$E43,'Updated SES'!A:N,14,0)</f>
        <v>#N/A</v>
      </c>
      <c r="M43" s="102" t="e">
        <f>VLOOKUP($K43,'Genre Penetration'!A:B,2,0)*VLOOKUP($C43&amp;$E43,'Updated SES'!A:I,9,0)</f>
        <v>#N/A</v>
      </c>
      <c r="N43" s="102" t="e">
        <f>VLOOKUP(K:K,'Genre Penetration'!A:C,3,0)*VLOOKUP($C43&amp;$E43,'Updated SES'!A:J,10,0)</f>
        <v>#N/A</v>
      </c>
      <c r="O43" s="102">
        <f>VLOOKUP($B43,'Language Penetration'!$B$1:$AY$14,MATCH('Compile data Working'!$H17,'Language Penetration'!$B$1:$AY$1,0),0)</f>
        <v>0.4</v>
      </c>
      <c r="P43" s="103" t="str">
        <f t="shared" ca="1" si="0"/>
        <v>1%</v>
      </c>
      <c r="Q43" s="101" t="e">
        <f t="shared" ca="1" si="1"/>
        <v>#N/A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 t="e">
        <f>VLOOKUP($B44,'Language Penetration'!$B$1:$AY$14,MATCH('Compile data Working'!#REF!,'Language Penetration'!$B$1:$AY$1,0),0)</f>
        <v>#REF!</v>
      </c>
      <c r="P44" s="103" t="str">
        <f t="shared" ca="1" si="0"/>
        <v>1%</v>
      </c>
      <c r="Q44" s="101" t="e">
        <f t="shared" ca="1" si="1"/>
        <v>#REF!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2%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 t="e">
        <f>VLOOKUP($C46&amp;$E46,'Updated SES'!A:N,14,0)</f>
        <v>#N/A</v>
      </c>
      <c r="M46" s="102" t="e">
        <f>VLOOKUP($K46,'Genre Penetration'!A:B,2,0)*VLOOKUP($C46&amp;$E46,'Updated SES'!A:I,9,0)</f>
        <v>#N/A</v>
      </c>
      <c r="N46" s="102" t="e">
        <f>VLOOKUP(K:K,'Genre Penetration'!A:C,3,0)*VLOOKUP($C46&amp;$E46,'Updated SES'!A:J,10,0)</f>
        <v>#N/A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1%</v>
      </c>
      <c r="Q46" s="101" t="e">
        <f t="shared" ca="1" si="1"/>
        <v>#N/A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 t="e">
        <f>VLOOKUP($B47,'Language Penetration'!$B$1:$AY$14,MATCH('Compile data Working'!#REF!,'Language Penetration'!$B$1:$AY$1,0),0)</f>
        <v>#REF!</v>
      </c>
      <c r="P47" s="103" t="str">
        <f t="shared" ca="1" si="0"/>
        <v>1%</v>
      </c>
      <c r="Q47" s="101" t="e">
        <f t="shared" ca="1" si="1"/>
        <v>#REF!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1%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1%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2%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1%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39%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31%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26%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23%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15%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15%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8%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6%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4%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2%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40%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34%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26%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25%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16%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11%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10%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8%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5%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4%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>
        <f>VLOOKUP($B72,'Language Penetration'!$B$1:$AY$14,MATCH('Compile data Working'!$H18,'Language Penetration'!$B$1:$AY$1,0),0)</f>
        <v>0.6</v>
      </c>
      <c r="P72" s="103" t="str">
        <f t="shared" ca="1" si="2"/>
        <v>35%</v>
      </c>
      <c r="Q72" s="101">
        <f t="shared" ca="1" si="3"/>
        <v>1.0500313824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33%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29%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24%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17%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14%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10%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>
        <f>VLOOKUP($B79,'Language Penetration'!$B$1:$AY$14,MATCH('Compile data Working'!$H19,'Language Penetration'!$B$1:$AY$1,0),0)</f>
        <v>0.10500000000000001</v>
      </c>
      <c r="P79" s="103" t="str">
        <f t="shared" ca="1" si="2"/>
        <v>8%</v>
      </c>
      <c r="Q79" s="101">
        <f t="shared" ca="1" si="3"/>
        <v>5.1377293094400013E-2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6%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 t="e">
        <f>VLOOKUP($B81,'Language Penetration'!$B$1:$AY$14,MATCH('Compile data Working'!#REF!,'Language Penetration'!$B$1:$AY$1,0),0)</f>
        <v>#REF!</v>
      </c>
      <c r="P81" s="103" t="str">
        <f t="shared" ca="1" si="2"/>
        <v>3%</v>
      </c>
      <c r="Q81" s="101" t="e">
        <f t="shared" ca="1" si="3"/>
        <v>#REF!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40%</v>
      </c>
      <c r="Q82" s="101">
        <f t="shared" ca="1" si="3"/>
        <v>1.4832884736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35%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 t="e">
        <f>VLOOKUP($B84,'Language Penetration'!$B$1:$AY$14,MATCH('Compile data Working'!#REF!,'Language Penetration'!$B$1:$AY$1,0),0)</f>
        <v>#REF!</v>
      </c>
      <c r="P84" s="103" t="str">
        <f t="shared" ca="1" si="2"/>
        <v>27%</v>
      </c>
      <c r="Q84" s="101" t="e">
        <f t="shared" ca="1" si="3"/>
        <v>#REF!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20%</v>
      </c>
      <c r="Q85" s="101">
        <f t="shared" ca="1" si="3"/>
        <v>2.5896231244800001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15%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13%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8%</v>
      </c>
      <c r="Q88" s="101">
        <f t="shared" ca="1" si="3"/>
        <v>0.73463657471999999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8%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4%</v>
      </c>
      <c r="Q90" s="101">
        <f t="shared" ca="1" si="3"/>
        <v>0.51199731071999988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 t="e">
        <f>VLOOKUP($B91,'Language Penetration'!$B$1:$AY$14,MATCH('Compile data Working'!#REF!,'Language Penetration'!$B$1:$AY$1,0),0)</f>
        <v>#REF!</v>
      </c>
      <c r="P91" s="103" t="str">
        <f t="shared" ca="1" si="2"/>
        <v>2%</v>
      </c>
      <c r="Q91" s="101" t="e">
        <f t="shared" ca="1" si="3"/>
        <v>#REF!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 t="e">
        <f>VLOOKUP($B92,'Language Penetration'!$B$1:$AY$14,MATCH('Compile data Working'!#REF!,'Language Penetration'!$B$1:$AY$1,0),0)</f>
        <v>#REF!</v>
      </c>
      <c r="P92" s="103" t="str">
        <f t="shared" ca="1" si="2"/>
        <v>38%</v>
      </c>
      <c r="Q92" s="101" t="e">
        <f t="shared" ca="1" si="3"/>
        <v>#REF!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 t="e">
        <f>VLOOKUP($B93,'Language Penetration'!$B$1:$AY$14,MATCH('Compile data Working'!#REF!,'Language Penetration'!$B$1:$AY$1,0),0)</f>
        <v>#REF!</v>
      </c>
      <c r="P93" s="103" t="str">
        <f t="shared" ca="1" si="2"/>
        <v>34%</v>
      </c>
      <c r="Q93" s="101" t="e">
        <f t="shared" ca="1" si="3"/>
        <v>#REF!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>
        <f>VLOOKUP($B94,'Language Penetration'!$B$1:$AY$14,MATCH('Compile data Working'!$H20,'Language Penetration'!$B$1:$AY$1,0),0)</f>
        <v>0.6</v>
      </c>
      <c r="P94" s="103" t="str">
        <f t="shared" ca="1" si="2"/>
        <v>29%</v>
      </c>
      <c r="Q94" s="101">
        <f t="shared" ca="1" si="3"/>
        <v>0.45787522319999996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>
        <f>VLOOKUP($B95,'Language Penetration'!$B$1:$AY$14,MATCH('Compile data Working'!$H21,'Language Penetration'!$B$1:$AY$1,0),0)</f>
        <v>0.20400000000000001</v>
      </c>
      <c r="P95" s="103" t="str">
        <f t="shared" ca="1" si="2"/>
        <v>22%</v>
      </c>
      <c r="Q95" s="101">
        <f t="shared" ca="1" si="3"/>
        <v>0.11128189881600002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15%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 t="e">
        <f>VLOOKUP($B97,'Language Penetration'!$B$1:$AY$14,MATCH('Compile data Working'!#REF!,'Language Penetration'!$B$1:$AY$1,0),0)</f>
        <v>#REF!</v>
      </c>
      <c r="P97" s="103" t="str">
        <f t="shared" ca="1" si="2"/>
        <v>11%</v>
      </c>
      <c r="Q97" s="101" t="e">
        <f t="shared" ca="1" si="3"/>
        <v>#REF!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9%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8%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 t="e">
        <f>VLOOKUP($B100,'Language Penetration'!$B$1:$AY$14,MATCH('Compile data Working'!#REF!,'Language Penetration'!$B$1:$AY$1,0),0)</f>
        <v>#REF!</v>
      </c>
      <c r="P100" s="103" t="str">
        <f t="shared" ca="1" si="2"/>
        <v>4%</v>
      </c>
      <c r="Q100" s="101" t="e">
        <f t="shared" ca="1" si="3"/>
        <v>#REF!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4%</v>
      </c>
      <c r="Q101" s="101">
        <f t="shared" ca="1" si="3"/>
        <v>4.5877175999999999E-2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39%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33%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26%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>
        <f>VLOOKUP($B105,'Language Penetration'!$B$1:$AY$14,MATCH('Compile data Working'!$H23,'Language Penetration'!$B$1:$AY$1,0),0)</f>
        <v>0.17714285714285719</v>
      </c>
      <c r="P105" s="103" t="str">
        <f t="shared" ca="1" si="2"/>
        <v>22%</v>
      </c>
      <c r="Q105" s="101">
        <f t="shared" ca="1" si="3"/>
        <v>0.70948741030765727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15%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13%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 t="e">
        <f>VLOOKUP($B108,'Language Penetration'!$B$1:$AY$14,MATCH('Compile data Working'!#REF!,'Language Penetration'!$B$1:$AY$1,0),0)</f>
        <v>#REF!</v>
      </c>
      <c r="P108" s="103" t="str">
        <f t="shared" ca="1" si="2"/>
        <v>8%</v>
      </c>
      <c r="Q108" s="101" t="e">
        <f t="shared" ca="1" si="3"/>
        <v>#REF!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>
        <f>VLOOKUP($B109,'Language Penetration'!$B$1:$AY$14,MATCH('Compile data Working'!$H24,'Language Penetration'!$B$1:$AY$1,0),0)</f>
        <v>0.26250000000000001</v>
      </c>
      <c r="P109" s="103" t="str">
        <f t="shared" ca="1" si="2"/>
        <v>7%</v>
      </c>
      <c r="Q109" s="101">
        <f t="shared" ca="1" si="3"/>
        <v>0.33935151096000005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6%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 t="e">
        <f>VLOOKUP($B111,'Language Penetration'!$B$1:$AY$14,MATCH('Compile data Working'!#REF!,'Language Penetration'!$B$1:$AY$1,0),0)</f>
        <v>#REF!</v>
      </c>
      <c r="P111" s="103" t="str">
        <f t="shared" ca="1" si="2"/>
        <v>2%</v>
      </c>
      <c r="Q111" s="101" t="e">
        <f t="shared" ca="1" si="3"/>
        <v>#REF!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36%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32%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27%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24%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18%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14%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9%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7%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5%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3%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36%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32%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27%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20%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17%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14%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10%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8%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6%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3%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36%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30%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28%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20%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18%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10%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10%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6%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4%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4%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40%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31%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30%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23%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16%</v>
      </c>
      <c r="Q146" s="101">
        <f t="shared" ca="1" si="5"/>
        <v>3.2760320000000002E-2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10%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10%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8%</v>
      </c>
      <c r="Q149" s="101">
        <f t="shared" ca="1" si="5"/>
        <v>1.5565226666666669E-2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4%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4%</v>
      </c>
      <c r="Q151" s="101">
        <f t="shared" ca="1" si="5"/>
        <v>8.128960000000001E-3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36%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31%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28%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24%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15%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12%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10%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8%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5%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2%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37%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30%</v>
      </c>
      <c r="Q163" s="101">
        <f t="shared" ca="1" si="5"/>
        <v>8.8857299999999972E-2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26%</v>
      </c>
      <c r="Q164" s="101">
        <f t="shared" ca="1" si="5"/>
        <v>7.6421799999999984E-2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21%</v>
      </c>
      <c r="Q165" s="101">
        <f t="shared" ca="1" si="5"/>
        <v>6.1725299999999983E-2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18%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14%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9%</v>
      </c>
      <c r="Q168" s="101">
        <f t="shared" ca="1" si="5"/>
        <v>2.645369999999999E-2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6%</v>
      </c>
      <c r="Q169" s="101">
        <f t="shared" ca="1" si="5"/>
        <v>1.7635799999999993E-2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4%</v>
      </c>
      <c r="Q170" s="101">
        <f t="shared" ca="1" si="5"/>
        <v>1.2661599999999995E-2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4%</v>
      </c>
      <c r="Q171" s="101">
        <f t="shared" ca="1" si="5"/>
        <v>8.7209999999999996E-3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37%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35%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26%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23%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16%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12%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10%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6%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5%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4%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39%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31%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25%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24%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17%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14%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9%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8%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4%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4%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35%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35%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28%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24%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17%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15%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8%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7%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6%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4%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 t="e">
        <f>VLOOKUP($B202,'Language Penetration'!$B$1:$AY$14,MATCH('Compile data Working'!#REF!,'Language Penetration'!$B$1:$AY$1,0),0)</f>
        <v>#REF!</v>
      </c>
      <c r="P202" s="103" t="str">
        <f t="shared" ca="1" si="6"/>
        <v>35%</v>
      </c>
      <c r="Q202" s="101" t="e">
        <f t="shared" ca="1" si="7"/>
        <v>#REF!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34%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 t="e">
        <f>VLOOKUP($B204,'Language Penetration'!$B$1:$AY$14,MATCH('Compile data Working'!#REF!,'Language Penetration'!$B$1:$AY$1,0),0)</f>
        <v>#REF!</v>
      </c>
      <c r="P204" s="103" t="str">
        <f t="shared" ca="1" si="6"/>
        <v>28%</v>
      </c>
      <c r="Q204" s="101" t="e">
        <f t="shared" ca="1" si="7"/>
        <v>#REF!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>
        <f>VLOOKUP($B205,'Language Penetration'!$B$1:$AY$14,MATCH('Compile data Working'!$H25,'Language Penetration'!$B$1:$AY$1,0),0)</f>
        <v>0.2</v>
      </c>
      <c r="P205" s="103" t="str">
        <f t="shared" ca="1" si="6"/>
        <v>24%</v>
      </c>
      <c r="Q205" s="101">
        <f t="shared" ca="1" si="7"/>
        <v>0.41388262559999994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18%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>
        <f>VLOOKUP($B207,'Language Penetration'!$B$1:$AY$14,MATCH('Compile data Working'!$H26,'Language Penetration'!$B$1:$AY$1,0),0)</f>
        <v>0.6</v>
      </c>
      <c r="P207" s="103" t="str">
        <f t="shared" ca="1" si="6"/>
        <v>15%</v>
      </c>
      <c r="Q207" s="101">
        <f t="shared" ca="1" si="7"/>
        <v>0.7608136499999999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8%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8%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 t="e">
        <f>VLOOKUP($B210,'Language Penetration'!$B$1:$AY$14,MATCH('Compile data Working'!#REF!,'Language Penetration'!$B$1:$AY$1,0),0)</f>
        <v>#REF!</v>
      </c>
      <c r="P210" s="103" t="str">
        <f t="shared" ca="1" si="6"/>
        <v>4%</v>
      </c>
      <c r="Q210" s="101" t="e">
        <f t="shared" ca="1" si="7"/>
        <v>#REF!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Working'!$H27,'Language Penetration'!$B$1:$AY$1,0),0)</f>
        <v>0.2</v>
      </c>
      <c r="P211" s="103" t="str">
        <f t="shared" ca="1" si="6"/>
        <v>2%</v>
      </c>
      <c r="Q211" s="101">
        <f t="shared" ca="1" si="7"/>
        <v>3.5437009120000001E-2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>
        <f>VLOOKUP($B212,'Language Penetration'!$B$1:$AY$14,MATCH('Compile data Working'!$H28,'Language Penetration'!$B$1:$AY$1,0),0)</f>
        <v>0.17714285714285719</v>
      </c>
      <c r="P212" s="103" t="str">
        <f t="shared" ca="1" si="6"/>
        <v>36%</v>
      </c>
      <c r="Q212" s="101">
        <f t="shared" ca="1" si="7"/>
        <v>0.57574899026742865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 t="e">
        <f>VLOOKUP($B213,'Language Penetration'!$B$1:$AY$14,MATCH('Compile data Working'!#REF!,'Language Penetration'!$B$1:$AY$1,0),0)</f>
        <v>#REF!</v>
      </c>
      <c r="P213" s="103" t="str">
        <f t="shared" ca="1" si="6"/>
        <v>32%</v>
      </c>
      <c r="Q213" s="101" t="e">
        <f t="shared" ca="1" si="7"/>
        <v>#REF!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30%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>
        <f>VLOOKUP($B215,'Language Penetration'!$B$1:$AY$14,MATCH('Compile data Working'!$H29,'Language Penetration'!$B$1:$AY$1,0),0)</f>
        <v>0.20400000000000001</v>
      </c>
      <c r="P215" s="103" t="str">
        <f t="shared" ca="1" si="6"/>
        <v>23%</v>
      </c>
      <c r="Q215" s="101">
        <f t="shared" ca="1" si="7"/>
        <v>0.41250301684800006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>
        <f>VLOOKUP($B216,'Language Penetration'!$B$1:$AY$14,MATCH('Compile data Working'!$H30,'Language Penetration'!$B$1:$AY$1,0),0)</f>
        <v>0.26250000000000001</v>
      </c>
      <c r="P216" s="103" t="str">
        <f t="shared" ca="1" si="6"/>
        <v>20%</v>
      </c>
      <c r="Q216" s="101">
        <f t="shared" ca="1" si="7"/>
        <v>0.46156028100000007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14%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10%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7%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 t="e">
        <f>VLOOKUP($B220,'Language Penetration'!$B$1:$AY$14,MATCH('Compile data Working'!#REF!,'Language Penetration'!$B$1:$AY$1,0),0)</f>
        <v>#REF!</v>
      </c>
      <c r="P220" s="103" t="str">
        <f t="shared" ca="1" si="6"/>
        <v>5%</v>
      </c>
      <c r="Q220" s="101" t="e">
        <f t="shared" ca="1" si="7"/>
        <v>#REF!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 t="e">
        <f>VLOOKUP($B221,'Language Penetration'!$B$1:$AY$14,MATCH('Compile data Working'!#REF!,'Language Penetration'!$B$1:$AY$1,0),0)</f>
        <v>#REF!</v>
      </c>
      <c r="P221" s="103" t="str">
        <f t="shared" ca="1" si="6"/>
        <v>2%</v>
      </c>
      <c r="Q221" s="101" t="e">
        <f t="shared" ca="1" si="7"/>
        <v>#REF!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 t="e">
        <f>VLOOKUP($C222&amp;$E222,'Updated SES'!A:N,14,0)</f>
        <v>#N/A</v>
      </c>
      <c r="M222" s="102" t="e">
        <f>VLOOKUP($K222,'Genre Penetration'!A:B,2,0)*VLOOKUP($C222&amp;$E222,'Updated SES'!A:I,9,0)</f>
        <v>#N/A</v>
      </c>
      <c r="N222" s="102" t="e">
        <f>VLOOKUP(K:K,'Genre Penetration'!A:C,3,0)*VLOOKUP($C222&amp;$E222,'Updated SES'!A:J,10,0)</f>
        <v>#N/A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35%</v>
      </c>
      <c r="Q222" s="101" t="e">
        <f t="shared" ca="1" si="7"/>
        <v>#N/A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 t="e">
        <f>VLOOKUP($C223&amp;$E223,'Updated SES'!A:N,14,0)</f>
        <v>#N/A</v>
      </c>
      <c r="M223" s="102" t="e">
        <f>VLOOKUP($K223,'Genre Penetration'!A:B,2,0)*VLOOKUP($C223&amp;$E223,'Updated SES'!A:I,9,0)</f>
        <v>#N/A</v>
      </c>
      <c r="N223" s="102" t="e">
        <f>VLOOKUP(K:K,'Genre Penetration'!A:C,3,0)*VLOOKUP($C223&amp;$E223,'Updated SES'!A:J,10,0)</f>
        <v>#N/A</v>
      </c>
      <c r="O223" s="102">
        <f>VLOOKUP($B223,'Language Penetration'!$B$1:$AY$14,MATCH('Compile data Working'!$H31,'Language Penetration'!$B$1:$AY$1,0),0)</f>
        <v>0.6</v>
      </c>
      <c r="P223" s="103" t="str">
        <f t="shared" ca="1" si="6"/>
        <v>30%</v>
      </c>
      <c r="Q223" s="101" t="e">
        <f t="shared" ca="1" si="7"/>
        <v>#N/A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 t="e">
        <f>VLOOKUP($C224&amp;$E224,'Updated SES'!A:N,14,0)</f>
        <v>#N/A</v>
      </c>
      <c r="M224" s="102" t="e">
        <f>VLOOKUP($K224,'Genre Penetration'!A:B,2,0)*VLOOKUP($C224&amp;$E224,'Updated SES'!A:I,9,0)</f>
        <v>#N/A</v>
      </c>
      <c r="N224" s="102" t="e">
        <f>VLOOKUP(K:K,'Genre Penetration'!A:C,3,0)*VLOOKUP($C224&amp;$E224,'Updated SES'!A:J,10,0)</f>
        <v>#N/A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26%</v>
      </c>
      <c r="Q224" s="101" t="e">
        <f t="shared" ca="1" si="7"/>
        <v>#N/A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 t="e">
        <f>VLOOKUP($C225&amp;$E225,'Updated SES'!A:N,14,0)</f>
        <v>#N/A</v>
      </c>
      <c r="M225" s="102" t="e">
        <f>VLOOKUP($K225,'Genre Penetration'!A:B,2,0)*VLOOKUP($C225&amp;$E225,'Updated SES'!A:I,9,0)</f>
        <v>#N/A</v>
      </c>
      <c r="N225" s="102" t="e">
        <f>VLOOKUP(K:K,'Genre Penetration'!A:C,3,0)*VLOOKUP($C225&amp;$E225,'Updated SES'!A:J,10,0)</f>
        <v>#N/A</v>
      </c>
      <c r="O225" s="102">
        <v>0.7</v>
      </c>
      <c r="P225" s="103" t="str">
        <f t="shared" ca="1" si="6"/>
        <v>20%</v>
      </c>
      <c r="Q225" s="101" t="e">
        <f t="shared" ca="1" si="7"/>
        <v>#N/A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 t="e">
        <f>VLOOKUP($C226&amp;$E226,'Updated SES'!A:N,14,0)</f>
        <v>#N/A</v>
      </c>
      <c r="M226" s="102" t="e">
        <f>VLOOKUP($K226,'Genre Penetration'!A:B,2,0)*VLOOKUP($C226&amp;$E226,'Updated SES'!A:I,9,0)</f>
        <v>#N/A</v>
      </c>
      <c r="N226" s="102" t="e">
        <f>VLOOKUP(K:K,'Genre Penetration'!A:C,3,0)*VLOOKUP($C226&amp;$E226,'Updated SES'!A:J,10,0)</f>
        <v>#N/A</v>
      </c>
      <c r="O226" s="102">
        <v>0.7</v>
      </c>
      <c r="P226" s="103" t="str">
        <f t="shared" ca="1" si="6"/>
        <v>15%</v>
      </c>
      <c r="Q226" s="101" t="e">
        <f t="shared" ca="1" si="7"/>
        <v>#N/A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 t="e">
        <f>VLOOKUP($C227&amp;$E227,'Updated SES'!A:N,14,0)</f>
        <v>#N/A</v>
      </c>
      <c r="M227" s="102" t="e">
        <f>VLOOKUP($K227,'Genre Penetration'!A:B,2,0)*VLOOKUP($C227&amp;$E227,'Updated SES'!A:I,9,0)</f>
        <v>#N/A</v>
      </c>
      <c r="N227" s="102" t="e">
        <f>VLOOKUP(K:K,'Genre Penetration'!A:C,3,0)*VLOOKUP($C227&amp;$E227,'Updated SES'!A:J,10,0)</f>
        <v>#N/A</v>
      </c>
      <c r="O227" s="102">
        <f>VLOOKUP($B227,'Language Penetration'!$B$1:$AY$14,MATCH('Compile data Working'!$H33,'Language Penetration'!$B$1:$AY$1,0),0)</f>
        <v>0.2</v>
      </c>
      <c r="P227" s="103" t="str">
        <f t="shared" ca="1" si="6"/>
        <v>13%</v>
      </c>
      <c r="Q227" s="101" t="e">
        <f t="shared" ca="1" si="7"/>
        <v>#N/A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 t="e">
        <f>VLOOKUP($C228&amp;$E228,'Updated SES'!A:N,14,0)</f>
        <v>#N/A</v>
      </c>
      <c r="M228" s="102" t="e">
        <f>VLOOKUP($K228,'Genre Penetration'!A:B,2,0)*VLOOKUP($C228&amp;$E228,'Updated SES'!A:I,9,0)</f>
        <v>#N/A</v>
      </c>
      <c r="N228" s="102" t="e">
        <f>VLOOKUP(K:K,'Genre Penetration'!A:C,3,0)*VLOOKUP($C228&amp;$E228,'Updated SES'!A:J,10,0)</f>
        <v>#N/A</v>
      </c>
      <c r="O228" s="102" t="e">
        <f>VLOOKUP($B228,'Language Penetration'!$B$1:$AY$14,MATCH('Compile data Working'!#REF!,'Language Penetration'!$B$1:$AY$1,0),0)</f>
        <v>#REF!</v>
      </c>
      <c r="P228" s="103" t="str">
        <f t="shared" ca="1" si="6"/>
        <v>10%</v>
      </c>
      <c r="Q228" s="101" t="e">
        <f t="shared" ca="1" si="7"/>
        <v>#N/A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 t="e">
        <f>VLOOKUP($C229&amp;$E229,'Updated SES'!A:N,14,0)</f>
        <v>#N/A</v>
      </c>
      <c r="M229" s="102" t="e">
        <f>VLOOKUP($K229,'Genre Penetration'!A:B,2,0)*VLOOKUP($C229&amp;$E229,'Updated SES'!A:I,9,0)</f>
        <v>#N/A</v>
      </c>
      <c r="N229" s="102" t="e">
        <f>VLOOKUP(K:K,'Genre Penetration'!A:C,3,0)*VLOOKUP($C229&amp;$E229,'Updated SES'!A:J,10,0)</f>
        <v>#N/A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8%</v>
      </c>
      <c r="Q229" s="101" t="e">
        <f t="shared" ca="1" si="7"/>
        <v>#N/A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 t="e">
        <f>VLOOKUP($C230&amp;$E230,'Updated SES'!A:N,14,0)</f>
        <v>#N/A</v>
      </c>
      <c r="M230" s="102" t="e">
        <f>VLOOKUP($K230,'Genre Penetration'!A:B,2,0)*VLOOKUP($C230&amp;$E230,'Updated SES'!A:I,9,0)</f>
        <v>#N/A</v>
      </c>
      <c r="N230" s="102" t="e">
        <f>VLOOKUP(K:K,'Genre Penetration'!A:C,3,0)*VLOOKUP($C230&amp;$E230,'Updated SES'!A:J,10,0)</f>
        <v>#N/A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5%</v>
      </c>
      <c r="Q230" s="101" t="e">
        <f t="shared" ca="1" si="7"/>
        <v>#N/A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 t="e">
        <f>VLOOKUP($C231&amp;$E231,'Updated SES'!A:N,14,0)</f>
        <v>#N/A</v>
      </c>
      <c r="M231" s="102" t="e">
        <f>VLOOKUP($K231,'Genre Penetration'!A:B,2,0)*VLOOKUP($C231&amp;$E231,'Updated SES'!A:I,9,0)</f>
        <v>#N/A</v>
      </c>
      <c r="N231" s="102" t="e">
        <f>VLOOKUP(K:K,'Genre Penetration'!A:C,3,0)*VLOOKUP($C231&amp;$E231,'Updated SES'!A:J,10,0)</f>
        <v>#N/A</v>
      </c>
      <c r="O231" s="102" t="e">
        <f>VLOOKUP($B231,'Language Penetration'!$B$1:$AY$14,MATCH('Compile data Working'!#REF!,'Language Penetration'!$B$1:$AY$1,0),0)</f>
        <v>#REF!</v>
      </c>
      <c r="P231" s="103" t="str">
        <f t="shared" ca="1" si="6"/>
        <v>3%</v>
      </c>
      <c r="Q231" s="101" t="e">
        <f t="shared" ca="1" si="7"/>
        <v>#N/A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38%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32%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27%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>
        <f>VLOOKUP($B235,'Language Penetration'!$B$1:$AY$14,MATCH('Compile data Working'!$H34,'Language Penetration'!$B$1:$AY$1,0),0)</f>
        <v>0.2</v>
      </c>
      <c r="P235" s="103" t="str">
        <f t="shared" ca="1" si="6"/>
        <v>24%</v>
      </c>
      <c r="Q235" s="101">
        <f t="shared" ca="1" si="7"/>
        <v>1.5554088000000004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18%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10%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8%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7%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>
        <f>VLOOKUP($B240,'Language Penetration'!$B$1:$AY$14,MATCH('Compile data Working'!$H35,'Language Penetration'!$B$1:$AY$1,0),0)</f>
        <v>0.26250000000000001</v>
      </c>
      <c r="P240" s="103" t="str">
        <f t="shared" ca="1" si="6"/>
        <v>5%</v>
      </c>
      <c r="Q240" s="101">
        <f t="shared" ca="1" si="7"/>
        <v>0.3866428125000001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4%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36%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30%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26%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21%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19%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10%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9%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7%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6%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4%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38%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34%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29%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22%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18%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15%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8%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6%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4%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3%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40%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35%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26%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25%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17%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11%</v>
      </c>
      <c r="Q267" s="101">
        <f t="shared" ca="1" si="9"/>
        <v>0.74144840000000012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9%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6%</v>
      </c>
      <c r="Q269" s="101">
        <f t="shared" ca="1" si="9"/>
        <v>0.46280976000000007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4%</v>
      </c>
      <c r="Q270" s="101">
        <f t="shared" ca="1" si="9"/>
        <v>0.33205536000000002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4%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37%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34%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29%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21%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20%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15%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9%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6%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6%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3%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36%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33%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25%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25%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16%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10%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10%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8%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6%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3%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35%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31%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>
        <f>VLOOKUP($B294,'Language Penetration'!$B$1:$AY$14,MATCH('Compile data Working'!$H36,'Language Penetration'!$B$1:$AY$1,0),0)</f>
        <v>0.28333333333333333</v>
      </c>
      <c r="P294" s="103" t="str">
        <f t="shared" ca="1" si="8"/>
        <v>26%</v>
      </c>
      <c r="Q294" s="101">
        <f t="shared" ca="1" si="9"/>
        <v>2.8029442773800004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20%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>
        <f>VLOOKUP($B296,'Language Penetration'!$B$1:$AY$14,MATCH('Compile data Working'!$H37,'Language Penetration'!$B$1:$AY$1,0),0)</f>
        <v>0.6</v>
      </c>
      <c r="P296" s="103" t="str">
        <f t="shared" ca="1" si="8"/>
        <v>15%</v>
      </c>
      <c r="Q296" s="101">
        <f t="shared" ca="1" si="9"/>
        <v>3.1260188520000005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14%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>
        <f>VLOOKUP($B298,'Language Penetration'!$B$1:$AY$14,MATCH('Compile data Working'!$H38,'Language Penetration'!$B$1:$AY$1,0),0)</f>
        <v>0.6</v>
      </c>
      <c r="P298" s="103" t="str">
        <f t="shared" ca="1" si="8"/>
        <v>9%</v>
      </c>
      <c r="Q298" s="101">
        <f t="shared" ca="1" si="9"/>
        <v>2.1313764900000005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7%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>
        <f>VLOOKUP($B300,'Language Penetration'!$B$1:$AY$14,MATCH('Compile data Working'!$H39,'Language Penetration'!$B$1:$AY$1,0),0)</f>
        <v>0.26250000000000001</v>
      </c>
      <c r="P300" s="103" t="str">
        <f t="shared" ca="1" si="8"/>
        <v>5%</v>
      </c>
      <c r="Q300" s="101">
        <f t="shared" ca="1" si="9"/>
        <v>0.65480622165000013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 t="e">
        <f>VLOOKUP($B301,'Language Penetration'!$B$1:$AY$14,MATCH('Compile data Working'!#REF!,'Language Penetration'!$B$1:$AY$1,0),0)</f>
        <v>#REF!</v>
      </c>
      <c r="P301" s="103" t="str">
        <f t="shared" ca="1" si="8"/>
        <v>2%</v>
      </c>
      <c r="Q301" s="101" t="e">
        <f t="shared" ca="1" si="9"/>
        <v>#REF!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 t="e">
        <f>VLOOKUP($B302,'Language Penetration'!$B$1:$AY$14,MATCH('Compile data Working'!#REF!,'Language Penetration'!$B$1:$AY$1,0),0)</f>
        <v>#REF!</v>
      </c>
      <c r="P302" s="103" t="str">
        <f t="shared" ca="1" si="8"/>
        <v>38%</v>
      </c>
      <c r="Q302" s="101" t="e">
        <f t="shared" ca="1" si="9"/>
        <v>#REF!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33%</v>
      </c>
      <c r="Q303" s="101">
        <f t="shared" ca="1" si="9"/>
        <v>6.4388463955200015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29%</v>
      </c>
      <c r="Q304" s="101">
        <f t="shared" ca="1" si="9"/>
        <v>5.6291088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23%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17%</v>
      </c>
      <c r="Q306" s="101">
        <f t="shared" ca="1" si="9"/>
        <v>3.3037821868800008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12%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9%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6%</v>
      </c>
      <c r="Q309" s="101">
        <f t="shared" ca="1" si="9"/>
        <v>1.15951876992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4%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2%</v>
      </c>
      <c r="Q311" s="101">
        <f t="shared" ca="1" si="9"/>
        <v>0.38774854271999992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39%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30%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27%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25%</v>
      </c>
      <c r="Q315" s="101">
        <f t="shared" ca="1" si="9"/>
        <v>4.8449157119999997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18%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 t="e">
        <f>VLOOKUP($B317,'Language Penetration'!$B$1:$AY$14,MATCH('Compile data Working'!#REF!,'Language Penetration'!$B$1:$AY$1,0),0)</f>
        <v>#REF!</v>
      </c>
      <c r="P317" s="103" t="str">
        <f t="shared" ca="1" si="8"/>
        <v>12%</v>
      </c>
      <c r="Q317" s="101" t="e">
        <f t="shared" ca="1" si="9"/>
        <v>#REF!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10%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7%</v>
      </c>
      <c r="Q319" s="101">
        <f t="shared" ca="1" si="9"/>
        <v>1.3554893990400003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6%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>
        <f>VLOOKUP($B321,'Language Penetration'!$B$1:$AY$14,MATCH('Compile data Working'!$H41,'Language Penetration'!$B$1:$AY$1,0),0)</f>
        <v>0.2</v>
      </c>
      <c r="P321" s="103" t="str">
        <f t="shared" ca="1" si="8"/>
        <v>3%</v>
      </c>
      <c r="Q321" s="101">
        <f t="shared" ca="1" si="9"/>
        <v>0.16604484479999998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35%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33%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25%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25%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17%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10%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10%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7%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4%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4%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35%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32%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30%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23%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18%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14%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8%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7%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6%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4%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36%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32%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28%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20%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19%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14%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8%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6%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5%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4%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37%</v>
      </c>
      <c r="Q352" s="101">
        <f t="shared" ca="1" si="11"/>
        <v>2.8078241800000003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35%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>
        <f>VLOOKUP($B354,'Language Penetration'!$B$1:$AY$14,MATCH('Compile data Working'!$H42,'Language Penetration'!$B$1:$AY$1,0),0)</f>
        <v>0.2</v>
      </c>
      <c r="P354" s="103" t="str">
        <f t="shared" ca="1" si="10"/>
        <v>27%</v>
      </c>
      <c r="Q354" s="101">
        <f t="shared" ca="1" si="11"/>
        <v>0.67322734200000034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25%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>
        <f>VLOOKUP($B356,'Language Penetration'!$B$1:$AY$14,MATCH('Compile data Working'!$H43,'Language Penetration'!$B$1:$AY$1,0),0)</f>
        <v>0.15</v>
      </c>
      <c r="P356" s="103" t="str">
        <f t="shared" ca="1" si="10"/>
        <v>19%</v>
      </c>
      <c r="Q356" s="101">
        <f t="shared" ca="1" si="11"/>
        <v>0.3460453584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10%</v>
      </c>
      <c r="Q357" s="101">
        <f t="shared" ca="1" si="11"/>
        <v>0.78163754200000024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9%</v>
      </c>
      <c r="Q358" s="101">
        <f t="shared" ca="1" si="11"/>
        <v>0.73215912672000005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 t="e">
        <f>VLOOKUP($B359,'Language Penetration'!$B$1:$AY$14,MATCH('Compile data Working'!#REF!,'Language Penetration'!$B$1:$AY$1,0),0)</f>
        <v>#REF!</v>
      </c>
      <c r="P359" s="103" t="str">
        <f t="shared" ca="1" si="10"/>
        <v>6%</v>
      </c>
      <c r="Q359" s="101" t="e">
        <f t="shared" ca="1" si="11"/>
        <v>#REF!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6%</v>
      </c>
      <c r="Q360" s="101">
        <f t="shared" ca="1" si="11"/>
        <v>0.14101998816000005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 t="e">
        <f>VLOOKUP($B361,'Language Penetration'!$B$1:$AY$14,MATCH('Compile data Working'!#REF!,'Language Penetration'!$B$1:$AY$1,0),0)</f>
        <v>#REF!</v>
      </c>
      <c r="P361" s="103" t="str">
        <f t="shared" ca="1" si="10"/>
        <v>3%</v>
      </c>
      <c r="Q361" s="101" t="e">
        <f t="shared" ca="1" si="11"/>
        <v>#REF!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Working'!$H45,'Language Penetration'!$B$1:$AY$1,0),0)</f>
        <v>0.2</v>
      </c>
      <c r="P362" s="103" t="str">
        <f t="shared" ca="1" si="10"/>
        <v>35%</v>
      </c>
      <c r="Q362" s="101">
        <f t="shared" ca="1" si="11"/>
        <v>0.38075000599999997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>
        <f>VLOOKUP($B363,'Language Penetration'!$B$1:$AY$14,MATCH('Compile data Working'!$H46,'Language Penetration'!$B$1:$AY$1,0),0)</f>
        <v>0.2</v>
      </c>
      <c r="P363" s="103" t="str">
        <f t="shared" ca="1" si="10"/>
        <v>35%</v>
      </c>
      <c r="Q363" s="101">
        <f t="shared" ca="1" si="11"/>
        <v>0.38383300199999998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>
        <f>VLOOKUP($B364,'Language Penetration'!$B$1:$AY$14,MATCH('Compile data Working'!$H47,'Language Penetration'!$B$1:$AY$1,0),0)</f>
        <v>0.2</v>
      </c>
      <c r="P364" s="103" t="str">
        <f t="shared" ca="1" si="10"/>
        <v>26%</v>
      </c>
      <c r="Q364" s="101">
        <f t="shared" ca="1" si="11"/>
        <v>0.2828428616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>
        <f>VLOOKUP($B365,'Language Penetration'!$B$1:$AY$14,MATCH('Compile data Working'!$H48,'Language Penetration'!$B$1:$AY$1,0),0)</f>
        <v>0.26250000000000001</v>
      </c>
      <c r="P365" s="103" t="str">
        <f t="shared" ca="1" si="10"/>
        <v>23%</v>
      </c>
      <c r="Q365" s="101">
        <f t="shared" ca="1" si="11"/>
        <v>0.33238550625000002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>
        <f>VLOOKUP($B366,'Language Penetration'!$B$1:$AY$14,MATCH('Compile data Working'!$H49,'Language Penetration'!$B$1:$AY$1,0),0)</f>
        <v>0.2</v>
      </c>
      <c r="P366" s="103" t="str">
        <f t="shared" ca="1" si="10"/>
        <v>16%</v>
      </c>
      <c r="Q366" s="101">
        <f t="shared" ca="1" si="11"/>
        <v>0.1761712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>
        <f>VLOOKUP($B367,'Language Penetration'!$B$1:$AY$14,MATCH('Compile data Working'!$H50,'Language Penetration'!$B$1:$AY$1,0),0)</f>
        <v>0.20400000000000001</v>
      </c>
      <c r="P367" s="103" t="str">
        <f t="shared" ca="1" si="10"/>
        <v>12%</v>
      </c>
      <c r="Q367" s="101">
        <f t="shared" ca="1" si="11"/>
        <v>0.134231884128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>
        <f>VLOOKUP($B368,'Language Penetration'!$B$1:$AY$14,MATCH('Compile data Working'!$H51,'Language Penetration'!$B$1:$AY$1,0),0)</f>
        <v>0.6</v>
      </c>
      <c r="P368" s="103" t="str">
        <f t="shared" ca="1" si="10"/>
        <v>9%</v>
      </c>
      <c r="Q368" s="101">
        <f t="shared" ca="1" si="11"/>
        <v>0.30561298919999996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>
        <f>VLOOKUP($B369,'Language Penetration'!$B$1:$AY$14,MATCH('Compile data Working'!$H52,'Language Penetration'!$B$1:$AY$1,0),0)</f>
        <v>0.6</v>
      </c>
      <c r="P369" s="103" t="str">
        <f t="shared" ca="1" si="10"/>
        <v>8%</v>
      </c>
      <c r="Q369" s="101">
        <f t="shared" ca="1" si="11"/>
        <v>0.27694112640000002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6%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4%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38%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31%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30%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22%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18%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15%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8%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8%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6%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2%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40%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30%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>
        <f>VLOOKUP($B384,'Language Penetration'!$B$1:$AY$14,MATCH('Compile data Working'!$H53,'Language Penetration'!$B$1:$AY$1,0),0)</f>
        <v>0.2</v>
      </c>
      <c r="P384" s="103" t="str">
        <f t="shared" ca="1" si="10"/>
        <v>29%</v>
      </c>
      <c r="Q384" s="101">
        <f t="shared" ca="1" si="11"/>
        <v>0.3333599532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>
        <f>VLOOKUP($B385,'Language Penetration'!$B$1:$AY$14,MATCH('Compile data Working'!$H54,'Language Penetration'!$B$1:$AY$1,0),0)</f>
        <v>0.20400000000000001</v>
      </c>
      <c r="P385" s="103" t="str">
        <f t="shared" ca="1" si="10"/>
        <v>21%</v>
      </c>
      <c r="Q385" s="101">
        <f t="shared" ca="1" si="11"/>
        <v>0.23301900367199996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17%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10%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 t="e">
        <f>VLOOKUP($B388,'Language Penetration'!$B$1:$AY$14,MATCH('Compile data Working'!#REF!,'Language Penetration'!$B$1:$AY$1,0),0)</f>
        <v>#REF!</v>
      </c>
      <c r="P388" s="103" t="str">
        <f t="shared" ca="1" si="10"/>
        <v>10%</v>
      </c>
      <c r="Q388" s="101" t="e">
        <f t="shared" ca="1" si="11"/>
        <v>#REF!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7%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5%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 t="e">
        <f>VLOOKUP($B391,'Language Penetration'!$B$1:$AY$14,MATCH('Compile data Working'!#REF!,'Language Penetration'!$B$1:$AY$1,0),0)</f>
        <v>#REF!</v>
      </c>
      <c r="P391" s="103" t="str">
        <f t="shared" ca="1" si="12"/>
        <v>2%</v>
      </c>
      <c r="Q391" s="101" t="e">
        <f t="shared" ca="1" si="13"/>
        <v>#REF!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39%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 t="e">
        <f>VLOOKUP($B393,'Language Penetration'!$B$1:$AY$14,MATCH('Compile data Working'!#REF!,'Language Penetration'!$B$1:$AY$1,0),0)</f>
        <v>#REF!</v>
      </c>
      <c r="P393" s="103" t="str">
        <f t="shared" ca="1" si="12"/>
        <v>31%</v>
      </c>
      <c r="Q393" s="101" t="e">
        <f t="shared" ca="1" si="13"/>
        <v>#REF!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Working'!#REF!,'Language Penetration'!$B$1:$AY$1,0),0)</f>
        <v>#REF!</v>
      </c>
      <c r="P394" s="103" t="str">
        <f t="shared" ca="1" si="12"/>
        <v>29%</v>
      </c>
      <c r="Q394" s="101" t="e">
        <f t="shared" ca="1" si="13"/>
        <v>#REF!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 t="e">
        <f>VLOOKUP($B395,'Language Penetration'!$B$1:$AY$14,MATCH('Compile data Working'!#REF!,'Language Penetration'!$B$1:$AY$1,0),0)</f>
        <v>#REF!</v>
      </c>
      <c r="P395" s="103" t="str">
        <f t="shared" ca="1" si="12"/>
        <v>25%</v>
      </c>
      <c r="Q395" s="101" t="e">
        <f t="shared" ca="1" si="13"/>
        <v>#REF!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 t="e">
        <f>VLOOKUP($B396,'Language Penetration'!$B$1:$AY$14,MATCH('Compile data Working'!#REF!,'Language Penetration'!$B$1:$AY$1,0),0)</f>
        <v>#REF!</v>
      </c>
      <c r="P396" s="103" t="str">
        <f t="shared" ca="1" si="12"/>
        <v>18%</v>
      </c>
      <c r="Q396" s="101" t="e">
        <f t="shared" ca="1" si="13"/>
        <v>#REF!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10%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 t="e">
        <f>VLOOKUP($B398,'Language Penetration'!$B$1:$AY$14,MATCH('Compile data Working'!#REF!,'Language Penetration'!$B$1:$AY$1,0),0)</f>
        <v>#REF!</v>
      </c>
      <c r="P398" s="103" t="str">
        <f t="shared" ca="1" si="12"/>
        <v>9%</v>
      </c>
      <c r="Q398" s="101" t="e">
        <f t="shared" ca="1" si="13"/>
        <v>#REF!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 t="e">
        <f>VLOOKUP($B399,'Language Penetration'!$B$1:$AY$14,MATCH('Compile data Working'!#REF!,'Language Penetration'!$B$1:$AY$1,0),0)</f>
        <v>#REF!</v>
      </c>
      <c r="P399" s="103" t="str">
        <f t="shared" ca="1" si="12"/>
        <v>7%</v>
      </c>
      <c r="Q399" s="101" t="e">
        <f t="shared" ca="1" si="13"/>
        <v>#REF!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4%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 t="e">
        <f>VLOOKUP($B401,'Language Penetration'!$B$1:$AY$14,MATCH('Compile data Working'!#REF!,'Language Penetration'!$B$1:$AY$1,0),0)</f>
        <v>#REF!</v>
      </c>
      <c r="P401" s="103" t="str">
        <f t="shared" ca="1" si="12"/>
        <v>3%</v>
      </c>
      <c r="Q401" s="101" t="e">
        <f t="shared" ca="1" si="13"/>
        <v>#REF!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35%</v>
      </c>
      <c r="Q402" s="101">
        <f t="shared" ca="1" si="13"/>
        <v>4.9806855000000009E-3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31%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28%</v>
      </c>
      <c r="Q404" s="101">
        <f t="shared" ca="1" si="13"/>
        <v>5.2244640000000016E-3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24%</v>
      </c>
      <c r="Q405" s="101">
        <f t="shared" ca="1" si="13"/>
        <v>4.0916448000000005E-3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15%</v>
      </c>
      <c r="Q406" s="101">
        <f t="shared" ca="1" si="13"/>
        <v>2.4968925000000003E-3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15%</v>
      </c>
      <c r="Q407" s="101">
        <f t="shared" ca="1" si="13"/>
        <v>2.8189485000000001E-3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9%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7%</v>
      </c>
      <c r="Q409" s="101">
        <f t="shared" ca="1" si="13"/>
        <v>1.2779361000000004E-3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5%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36%</v>
      </c>
      <c r="Q411" s="101">
        <f t="shared" ca="1" si="13"/>
        <v>5.9683877999999998E-3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33%</v>
      </c>
      <c r="Q412" s="101">
        <f t="shared" ca="1" si="13"/>
        <v>5.8031424000000009E-3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30%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25%</v>
      </c>
      <c r="Q414" s="101">
        <f t="shared" ca="1" si="13"/>
        <v>4.2621300000000003E-3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16%</v>
      </c>
      <c r="Q415" s="101">
        <f t="shared" ca="1" si="13"/>
        <v>2.9854080000000006E-3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13%</v>
      </c>
      <c r="Q416" s="101">
        <f t="shared" ca="1" si="13"/>
        <v>2.2163076E-3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10%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6%</v>
      </c>
      <c r="Q418" s="101">
        <f t="shared" ca="1" si="13"/>
        <v>1.0712196000000002E-3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5%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3%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38%</v>
      </c>
      <c r="Q421" s="101">
        <f t="shared" ca="1" si="13"/>
        <v>7.9799999999999982E-2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34%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 t="e">
        <f>VLOOKUP($B423,'Language Penetration'!$B$1:$AY$14,MATCH('Compile data Working'!#REF!,'Language Penetration'!$B$1:$AY$1,0),0)</f>
        <v>#REF!</v>
      </c>
      <c r="P423" s="103" t="str">
        <f t="shared" ca="1" si="12"/>
        <v>26%</v>
      </c>
      <c r="Q423" s="101" t="e">
        <f t="shared" ca="1" si="13"/>
        <v>#REF!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24%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 t="e">
        <f>VLOOKUP($B425,'Language Penetration'!$B$1:$AY$14,MATCH('Compile data Working'!#REF!,'Language Penetration'!$B$1:$AY$1,0),0)</f>
        <v>#REF!</v>
      </c>
      <c r="P425" s="103" t="str">
        <f t="shared" ca="1" si="12"/>
        <v>15%</v>
      </c>
      <c r="Q425" s="101" t="e">
        <f t="shared" ca="1" si="13"/>
        <v>#REF!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Working'!#REF!,'Language Penetration'!$B$1:$AY$1,0),0)</f>
        <v>#REF!</v>
      </c>
      <c r="P426" s="103" t="str">
        <f t="shared" ca="1" si="12"/>
        <v>11%</v>
      </c>
      <c r="Q426" s="101" t="e">
        <f t="shared" ca="1" si="13"/>
        <v>#REF!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8%</v>
      </c>
      <c r="Q427" s="101">
        <f t="shared" ca="1" si="13"/>
        <v>1.6239999999999997E-2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8%</v>
      </c>
      <c r="Q428" s="101">
        <f t="shared" ca="1" si="13"/>
        <v>1.5679999999999999E-2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6%</v>
      </c>
      <c r="Q429" s="101">
        <f t="shared" ca="1" si="13"/>
        <v>1.0962E-2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3%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40%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31%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29%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22%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17%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15%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10%</v>
      </c>
      <c r="Q437" s="101">
        <f t="shared" ca="1" si="13"/>
        <v>0.50527679999999997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7%</v>
      </c>
      <c r="Q438" s="101">
        <f t="shared" ca="1" si="13"/>
        <v>1.5621474400000002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4%</v>
      </c>
      <c r="Q439" s="101">
        <f t="shared" ca="1" si="13"/>
        <v>0.67370239999999992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2%</v>
      </c>
      <c r="Q440" s="101">
        <f t="shared" ca="1" si="13"/>
        <v>9.0228000000000003E-2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37%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31%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29%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22%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16%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10%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8%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7%</v>
      </c>
      <c r="Q448" s="101">
        <f t="shared" ca="1" si="13"/>
        <v>1.4471969679999999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6%</v>
      </c>
      <c r="Q449" s="101">
        <f t="shared" ca="1" si="13"/>
        <v>0.96724416000000002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4%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50 Shows &amp; Movies</vt:lpstr>
      <vt:lpstr>Compile data Working</vt:lpstr>
      <vt:lpstr>Sheet2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MIS-NEW</cp:lastModifiedBy>
  <cp:lastPrinted>2026-01-13T09:46:27Z</cp:lastPrinted>
  <dcterms:created xsi:type="dcterms:W3CDTF">2024-10-03T10:22:33Z</dcterms:created>
  <dcterms:modified xsi:type="dcterms:W3CDTF">2026-06-23T12:29:19Z</dcterms:modified>
</cp:coreProperties>
</file>