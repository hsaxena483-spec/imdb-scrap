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COTT Data 2026\"/>
    </mc:Choice>
  </mc:AlternateContent>
  <xr:revisionPtr revIDLastSave="0" documentId="13_ncr:1_{38454C2F-687C-4538-A988-B4218AA47A06}" xr6:coauthVersionLast="47" xr6:coauthVersionMax="47" xr10:uidLastSave="{00000000-0000-0000-0000-000000000000}"/>
  <bookViews>
    <workbookView xWindow="-120" yWindow="-120" windowWidth="20730" windowHeight="11160" tabRatio="558" xr2:uid="{2717C1BE-F3A3-485B-AE3B-58697426EF0E}"/>
  </bookViews>
  <sheets>
    <sheet name="Top 50 Shows &amp; Movies" sheetId="28" r:id="rId1"/>
    <sheet name="Compile data Working" sheetId="2" r:id="rId2"/>
    <sheet name="Sheet2" sheetId="30" state="hidden" r:id="rId3"/>
    <sheet name="ranking" sheetId="21" state="hidden" r:id="rId4"/>
    <sheet name="Updated SES" sheetId="7" state="hidden" r:id="rId5"/>
    <sheet name="Genre Penetration" sheetId="8" state="hidden" r:id="rId6"/>
    <sheet name="Language Penetration" sheetId="9" state="hidden" r:id="rId7"/>
    <sheet name="Sheet1" sheetId="29" state="hidden" r:id="rId8"/>
    <sheet name="Age Breakup" sheetId="1" state="hidden" r:id="rId9"/>
  </sheets>
  <definedNames>
    <definedName name="_xlnm._FilterDatabase" localSheetId="8" hidden="1">'Age Breakup'!$B$3:$H$63</definedName>
    <definedName name="_xlnm._FilterDatabase" localSheetId="1" hidden="1">'Compile data Working'!$A$4:$U$261</definedName>
    <definedName name="_xlnm._FilterDatabase" localSheetId="5" hidden="1">'Genre Penetration'!$A$1:$C$688</definedName>
    <definedName name="_xlnm._FilterDatabase" localSheetId="3" hidden="1">ranking!$W$2:$X$9</definedName>
    <definedName name="_xlnm._FilterDatabase" localSheetId="0" hidden="1">'Top 50 Shows &amp; Movies'!$A$6:$L$56</definedName>
    <definedName name="_xlnm._FilterDatabase" localSheetId="4" hidden="1">'Updated SES'!$A$2:$N$45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2" l="1"/>
  <c r="M34" i="2"/>
  <c r="N34" i="2"/>
  <c r="O34" i="2"/>
  <c r="P34" i="2"/>
  <c r="R34" i="2"/>
  <c r="L178" i="2"/>
  <c r="M178" i="2"/>
  <c r="N178" i="2"/>
  <c r="O178" i="2"/>
  <c r="P178" i="2"/>
  <c r="R178" i="2"/>
  <c r="L112" i="2"/>
  <c r="M112" i="2"/>
  <c r="N112" i="2"/>
  <c r="O112" i="2"/>
  <c r="P112" i="2"/>
  <c r="R112" i="2"/>
  <c r="L117" i="2"/>
  <c r="M117" i="2"/>
  <c r="N117" i="2"/>
  <c r="O117" i="2"/>
  <c r="P117" i="2"/>
  <c r="R117" i="2"/>
  <c r="L71" i="2"/>
  <c r="M71" i="2"/>
  <c r="N71" i="2"/>
  <c r="O71" i="2"/>
  <c r="P71" i="2"/>
  <c r="R71" i="2"/>
  <c r="L141" i="2"/>
  <c r="M141" i="2"/>
  <c r="N141" i="2"/>
  <c r="O141" i="2"/>
  <c r="P141" i="2"/>
  <c r="R141" i="2"/>
  <c r="L108" i="2"/>
  <c r="M108" i="2"/>
  <c r="N108" i="2"/>
  <c r="O108" i="2"/>
  <c r="P108" i="2"/>
  <c r="R108" i="2"/>
  <c r="L133" i="2"/>
  <c r="M133" i="2"/>
  <c r="N133" i="2"/>
  <c r="O133" i="2"/>
  <c r="P133" i="2"/>
  <c r="R133" i="2"/>
  <c r="L228" i="2"/>
  <c r="M228" i="2"/>
  <c r="N228" i="2"/>
  <c r="O228" i="2"/>
  <c r="P228" i="2"/>
  <c r="R228" i="2"/>
  <c r="L213" i="2"/>
  <c r="M213" i="2"/>
  <c r="N213" i="2"/>
  <c r="O213" i="2"/>
  <c r="P213" i="2"/>
  <c r="R213" i="2"/>
  <c r="L169" i="2"/>
  <c r="M169" i="2"/>
  <c r="N169" i="2"/>
  <c r="O169" i="2"/>
  <c r="P169" i="2"/>
  <c r="R169" i="2"/>
  <c r="L109" i="2"/>
  <c r="M109" i="2"/>
  <c r="N109" i="2"/>
  <c r="O109" i="2"/>
  <c r="P109" i="2"/>
  <c r="R109" i="2"/>
  <c r="L132" i="2"/>
  <c r="M132" i="2"/>
  <c r="N132" i="2"/>
  <c r="O132" i="2"/>
  <c r="P132" i="2"/>
  <c r="R132" i="2"/>
  <c r="L253" i="2"/>
  <c r="M253" i="2"/>
  <c r="N253" i="2"/>
  <c r="O253" i="2"/>
  <c r="P253" i="2"/>
  <c r="R253" i="2"/>
  <c r="L21" i="2"/>
  <c r="M21" i="2"/>
  <c r="N21" i="2"/>
  <c r="O21" i="2"/>
  <c r="P21" i="2"/>
  <c r="R21" i="2"/>
  <c r="L37" i="2"/>
  <c r="M37" i="2"/>
  <c r="N37" i="2"/>
  <c r="O37" i="2"/>
  <c r="P37" i="2"/>
  <c r="R37" i="2"/>
  <c r="L255" i="2"/>
  <c r="M255" i="2"/>
  <c r="N255" i="2"/>
  <c r="O255" i="2"/>
  <c r="P255" i="2"/>
  <c r="R255" i="2"/>
  <c r="L144" i="2"/>
  <c r="M144" i="2"/>
  <c r="N144" i="2"/>
  <c r="O144" i="2"/>
  <c r="P144" i="2"/>
  <c r="R144" i="2"/>
  <c r="L155" i="2"/>
  <c r="M155" i="2"/>
  <c r="N155" i="2"/>
  <c r="O155" i="2"/>
  <c r="P155" i="2"/>
  <c r="R155" i="2"/>
  <c r="L249" i="2"/>
  <c r="M249" i="2"/>
  <c r="N249" i="2"/>
  <c r="O249" i="2"/>
  <c r="P249" i="2"/>
  <c r="R249" i="2"/>
  <c r="L246" i="2"/>
  <c r="M246" i="2"/>
  <c r="N246" i="2"/>
  <c r="O246" i="2"/>
  <c r="P246" i="2"/>
  <c r="R246" i="2"/>
  <c r="L236" i="2"/>
  <c r="M236" i="2"/>
  <c r="N236" i="2"/>
  <c r="O236" i="2"/>
  <c r="P236" i="2"/>
  <c r="R236" i="2"/>
  <c r="Q37" i="2" l="1"/>
  <c r="S37" i="2" s="1"/>
  <c r="Q109" i="2"/>
  <c r="S109" i="2" s="1"/>
  <c r="Q133" i="2"/>
  <c r="S133" i="2" s="1"/>
  <c r="Q246" i="2"/>
  <c r="S246" i="2" s="1"/>
  <c r="Q255" i="2"/>
  <c r="S255" i="2" s="1"/>
  <c r="Q228" i="2"/>
  <c r="S228" i="2" s="1"/>
  <c r="Q71" i="2"/>
  <c r="S71" i="2" s="1"/>
  <c r="Q34" i="2"/>
  <c r="S34" i="2" s="1"/>
  <c r="Q117" i="2"/>
  <c r="S117" i="2" s="1"/>
  <c r="Q249" i="2"/>
  <c r="S249" i="2" s="1"/>
  <c r="Q132" i="2"/>
  <c r="S132" i="2" s="1"/>
  <c r="Q236" i="2"/>
  <c r="S236" i="2" s="1"/>
  <c r="Q144" i="2"/>
  <c r="S144" i="2" s="1"/>
  <c r="Q253" i="2"/>
  <c r="S253" i="2" s="1"/>
  <c r="Q213" i="2"/>
  <c r="S213" i="2" s="1"/>
  <c r="Q141" i="2"/>
  <c r="S141" i="2" s="1"/>
  <c r="Q178" i="2"/>
  <c r="S178" i="2" s="1"/>
  <c r="Q21" i="2"/>
  <c r="S21" i="2" s="1"/>
  <c r="Q169" i="2"/>
  <c r="S169" i="2" s="1"/>
  <c r="Q108" i="2"/>
  <c r="S108" i="2" s="1"/>
  <c r="Q155" i="2"/>
  <c r="S155" i="2" s="1"/>
  <c r="Q112" i="2"/>
  <c r="S112" i="2" s="1"/>
  <c r="L229" i="2"/>
  <c r="M229" i="2"/>
  <c r="N229" i="2"/>
  <c r="O229" i="2"/>
  <c r="P229" i="2"/>
  <c r="R229" i="2"/>
  <c r="L168" i="2"/>
  <c r="M168" i="2"/>
  <c r="N168" i="2"/>
  <c r="O168" i="2"/>
  <c r="P168" i="2"/>
  <c r="R168" i="2"/>
  <c r="L160" i="2"/>
  <c r="M160" i="2"/>
  <c r="N160" i="2"/>
  <c r="O160" i="2"/>
  <c r="P160" i="2"/>
  <c r="R160" i="2"/>
  <c r="C62" i="28"/>
  <c r="D62" i="28"/>
  <c r="C63" i="28"/>
  <c r="D63" i="28"/>
  <c r="C64" i="28"/>
  <c r="D64" i="28"/>
  <c r="C65" i="28"/>
  <c r="D65" i="28"/>
  <c r="C66" i="28"/>
  <c r="D66" i="28"/>
  <c r="Q168" i="2" l="1"/>
  <c r="S168" i="2" s="1"/>
  <c r="Q160" i="2"/>
  <c r="S160" i="2" s="1"/>
  <c r="Q229" i="2"/>
  <c r="S229" i="2" s="1"/>
  <c r="O19" i="2"/>
  <c r="O176" i="2"/>
  <c r="O33" i="2"/>
  <c r="O153" i="2"/>
  <c r="O13" i="2"/>
  <c r="O148" i="2"/>
  <c r="O107" i="2"/>
  <c r="O140" i="2"/>
  <c r="O211" i="2"/>
  <c r="O88" i="2"/>
  <c r="O43" i="2"/>
  <c r="O58" i="2"/>
  <c r="O104" i="2"/>
  <c r="O10" i="2"/>
  <c r="O85" i="2"/>
  <c r="O174" i="2"/>
  <c r="O192" i="2"/>
  <c r="O243" i="2"/>
  <c r="O98" i="2"/>
  <c r="O92" i="2"/>
  <c r="O79" i="2"/>
  <c r="O115" i="2"/>
  <c r="O28" i="2"/>
  <c r="O66" i="2"/>
  <c r="O78" i="2"/>
  <c r="O261" i="2"/>
  <c r="O29" i="2"/>
  <c r="O124" i="2"/>
  <c r="O81" i="2"/>
  <c r="O76" i="2"/>
  <c r="O167" i="2"/>
  <c r="O116" i="2"/>
  <c r="O14" i="2"/>
  <c r="O45" i="2"/>
  <c r="O23" i="2"/>
  <c r="O97" i="2"/>
  <c r="O173" i="2"/>
  <c r="O102" i="2"/>
  <c r="O90" i="2"/>
  <c r="O35" i="2"/>
  <c r="O103" i="2"/>
  <c r="O166" i="2"/>
  <c r="O111" i="2"/>
  <c r="O24" i="2"/>
  <c r="O114" i="2"/>
  <c r="O171" i="2"/>
  <c r="O22" i="2"/>
  <c r="O121" i="2"/>
  <c r="O162" i="2"/>
  <c r="O252" i="2"/>
  <c r="O113" i="2"/>
  <c r="O142" i="2"/>
  <c r="O231" i="2"/>
  <c r="O257" i="2"/>
  <c r="O36" i="2"/>
  <c r="O214" i="2"/>
  <c r="O134" i="2"/>
  <c r="O223" i="2"/>
  <c r="O196" i="2"/>
  <c r="O16" i="2"/>
  <c r="O203" i="2"/>
  <c r="O127" i="2"/>
  <c r="O137" i="2"/>
  <c r="O183" i="2"/>
  <c r="O138" i="2"/>
  <c r="O106" i="2"/>
  <c r="O62" i="2"/>
  <c r="O11" i="2"/>
  <c r="O232" i="2"/>
  <c r="O136" i="2"/>
  <c r="O230" i="2"/>
  <c r="O187" i="2"/>
  <c r="O209" i="2"/>
  <c r="O80" i="2"/>
  <c r="O44" i="2"/>
  <c r="O215" i="2"/>
  <c r="O63" i="2"/>
  <c r="O242" i="2"/>
  <c r="O198" i="2"/>
  <c r="O72" i="2"/>
  <c r="O204" i="2"/>
  <c r="O20" i="2"/>
  <c r="O184" i="2"/>
  <c r="O233" i="2"/>
  <c r="O147" i="2"/>
  <c r="O131" i="2"/>
  <c r="O224" i="2"/>
  <c r="O77" i="2"/>
  <c r="O7" i="2"/>
  <c r="O27" i="2"/>
  <c r="O125" i="2"/>
  <c r="O95" i="2"/>
  <c r="O152" i="2"/>
  <c r="O201" i="2"/>
  <c r="O130" i="2"/>
  <c r="O101" i="2"/>
  <c r="O38" i="2"/>
  <c r="O189" i="2"/>
  <c r="O225" i="2"/>
  <c r="O9" i="2"/>
  <c r="O240" i="2"/>
  <c r="O150" i="2"/>
  <c r="O149" i="2"/>
  <c r="O110" i="2"/>
  <c r="O156" i="2"/>
  <c r="O226" i="2"/>
  <c r="O218" i="2"/>
  <c r="O83" i="2"/>
  <c r="O191" i="2"/>
  <c r="O217" i="2"/>
  <c r="O49" i="2"/>
  <c r="O56" i="2"/>
  <c r="O212" i="2"/>
  <c r="O157" i="2"/>
  <c r="O185" i="2"/>
  <c r="O164" i="2"/>
  <c r="O205" i="2"/>
  <c r="O42" i="2"/>
  <c r="O139" i="2"/>
  <c r="O67" i="2"/>
  <c r="O199" i="2"/>
  <c r="O244" i="2"/>
  <c r="O254" i="2"/>
  <c r="O241" i="2"/>
  <c r="O180" i="2"/>
  <c r="O32" i="2"/>
  <c r="O159" i="2"/>
  <c r="O146" i="2"/>
  <c r="O170" i="2"/>
  <c r="O89" i="2"/>
  <c r="O188" i="2"/>
  <c r="O210" i="2"/>
  <c r="O52" i="2"/>
  <c r="O234" i="2"/>
  <c r="O206" i="2"/>
  <c r="O96" i="2"/>
  <c r="O237" i="2"/>
  <c r="O208" i="2"/>
  <c r="O175" i="2"/>
  <c r="O73" i="2"/>
  <c r="O256" i="2"/>
  <c r="O186" i="2"/>
  <c r="O200" i="2"/>
  <c r="O74" i="2"/>
  <c r="O120" i="2"/>
  <c r="O145" i="2"/>
  <c r="O154" i="2"/>
  <c r="O25" i="2"/>
  <c r="O197" i="2"/>
  <c r="O46" i="2"/>
  <c r="O202" i="2"/>
  <c r="O235" i="2"/>
  <c r="O193" i="2"/>
  <c r="O105" i="2"/>
  <c r="O53" i="2"/>
  <c r="O165" i="2"/>
  <c r="O30" i="2"/>
  <c r="O54" i="2"/>
  <c r="O195" i="2"/>
  <c r="O207" i="2"/>
  <c r="O221" i="2"/>
  <c r="O220" i="2"/>
  <c r="O128" i="2"/>
  <c r="O126" i="2"/>
  <c r="O216" i="2"/>
  <c r="O222" i="2"/>
  <c r="O12" i="2"/>
  <c r="O179" i="2"/>
  <c r="O5" i="2"/>
  <c r="O260" i="2"/>
  <c r="O248" i="2"/>
  <c r="O60" i="2"/>
  <c r="O182" i="2"/>
  <c r="O31" i="2"/>
  <c r="O161" i="2"/>
  <c r="O135" i="2"/>
  <c r="O158" i="2"/>
  <c r="O177" i="2"/>
  <c r="O245" i="2"/>
  <c r="O47" i="2"/>
  <c r="O122" i="2"/>
  <c r="O39" i="2"/>
  <c r="O238" i="2"/>
  <c r="O64" i="2"/>
  <c r="O26" i="2"/>
  <c r="O69" i="2"/>
  <c r="O100" i="2"/>
  <c r="O181" i="2"/>
  <c r="O151" i="2"/>
  <c r="O61" i="2"/>
  <c r="O8" i="2"/>
  <c r="O18" i="2"/>
  <c r="O40" i="2"/>
  <c r="O194" i="2"/>
  <c r="O143" i="2"/>
  <c r="O17" i="2"/>
  <c r="O15" i="2"/>
  <c r="O258" i="2"/>
  <c r="O251" i="2"/>
  <c r="O247" i="2"/>
  <c r="O239" i="2"/>
  <c r="O129" i="2"/>
  <c r="O119" i="2"/>
  <c r="O51" i="2"/>
  <c r="O118" i="2"/>
  <c r="O172" i="2"/>
  <c r="O65" i="2"/>
  <c r="O99" i="2"/>
  <c r="O91" i="2"/>
  <c r="O82" i="2"/>
  <c r="O57" i="2"/>
  <c r="O219" i="2"/>
  <c r="O190" i="2"/>
  <c r="O6" i="2"/>
  <c r="O259" i="2"/>
  <c r="O227" i="2"/>
  <c r="O70" i="2"/>
  <c r="O68" i="2"/>
  <c r="O50" i="2"/>
  <c r="O55" i="2"/>
  <c r="O94" i="2"/>
  <c r="O250" i="2"/>
  <c r="O87" i="2"/>
  <c r="O59" i="2"/>
  <c r="O163" i="2"/>
  <c r="R73" i="2"/>
  <c r="R140" i="2"/>
  <c r="R211" i="2"/>
  <c r="R97" i="2"/>
  <c r="R65" i="2"/>
  <c r="R88" i="2"/>
  <c r="R43" i="2"/>
  <c r="R137" i="2"/>
  <c r="R138" i="2"/>
  <c r="R10" i="2"/>
  <c r="R59" i="2"/>
  <c r="R171" i="2"/>
  <c r="R174" i="2"/>
  <c r="R192" i="2"/>
  <c r="R243" i="2"/>
  <c r="R92" i="2"/>
  <c r="R79" i="2"/>
  <c r="R17" i="2"/>
  <c r="R209" i="2"/>
  <c r="R91" i="2"/>
  <c r="R40" i="2"/>
  <c r="R13" i="2"/>
  <c r="R28" i="2"/>
  <c r="R261" i="2"/>
  <c r="R76" i="2"/>
  <c r="R29" i="2"/>
  <c r="R86" i="2"/>
  <c r="R167" i="2"/>
  <c r="R176" i="2"/>
  <c r="R51" i="2"/>
  <c r="R7" i="2"/>
  <c r="R45" i="2"/>
  <c r="R146" i="2"/>
  <c r="R9" i="2"/>
  <c r="R239" i="2"/>
  <c r="R150" i="2"/>
  <c r="R219" i="2"/>
  <c r="R23" i="2"/>
  <c r="R173" i="2"/>
  <c r="R67" i="2"/>
  <c r="R90" i="2"/>
  <c r="R35" i="2"/>
  <c r="R111" i="2"/>
  <c r="R11" i="2"/>
  <c r="R232" i="2"/>
  <c r="R201" i="2"/>
  <c r="R19" i="2"/>
  <c r="R162" i="2"/>
  <c r="R252" i="2"/>
  <c r="R54" i="2"/>
  <c r="R231" i="2"/>
  <c r="R257" i="2"/>
  <c r="R81" i="2"/>
  <c r="R36" i="2"/>
  <c r="R214" i="2"/>
  <c r="R18" i="2"/>
  <c r="R134" i="2"/>
  <c r="R66" i="2"/>
  <c r="R31" i="2"/>
  <c r="R196" i="2"/>
  <c r="R22" i="2"/>
  <c r="R203" i="2"/>
  <c r="R8" i="2"/>
  <c r="R183" i="2"/>
  <c r="R121" i="2"/>
  <c r="R84" i="2"/>
  <c r="R96" i="2"/>
  <c r="R103" i="2"/>
  <c r="R98" i="2"/>
  <c r="R25" i="2"/>
  <c r="R233" i="2"/>
  <c r="R114" i="2"/>
  <c r="R230" i="2"/>
  <c r="R187" i="2"/>
  <c r="R127" i="2"/>
  <c r="R44" i="2"/>
  <c r="R251" i="2"/>
  <c r="R63" i="2"/>
  <c r="R242" i="2"/>
  <c r="R95" i="2"/>
  <c r="R60" i="2"/>
  <c r="R198" i="2"/>
  <c r="R93" i="2"/>
  <c r="R99" i="2"/>
  <c r="R204" i="2"/>
  <c r="R154" i="2"/>
  <c r="R184" i="2"/>
  <c r="R26" i="2"/>
  <c r="R147" i="2"/>
  <c r="R136" i="2"/>
  <c r="R224" i="2"/>
  <c r="R221" i="2"/>
  <c r="R27" i="2"/>
  <c r="R115" i="2"/>
  <c r="R46" i="2"/>
  <c r="R39" i="2"/>
  <c r="R47" i="2"/>
  <c r="R122" i="2"/>
  <c r="R126" i="2"/>
  <c r="R101" i="2"/>
  <c r="R130" i="2"/>
  <c r="R69" i="2"/>
  <c r="R189" i="2"/>
  <c r="R225" i="2"/>
  <c r="R110" i="2"/>
  <c r="R240" i="2"/>
  <c r="R64" i="2"/>
  <c r="R156" i="2"/>
  <c r="R226" i="2"/>
  <c r="R218" i="2"/>
  <c r="R191" i="2"/>
  <c r="R217" i="2"/>
  <c r="R74" i="2"/>
  <c r="R256" i="2"/>
  <c r="R89" i="2"/>
  <c r="R157" i="2"/>
  <c r="R185" i="2"/>
  <c r="R164" i="2"/>
  <c r="R205" i="2"/>
  <c r="R139" i="2"/>
  <c r="R83" i="2"/>
  <c r="R199" i="2"/>
  <c r="R244" i="2"/>
  <c r="R222" i="2"/>
  <c r="R82" i="2"/>
  <c r="R254" i="2"/>
  <c r="R241" i="2"/>
  <c r="R180" i="2"/>
  <c r="R123" i="2"/>
  <c r="R216" i="2"/>
  <c r="R53" i="2"/>
  <c r="R68" i="2"/>
  <c r="R159" i="2"/>
  <c r="R102" i="2"/>
  <c r="R170" i="2"/>
  <c r="R188" i="2"/>
  <c r="R260" i="2"/>
  <c r="R234" i="2"/>
  <c r="R212" i="2"/>
  <c r="R55" i="2"/>
  <c r="R259" i="2"/>
  <c r="R206" i="2"/>
  <c r="R16" i="2"/>
  <c r="R142" i="2"/>
  <c r="R237" i="2"/>
  <c r="R208" i="2"/>
  <c r="R175" i="2"/>
  <c r="R166" i="2"/>
  <c r="R186" i="2"/>
  <c r="R87" i="2"/>
  <c r="R129" i="2"/>
  <c r="R72" i="2"/>
  <c r="R41" i="2"/>
  <c r="R62" i="2"/>
  <c r="R14" i="2"/>
  <c r="R197" i="2"/>
  <c r="R202" i="2"/>
  <c r="R235" i="2"/>
  <c r="R152" i="2"/>
  <c r="R124" i="2"/>
  <c r="R56" i="2"/>
  <c r="R20" i="2"/>
  <c r="R120" i="2"/>
  <c r="R165" i="2"/>
  <c r="R153" i="2"/>
  <c r="R250" i="2"/>
  <c r="R58" i="2"/>
  <c r="R57" i="2"/>
  <c r="R195" i="2"/>
  <c r="R207" i="2"/>
  <c r="R200" i="2"/>
  <c r="R220" i="2"/>
  <c r="R48" i="2"/>
  <c r="R149" i="2"/>
  <c r="R210" i="2"/>
  <c r="R78" i="2"/>
  <c r="R179" i="2"/>
  <c r="R5" i="2"/>
  <c r="R113" i="2"/>
  <c r="R52" i="2"/>
  <c r="R248" i="2"/>
  <c r="R118" i="2"/>
  <c r="R182" i="2"/>
  <c r="R258" i="2"/>
  <c r="R161" i="2"/>
  <c r="R32" i="2"/>
  <c r="R158" i="2"/>
  <c r="R177" i="2"/>
  <c r="R106" i="2"/>
  <c r="R245" i="2"/>
  <c r="R125" i="2"/>
  <c r="R77" i="2"/>
  <c r="R70" i="2"/>
  <c r="R238" i="2"/>
  <c r="R61" i="2"/>
  <c r="R181" i="2"/>
  <c r="R105" i="2"/>
  <c r="R151" i="2"/>
  <c r="R104" i="2"/>
  <c r="R215" i="2"/>
  <c r="R223" i="2"/>
  <c r="R194" i="2"/>
  <c r="R143" i="2"/>
  <c r="R50" i="2"/>
  <c r="R42" i="2"/>
  <c r="R6" i="2"/>
  <c r="R15" i="2"/>
  <c r="R85" i="2"/>
  <c r="R30" i="2"/>
  <c r="R75" i="2"/>
  <c r="R163" i="2"/>
  <c r="R38" i="2"/>
  <c r="R247" i="2"/>
  <c r="R131" i="2"/>
  <c r="R135" i="2"/>
  <c r="R172" i="2"/>
  <c r="R80" i="2"/>
  <c r="R33" i="2"/>
  <c r="R107" i="2"/>
  <c r="R190" i="2"/>
  <c r="R145" i="2"/>
  <c r="R119" i="2"/>
  <c r="R227" i="2"/>
  <c r="R148" i="2"/>
  <c r="R49" i="2"/>
  <c r="R128" i="2"/>
  <c r="R193" i="2"/>
  <c r="R100" i="2"/>
  <c r="R24" i="2"/>
  <c r="R116" i="2"/>
  <c r="R12" i="2"/>
  <c r="R20" i="9"/>
  <c r="P191" i="2"/>
  <c r="P217" i="2"/>
  <c r="P157" i="2"/>
  <c r="P185" i="2"/>
  <c r="P164" i="2"/>
  <c r="P205" i="2"/>
  <c r="P139" i="2"/>
  <c r="P199" i="2"/>
  <c r="P244" i="2"/>
  <c r="P254" i="2"/>
  <c r="P241" i="2"/>
  <c r="P180" i="2"/>
  <c r="P159" i="2"/>
  <c r="P170" i="2"/>
  <c r="P188" i="2"/>
  <c r="P234" i="2"/>
  <c r="P206" i="2"/>
  <c r="P237" i="2"/>
  <c r="P208" i="2"/>
  <c r="P175" i="2"/>
  <c r="P186" i="2"/>
  <c r="P197" i="2"/>
  <c r="P202" i="2"/>
  <c r="P235" i="2"/>
  <c r="P165" i="2"/>
  <c r="P195" i="2"/>
  <c r="P207" i="2"/>
  <c r="P220" i="2"/>
  <c r="P179" i="2"/>
  <c r="P5" i="2"/>
  <c r="P248" i="2"/>
  <c r="P182" i="2"/>
  <c r="P161" i="2"/>
  <c r="P158" i="2"/>
  <c r="P177" i="2"/>
  <c r="P245" i="2"/>
  <c r="P238" i="2"/>
  <c r="P181" i="2"/>
  <c r="P151" i="2"/>
  <c r="P194" i="2"/>
  <c r="P143" i="2"/>
  <c r="P172" i="2"/>
  <c r="P190" i="2"/>
  <c r="P227" i="2"/>
  <c r="P218" i="2"/>
  <c r="BE14" i="9"/>
  <c r="BD14" i="9"/>
  <c r="BC14" i="9"/>
  <c r="AQ14" i="9"/>
  <c r="AG14" i="9"/>
  <c r="AK14" i="9"/>
  <c r="AZ14" i="9"/>
  <c r="BB14" i="9"/>
  <c r="P149" i="2" l="1"/>
  <c r="P33" i="2" l="1"/>
  <c r="P40" i="2"/>
  <c r="P58" i="2"/>
  <c r="P60" i="2"/>
  <c r="P166" i="2"/>
  <c r="P130" i="2"/>
  <c r="P129" i="2"/>
  <c r="P28" i="2"/>
  <c r="P69" i="2"/>
  <c r="P147" i="2"/>
  <c r="P167" i="2"/>
  <c r="P136" i="2"/>
  <c r="P123" i="2"/>
  <c r="P18" i="2"/>
  <c r="P259" i="2"/>
  <c r="P233" i="2"/>
  <c r="P14" i="2"/>
  <c r="P120" i="2"/>
  <c r="P138" i="2"/>
  <c r="P187" i="2"/>
  <c r="P176" i="2"/>
  <c r="P30" i="2"/>
  <c r="P231" i="2"/>
  <c r="P39" i="2"/>
  <c r="P174" i="2"/>
  <c r="P103" i="2"/>
  <c r="P82" i="2"/>
  <c r="P196" i="2"/>
  <c r="P125" i="2"/>
  <c r="P31" i="2"/>
  <c r="P48" i="2"/>
  <c r="P66" i="2"/>
  <c r="P258" i="2"/>
  <c r="P145" i="2"/>
  <c r="P214" i="2"/>
  <c r="P26" i="2"/>
  <c r="P36" i="2"/>
  <c r="P156" i="2"/>
  <c r="P189" i="2"/>
  <c r="P88" i="2"/>
  <c r="P83" i="2"/>
  <c r="P93" i="2"/>
  <c r="P76" i="2"/>
  <c r="P257" i="2"/>
  <c r="P50" i="2"/>
  <c r="P74" i="2"/>
  <c r="P152" i="2"/>
  <c r="P61" i="2"/>
  <c r="P94" i="2"/>
  <c r="R94" i="2"/>
  <c r="P261" i="2"/>
  <c r="P46" i="2"/>
  <c r="P91" i="2"/>
  <c r="P107" i="2"/>
  <c r="P22" i="2"/>
  <c r="P96" i="2"/>
  <c r="P221" i="2"/>
  <c r="P243" i="2"/>
  <c r="P51" i="2"/>
  <c r="P201" i="2"/>
  <c r="P153" i="2"/>
  <c r="P184" i="2"/>
  <c r="P219" i="2"/>
  <c r="P87" i="2"/>
  <c r="P134" i="2"/>
  <c r="P7" i="2"/>
  <c r="P99" i="2"/>
  <c r="P232" i="2"/>
  <c r="P121" i="2"/>
  <c r="P148" i="2"/>
  <c r="P43" i="2"/>
  <c r="P114" i="2"/>
  <c r="P111" i="2"/>
  <c r="P90" i="2"/>
  <c r="P102" i="2"/>
  <c r="P204" i="2"/>
  <c r="P23" i="2"/>
  <c r="P42" i="2"/>
  <c r="P209" i="2"/>
  <c r="P215" i="2"/>
  <c r="P64" i="2"/>
  <c r="P11" i="2"/>
  <c r="P86" i="2"/>
  <c r="P113" i="2"/>
  <c r="P224" i="2"/>
  <c r="P256" i="2"/>
  <c r="P116" i="2"/>
  <c r="P29" i="2"/>
  <c r="P52" i="2"/>
  <c r="P97" i="2"/>
  <c r="P20" i="2"/>
  <c r="P27" i="2"/>
  <c r="P131" i="2"/>
  <c r="P211" i="2"/>
  <c r="P80" i="2"/>
  <c r="P210" i="2"/>
  <c r="P216" i="2"/>
  <c r="P63" i="2"/>
  <c r="P124" i="2"/>
  <c r="P44" i="2"/>
  <c r="P92" i="2"/>
  <c r="P250" i="2"/>
  <c r="P127" i="2"/>
  <c r="P119" i="2"/>
  <c r="P135" i="2"/>
  <c r="P242" i="2"/>
  <c r="P70" i="2"/>
  <c r="P72" i="2"/>
  <c r="P171" i="2"/>
  <c r="P226" i="2"/>
  <c r="P128" i="2"/>
  <c r="P192" i="2"/>
  <c r="P57" i="2"/>
  <c r="P15" i="2"/>
  <c r="P54" i="2"/>
  <c r="P16" i="2"/>
  <c r="P240" i="2"/>
  <c r="P142" i="2"/>
  <c r="P200" i="2"/>
  <c r="P252" i="2"/>
  <c r="P162" i="2"/>
  <c r="P126" i="2"/>
  <c r="P35" i="2"/>
  <c r="P38" i="2"/>
  <c r="P81" i="2" l="1"/>
  <c r="P84" i="2"/>
  <c r="P56" i="2"/>
  <c r="P203" i="2"/>
  <c r="P225" i="2"/>
  <c r="P49" i="2"/>
  <c r="P85" i="2"/>
  <c r="P173" i="2"/>
  <c r="P73" i="2"/>
  <c r="P12" i="2"/>
  <c r="P122" i="2"/>
  <c r="P89" i="2"/>
  <c r="P67" i="2"/>
  <c r="P110" i="2"/>
  <c r="P59" i="2"/>
  <c r="P53" i="2"/>
  <c r="P230" i="2"/>
  <c r="P55" i="2"/>
  <c r="P10" i="2"/>
  <c r="P140" i="2"/>
  <c r="P8" i="2"/>
  <c r="P6" i="2"/>
  <c r="P75" i="2"/>
  <c r="P163" i="2"/>
  <c r="P79" i="2"/>
  <c r="P115" i="2"/>
  <c r="P198" i="2"/>
  <c r="P212" i="2"/>
  <c r="P223" i="2"/>
  <c r="P260" i="2"/>
  <c r="P251" i="2"/>
  <c r="P100" i="2"/>
  <c r="P118" i="2"/>
  <c r="P32" i="2"/>
  <c r="P101" i="2"/>
  <c r="P137" i="2"/>
  <c r="P17" i="2"/>
  <c r="P68" i="2"/>
  <c r="P222" i="2"/>
  <c r="P247" i="2"/>
  <c r="P45" i="2"/>
  <c r="P62" i="2"/>
  <c r="P65" i="2"/>
  <c r="P193" i="2"/>
  <c r="P183" i="2"/>
  <c r="P95" i="2" l="1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L73" i="2" l="1"/>
  <c r="L137" i="2"/>
  <c r="L92" i="2"/>
  <c r="L261" i="2"/>
  <c r="L7" i="2"/>
  <c r="L23" i="2"/>
  <c r="L11" i="2"/>
  <c r="L231" i="2"/>
  <c r="L31" i="2"/>
  <c r="L84" i="2"/>
  <c r="L114" i="2"/>
  <c r="L204" i="2"/>
  <c r="L221" i="2"/>
  <c r="L225" i="2"/>
  <c r="L217" i="2"/>
  <c r="L205" i="2"/>
  <c r="L254" i="2"/>
  <c r="L68" i="2"/>
  <c r="L260" i="2"/>
  <c r="L206" i="2"/>
  <c r="L186" i="2"/>
  <c r="L62" i="2"/>
  <c r="L195" i="2"/>
  <c r="L210" i="2"/>
  <c r="L248" i="2"/>
  <c r="L106" i="2"/>
  <c r="L61" i="2"/>
  <c r="L194" i="2"/>
  <c r="L30" i="2"/>
  <c r="L172" i="2"/>
  <c r="L227" i="2"/>
  <c r="L100" i="2"/>
  <c r="L116" i="2"/>
  <c r="N185" i="2"/>
  <c r="M139" i="2"/>
  <c r="N180" i="2"/>
  <c r="M207" i="2"/>
  <c r="L140" i="2"/>
  <c r="L138" i="2"/>
  <c r="L79" i="2"/>
  <c r="L76" i="2"/>
  <c r="L45" i="2"/>
  <c r="L232" i="2"/>
  <c r="L257" i="2"/>
  <c r="L196" i="2"/>
  <c r="L96" i="2"/>
  <c r="L230" i="2"/>
  <c r="L242" i="2"/>
  <c r="L27" i="2"/>
  <c r="L110" i="2"/>
  <c r="L74" i="2"/>
  <c r="L139" i="2"/>
  <c r="L241" i="2"/>
  <c r="L16" i="2"/>
  <c r="L14" i="2"/>
  <c r="L20" i="2"/>
  <c r="L207" i="2"/>
  <c r="L78" i="2"/>
  <c r="L118" i="2"/>
  <c r="L245" i="2"/>
  <c r="L181" i="2"/>
  <c r="L143" i="2"/>
  <c r="L80" i="2"/>
  <c r="L148" i="2"/>
  <c r="L12" i="2"/>
  <c r="N139" i="2"/>
  <c r="M254" i="2"/>
  <c r="M208" i="2"/>
  <c r="M202" i="2"/>
  <c r="N207" i="2"/>
  <c r="N248" i="2"/>
  <c r="M158" i="2"/>
  <c r="N181" i="2"/>
  <c r="N172" i="2"/>
  <c r="M227" i="2"/>
  <c r="N227" i="2"/>
  <c r="L10" i="2"/>
  <c r="L17" i="2"/>
  <c r="L29" i="2"/>
  <c r="L146" i="2"/>
  <c r="L173" i="2"/>
  <c r="L81" i="2"/>
  <c r="L103" i="2"/>
  <c r="L187" i="2"/>
  <c r="L95" i="2"/>
  <c r="L154" i="2"/>
  <c r="L115" i="2"/>
  <c r="L126" i="2"/>
  <c r="L240" i="2"/>
  <c r="L256" i="2"/>
  <c r="L83" i="2"/>
  <c r="L234" i="2"/>
  <c r="L142" i="2"/>
  <c r="L87" i="2"/>
  <c r="L197" i="2"/>
  <c r="L120" i="2"/>
  <c r="L200" i="2"/>
  <c r="L179" i="2"/>
  <c r="L182" i="2"/>
  <c r="L125" i="2"/>
  <c r="L105" i="2"/>
  <c r="L75" i="2"/>
  <c r="L33" i="2"/>
  <c r="L49" i="2"/>
  <c r="M164" i="2"/>
  <c r="N254" i="2"/>
  <c r="M234" i="2"/>
  <c r="N208" i="2"/>
  <c r="M186" i="2"/>
  <c r="N202" i="2"/>
  <c r="M165" i="2"/>
  <c r="M5" i="2"/>
  <c r="N158" i="2"/>
  <c r="L211" i="2"/>
  <c r="L59" i="2"/>
  <c r="L209" i="2"/>
  <c r="L86" i="2"/>
  <c r="L9" i="2"/>
  <c r="L67" i="2"/>
  <c r="L201" i="2"/>
  <c r="L36" i="2"/>
  <c r="L22" i="2"/>
  <c r="L98" i="2"/>
  <c r="L127" i="2"/>
  <c r="L184" i="2"/>
  <c r="L46" i="2"/>
  <c r="L101" i="2"/>
  <c r="L64" i="2"/>
  <c r="L199" i="2"/>
  <c r="L180" i="2"/>
  <c r="L159" i="2"/>
  <c r="L212" i="2"/>
  <c r="L237" i="2"/>
  <c r="L129" i="2"/>
  <c r="L202" i="2"/>
  <c r="L165" i="2"/>
  <c r="L220" i="2"/>
  <c r="L258" i="2"/>
  <c r="L77" i="2"/>
  <c r="L151" i="2"/>
  <c r="L50" i="2"/>
  <c r="L163" i="2"/>
  <c r="L107" i="2"/>
  <c r="M191" i="2"/>
  <c r="N164" i="2"/>
  <c r="M199" i="2"/>
  <c r="M159" i="2"/>
  <c r="N234" i="2"/>
  <c r="M206" i="2"/>
  <c r="N186" i="2"/>
  <c r="N165" i="2"/>
  <c r="M220" i="2"/>
  <c r="N5" i="2"/>
  <c r="M182" i="2"/>
  <c r="M151" i="2"/>
  <c r="M190" i="2"/>
  <c r="N190" i="2"/>
  <c r="M248" i="2"/>
  <c r="M181" i="2"/>
  <c r="M172" i="2"/>
  <c r="L97" i="2"/>
  <c r="L171" i="2"/>
  <c r="L91" i="2"/>
  <c r="L167" i="2"/>
  <c r="L90" i="2"/>
  <c r="L19" i="2"/>
  <c r="L214" i="2"/>
  <c r="L203" i="2"/>
  <c r="L60" i="2"/>
  <c r="L26" i="2"/>
  <c r="L130" i="2"/>
  <c r="L156" i="2"/>
  <c r="L89" i="2"/>
  <c r="L244" i="2"/>
  <c r="L123" i="2"/>
  <c r="L102" i="2"/>
  <c r="L55" i="2"/>
  <c r="L208" i="2"/>
  <c r="L235" i="2"/>
  <c r="L153" i="2"/>
  <c r="L5" i="2"/>
  <c r="L161" i="2"/>
  <c r="L70" i="2"/>
  <c r="L42" i="2"/>
  <c r="L38" i="2"/>
  <c r="L190" i="2"/>
  <c r="L128" i="2"/>
  <c r="N191" i="2"/>
  <c r="M157" i="2"/>
  <c r="N199" i="2"/>
  <c r="M241" i="2"/>
  <c r="N159" i="2"/>
  <c r="M188" i="2"/>
  <c r="N206" i="2"/>
  <c r="M235" i="2"/>
  <c r="N220" i="2"/>
  <c r="M179" i="2"/>
  <c r="N182" i="2"/>
  <c r="M177" i="2"/>
  <c r="N151" i="2"/>
  <c r="M194" i="2"/>
  <c r="N175" i="2"/>
  <c r="N143" i="2"/>
  <c r="L65" i="2"/>
  <c r="L174" i="2"/>
  <c r="L40" i="2"/>
  <c r="L176" i="2"/>
  <c r="L239" i="2"/>
  <c r="L35" i="2"/>
  <c r="L162" i="2"/>
  <c r="L18" i="2"/>
  <c r="L8" i="2"/>
  <c r="L44" i="2"/>
  <c r="L198" i="2"/>
  <c r="L147" i="2"/>
  <c r="L39" i="2"/>
  <c r="L69" i="2"/>
  <c r="L226" i="2"/>
  <c r="L157" i="2"/>
  <c r="L222" i="2"/>
  <c r="L170" i="2"/>
  <c r="L259" i="2"/>
  <c r="L152" i="2"/>
  <c r="L250" i="2"/>
  <c r="L48" i="2"/>
  <c r="L113" i="2"/>
  <c r="L32" i="2"/>
  <c r="L104" i="2"/>
  <c r="L6" i="2"/>
  <c r="L247" i="2"/>
  <c r="L145" i="2"/>
  <c r="L193" i="2"/>
  <c r="L24" i="2"/>
  <c r="N157" i="2"/>
  <c r="M205" i="2"/>
  <c r="N241" i="2"/>
  <c r="N188" i="2"/>
  <c r="N235" i="2"/>
  <c r="M195" i="2"/>
  <c r="N179" i="2"/>
  <c r="N177" i="2"/>
  <c r="M238" i="2"/>
  <c r="N194" i="2"/>
  <c r="L88" i="2"/>
  <c r="L192" i="2"/>
  <c r="L13" i="2"/>
  <c r="L150" i="2"/>
  <c r="L111" i="2"/>
  <c r="L252" i="2"/>
  <c r="L134" i="2"/>
  <c r="L183" i="2"/>
  <c r="L25" i="2"/>
  <c r="L251" i="2"/>
  <c r="L93" i="2"/>
  <c r="L136" i="2"/>
  <c r="L47" i="2"/>
  <c r="L218" i="2"/>
  <c r="L185" i="2"/>
  <c r="L216" i="2"/>
  <c r="L175" i="2"/>
  <c r="L72" i="2"/>
  <c r="L124" i="2"/>
  <c r="L58" i="2"/>
  <c r="L149" i="2"/>
  <c r="L158" i="2"/>
  <c r="L238" i="2"/>
  <c r="L215" i="2"/>
  <c r="L15" i="2"/>
  <c r="L131" i="2"/>
  <c r="M217" i="2"/>
  <c r="N205" i="2"/>
  <c r="M244" i="2"/>
  <c r="M170" i="2"/>
  <c r="M237" i="2"/>
  <c r="M197" i="2"/>
  <c r="N195" i="2"/>
  <c r="M161" i="2"/>
  <c r="N238" i="2"/>
  <c r="L43" i="2"/>
  <c r="L243" i="2"/>
  <c r="L28" i="2"/>
  <c r="L51" i="2"/>
  <c r="L219" i="2"/>
  <c r="L54" i="2"/>
  <c r="L66" i="2"/>
  <c r="L121" i="2"/>
  <c r="L233" i="2"/>
  <c r="L63" i="2"/>
  <c r="L99" i="2"/>
  <c r="L224" i="2"/>
  <c r="L122" i="2"/>
  <c r="L189" i="2"/>
  <c r="L191" i="2"/>
  <c r="L164" i="2"/>
  <c r="L82" i="2"/>
  <c r="L53" i="2"/>
  <c r="L188" i="2"/>
  <c r="L166" i="2"/>
  <c r="L41" i="2"/>
  <c r="L56" i="2"/>
  <c r="L57" i="2"/>
  <c r="L52" i="2"/>
  <c r="L177" i="2"/>
  <c r="L223" i="2"/>
  <c r="L85" i="2"/>
  <c r="L135" i="2"/>
  <c r="L119" i="2"/>
  <c r="N217" i="2"/>
  <c r="M185" i="2"/>
  <c r="N244" i="2"/>
  <c r="M180" i="2"/>
  <c r="N170" i="2"/>
  <c r="N237" i="2"/>
  <c r="M175" i="2"/>
  <c r="N197" i="2"/>
  <c r="N161" i="2"/>
  <c r="M245" i="2"/>
  <c r="M143" i="2"/>
  <c r="N245" i="2"/>
  <c r="M218" i="2"/>
  <c r="N218" i="2"/>
  <c r="N149" i="2"/>
  <c r="M149" i="2"/>
  <c r="M56" i="2"/>
  <c r="M28" i="2"/>
  <c r="N17" i="2"/>
  <c r="N193" i="2"/>
  <c r="N49" i="2"/>
  <c r="M203" i="2"/>
  <c r="M62" i="2"/>
  <c r="N75" i="2"/>
  <c r="N183" i="2"/>
  <c r="N154" i="2"/>
  <c r="N81" i="2"/>
  <c r="M78" i="2"/>
  <c r="M77" i="2"/>
  <c r="M198" i="2"/>
  <c r="M73" i="2"/>
  <c r="M146" i="2"/>
  <c r="M100" i="2"/>
  <c r="M14" i="2"/>
  <c r="N187" i="2"/>
  <c r="M176" i="2"/>
  <c r="N82" i="2"/>
  <c r="M31" i="2"/>
  <c r="N66" i="2"/>
  <c r="N214" i="2"/>
  <c r="N36" i="2"/>
  <c r="N58" i="2"/>
  <c r="N93" i="2"/>
  <c r="N50" i="2"/>
  <c r="M74" i="2"/>
  <c r="N94" i="2"/>
  <c r="N91" i="2"/>
  <c r="M96" i="2"/>
  <c r="N243" i="2"/>
  <c r="M45" i="2"/>
  <c r="M219" i="2"/>
  <c r="N7" i="2"/>
  <c r="M121" i="2"/>
  <c r="M111" i="2"/>
  <c r="M42" i="2"/>
  <c r="N209" i="2"/>
  <c r="N56" i="2"/>
  <c r="N28" i="2"/>
  <c r="N203" i="2"/>
  <c r="N62" i="2"/>
  <c r="N78" i="2"/>
  <c r="N77" i="2"/>
  <c r="N198" i="2"/>
  <c r="N73" i="2"/>
  <c r="N146" i="2"/>
  <c r="N100" i="2"/>
  <c r="M259" i="2"/>
  <c r="N14" i="2"/>
  <c r="M120" i="2"/>
  <c r="M118" i="2"/>
  <c r="N176" i="2"/>
  <c r="M231" i="2"/>
  <c r="M230" i="2"/>
  <c r="M196" i="2"/>
  <c r="N31" i="2"/>
  <c r="M26" i="2"/>
  <c r="N74" i="2"/>
  <c r="M152" i="2"/>
  <c r="M22" i="2"/>
  <c r="N96" i="2"/>
  <c r="M40" i="2"/>
  <c r="N45" i="2"/>
  <c r="M153" i="2"/>
  <c r="N219" i="2"/>
  <c r="N121" i="2"/>
  <c r="M43" i="2"/>
  <c r="N111" i="2"/>
  <c r="M102" i="2"/>
  <c r="N42" i="2"/>
  <c r="M123" i="2"/>
  <c r="M104" i="2"/>
  <c r="M101" i="2"/>
  <c r="M163" i="2"/>
  <c r="M84" i="2"/>
  <c r="M260" i="2"/>
  <c r="M10" i="2"/>
  <c r="M115" i="2"/>
  <c r="M167" i="2"/>
  <c r="N259" i="2"/>
  <c r="N120" i="2"/>
  <c r="N118" i="2"/>
  <c r="M9" i="2"/>
  <c r="N231" i="2"/>
  <c r="M39" i="2"/>
  <c r="N230" i="2"/>
  <c r="N196" i="2"/>
  <c r="M48" i="2"/>
  <c r="M145" i="2"/>
  <c r="N26" i="2"/>
  <c r="M257" i="2"/>
  <c r="N152" i="2"/>
  <c r="M61" i="2"/>
  <c r="M46" i="2"/>
  <c r="N22" i="2"/>
  <c r="M221" i="2"/>
  <c r="N40" i="2"/>
  <c r="N153" i="2"/>
  <c r="M134" i="2"/>
  <c r="M148" i="2"/>
  <c r="N43" i="2"/>
  <c r="N102" i="2"/>
  <c r="M11" i="2"/>
  <c r="M41" i="2"/>
  <c r="N101" i="2"/>
  <c r="N163" i="2"/>
  <c r="N84" i="2"/>
  <c r="N260" i="2"/>
  <c r="N10" i="2"/>
  <c r="M122" i="2"/>
  <c r="M68" i="2"/>
  <c r="M147" i="2"/>
  <c r="N115" i="2"/>
  <c r="N167" i="2"/>
  <c r="M59" i="2"/>
  <c r="M65" i="2"/>
  <c r="M136" i="2"/>
  <c r="M18" i="2"/>
  <c r="M233" i="2"/>
  <c r="M89" i="2"/>
  <c r="N9" i="2"/>
  <c r="N39" i="2"/>
  <c r="M13" i="2"/>
  <c r="N48" i="2"/>
  <c r="N145" i="2"/>
  <c r="M189" i="2"/>
  <c r="M83" i="2"/>
  <c r="N257" i="2"/>
  <c r="N61" i="2"/>
  <c r="N46" i="2"/>
  <c r="N221" i="2"/>
  <c r="M53" i="2"/>
  <c r="M55" i="2"/>
  <c r="N122" i="2"/>
  <c r="N68" i="2"/>
  <c r="N147" i="2"/>
  <c r="M239" i="2"/>
  <c r="N59" i="2"/>
  <c r="N65" i="2"/>
  <c r="N136" i="2"/>
  <c r="M98" i="2"/>
  <c r="M110" i="2"/>
  <c r="M225" i="2"/>
  <c r="M251" i="2"/>
  <c r="N18" i="2"/>
  <c r="N233" i="2"/>
  <c r="N89" i="2"/>
  <c r="M138" i="2"/>
  <c r="M30" i="2"/>
  <c r="M174" i="2"/>
  <c r="N13" i="2"/>
  <c r="N189" i="2"/>
  <c r="N83" i="2"/>
  <c r="M33" i="2"/>
  <c r="M107" i="2"/>
  <c r="M51" i="2"/>
  <c r="M201" i="2"/>
  <c r="M99" i="2"/>
  <c r="N232" i="2"/>
  <c r="N114" i="2"/>
  <c r="N23" i="2"/>
  <c r="N140" i="2"/>
  <c r="N86" i="2"/>
  <c r="N55" i="2"/>
  <c r="M106" i="2"/>
  <c r="N239" i="2"/>
  <c r="N98" i="2"/>
  <c r="N110" i="2"/>
  <c r="N225" i="2"/>
  <c r="N251" i="2"/>
  <c r="M60" i="2"/>
  <c r="N138" i="2"/>
  <c r="N30" i="2"/>
  <c r="N174" i="2"/>
  <c r="M103" i="2"/>
  <c r="M258" i="2"/>
  <c r="M88" i="2"/>
  <c r="M76" i="2"/>
  <c r="N33" i="2"/>
  <c r="M129" i="2"/>
  <c r="N41" i="2"/>
  <c r="N107" i="2"/>
  <c r="N51" i="2"/>
  <c r="N201" i="2"/>
  <c r="M87" i="2"/>
  <c r="N99" i="2"/>
  <c r="M90" i="2"/>
  <c r="N224" i="2"/>
  <c r="N29" i="2"/>
  <c r="M27" i="2"/>
  <c r="M156" i="2"/>
  <c r="N173" i="2"/>
  <c r="N8" i="2"/>
  <c r="N222" i="2"/>
  <c r="N12" i="2"/>
  <c r="N69" i="2"/>
  <c r="M17" i="2"/>
  <c r="M193" i="2"/>
  <c r="M49" i="2"/>
  <c r="N137" i="2"/>
  <c r="M75" i="2"/>
  <c r="M183" i="2"/>
  <c r="M154" i="2"/>
  <c r="M81" i="2"/>
  <c r="M187" i="2"/>
  <c r="M82" i="2"/>
  <c r="N125" i="2"/>
  <c r="M66" i="2"/>
  <c r="M214" i="2"/>
  <c r="N130" i="2"/>
  <c r="M36" i="2"/>
  <c r="M58" i="2"/>
  <c r="M93" i="2"/>
  <c r="M50" i="2"/>
  <c r="M94" i="2"/>
  <c r="N261" i="2"/>
  <c r="M91" i="2"/>
  <c r="M243" i="2"/>
  <c r="N184" i="2"/>
  <c r="M7" i="2"/>
  <c r="N204" i="2"/>
  <c r="M209" i="2"/>
  <c r="M215" i="2"/>
  <c r="M64" i="2"/>
  <c r="M173" i="2"/>
  <c r="M125" i="2"/>
  <c r="M212" i="2"/>
  <c r="M52" i="2"/>
  <c r="N131" i="2"/>
  <c r="M80" i="2"/>
  <c r="M127" i="2"/>
  <c r="M135" i="2"/>
  <c r="M70" i="2"/>
  <c r="N166" i="2"/>
  <c r="M57" i="2"/>
  <c r="N54" i="2"/>
  <c r="M252" i="2"/>
  <c r="M19" i="2"/>
  <c r="N35" i="2"/>
  <c r="M63" i="2"/>
  <c r="N127" i="2"/>
  <c r="N135" i="2"/>
  <c r="N134" i="2"/>
  <c r="M23" i="2"/>
  <c r="N212" i="2"/>
  <c r="N52" i="2"/>
  <c r="M97" i="2"/>
  <c r="N80" i="2"/>
  <c r="M137" i="2"/>
  <c r="N258" i="2"/>
  <c r="N76" i="2"/>
  <c r="M261" i="2"/>
  <c r="N87" i="2"/>
  <c r="N90" i="2"/>
  <c r="M32" i="2"/>
  <c r="N97" i="2"/>
  <c r="N63" i="2"/>
  <c r="M92" i="2"/>
  <c r="M24" i="2"/>
  <c r="M223" i="2"/>
  <c r="M247" i="2"/>
  <c r="M15" i="2"/>
  <c r="N16" i="2"/>
  <c r="M6" i="2"/>
  <c r="M126" i="2"/>
  <c r="M85" i="2"/>
  <c r="N25" i="2"/>
  <c r="M200" i="2"/>
  <c r="N47" i="2"/>
  <c r="M54" i="2"/>
  <c r="M16" i="2"/>
  <c r="M12" i="2"/>
  <c r="N32" i="2"/>
  <c r="M150" i="2"/>
  <c r="M79" i="2"/>
  <c r="M116" i="2"/>
  <c r="N27" i="2"/>
  <c r="M211" i="2"/>
  <c r="N92" i="2"/>
  <c r="N24" i="2"/>
  <c r="N223" i="2"/>
  <c r="N247" i="2"/>
  <c r="N15" i="2"/>
  <c r="N6" i="2"/>
  <c r="N126" i="2"/>
  <c r="N60" i="2"/>
  <c r="M130" i="2"/>
  <c r="N64" i="2"/>
  <c r="M113" i="2"/>
  <c r="M250" i="2"/>
  <c r="M119" i="2"/>
  <c r="N128" i="2"/>
  <c r="M240" i="2"/>
  <c r="N162" i="2"/>
  <c r="M222" i="2"/>
  <c r="N106" i="2"/>
  <c r="N103" i="2"/>
  <c r="N88" i="2"/>
  <c r="N150" i="2"/>
  <c r="N79" i="2"/>
  <c r="N116" i="2"/>
  <c r="M29" i="2"/>
  <c r="N211" i="2"/>
  <c r="M216" i="2"/>
  <c r="M72" i="2"/>
  <c r="M171" i="2"/>
  <c r="M38" i="2"/>
  <c r="N38" i="2"/>
  <c r="M69" i="2"/>
  <c r="M204" i="2"/>
  <c r="N11" i="2"/>
  <c r="M256" i="2"/>
  <c r="N210" i="2"/>
  <c r="N44" i="2"/>
  <c r="N226" i="2"/>
  <c r="M192" i="2"/>
  <c r="M67" i="2"/>
  <c r="M162" i="2"/>
  <c r="N200" i="2"/>
  <c r="M35" i="2"/>
  <c r="N19" i="2"/>
  <c r="N129" i="2"/>
  <c r="L94" i="2"/>
  <c r="M114" i="2"/>
  <c r="M210" i="2"/>
  <c r="N216" i="2"/>
  <c r="M44" i="2"/>
  <c r="M242" i="2"/>
  <c r="N72" i="2"/>
  <c r="M25" i="2"/>
  <c r="N171" i="2"/>
  <c r="M226" i="2"/>
  <c r="M128" i="2"/>
  <c r="M105" i="2"/>
  <c r="M142" i="2"/>
  <c r="M47" i="2"/>
  <c r="M8" i="2"/>
  <c r="M140" i="2"/>
  <c r="M20" i="2"/>
  <c r="M124" i="2"/>
  <c r="N242" i="2"/>
  <c r="N105" i="2"/>
  <c r="N142" i="2"/>
  <c r="N240" i="2"/>
  <c r="M184" i="2"/>
  <c r="M232" i="2"/>
  <c r="N148" i="2"/>
  <c r="N215" i="2"/>
  <c r="M86" i="2"/>
  <c r="N113" i="2"/>
  <c r="M224" i="2"/>
  <c r="N256" i="2"/>
  <c r="N20" i="2"/>
  <c r="M131" i="2"/>
  <c r="N124" i="2"/>
  <c r="N250" i="2"/>
  <c r="N85" i="2"/>
  <c r="N119" i="2"/>
  <c r="M166" i="2"/>
  <c r="N192" i="2"/>
  <c r="N67" i="2"/>
  <c r="N70" i="2"/>
  <c r="N57" i="2"/>
  <c r="N252" i="2"/>
  <c r="N123" i="2"/>
  <c r="N53" i="2"/>
  <c r="N104" i="2"/>
  <c r="N156" i="2"/>
  <c r="M95" i="2"/>
  <c r="N95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191" i="2" l="1"/>
  <c r="S191" i="2" s="1"/>
  <c r="Q208" i="2"/>
  <c r="S208" i="2" s="1"/>
  <c r="Q158" i="2"/>
  <c r="S158" i="2" s="1"/>
  <c r="Q220" i="2"/>
  <c r="S220" i="2" s="1"/>
  <c r="Q199" i="2"/>
  <c r="S199" i="2" s="1"/>
  <c r="Q202" i="2"/>
  <c r="S202" i="2" s="1"/>
  <c r="Q188" i="2"/>
  <c r="S188" i="2" s="1"/>
  <c r="Q165" i="2"/>
  <c r="S165" i="2" s="1"/>
  <c r="Q164" i="2"/>
  <c r="S164" i="2" s="1"/>
  <c r="Q5" i="2"/>
  <c r="S5" i="2" s="1"/>
  <c r="Q177" i="2"/>
  <c r="S177" i="2" s="1"/>
  <c r="Q185" i="2"/>
  <c r="S185" i="2" s="1"/>
  <c r="Q170" i="2"/>
  <c r="S170" i="2" s="1"/>
  <c r="Q190" i="2"/>
  <c r="S190" i="2" s="1"/>
  <c r="Q235" i="2"/>
  <c r="S235" i="2" s="1"/>
  <c r="Q234" i="2"/>
  <c r="S234" i="2" s="1"/>
  <c r="Q143" i="2"/>
  <c r="S143" i="2" s="1"/>
  <c r="Q194" i="2"/>
  <c r="S194" i="2" s="1"/>
  <c r="Q186" i="2"/>
  <c r="S186" i="2" s="1"/>
  <c r="Q175" i="2"/>
  <c r="S175" i="2" s="1"/>
  <c r="Q157" i="2"/>
  <c r="S157" i="2" s="1"/>
  <c r="Q182" i="2"/>
  <c r="S182" i="2" s="1"/>
  <c r="Q181" i="2"/>
  <c r="S181" i="2" s="1"/>
  <c r="Q206" i="2"/>
  <c r="S206" i="2" s="1"/>
  <c r="Q238" i="2"/>
  <c r="S238" i="2" s="1"/>
  <c r="Q179" i="2"/>
  <c r="S179" i="2" s="1"/>
  <c r="Q245" i="2"/>
  <c r="S245" i="2" s="1"/>
  <c r="Q161" i="2"/>
  <c r="S161" i="2" s="1"/>
  <c r="Q151" i="2"/>
  <c r="S151" i="2" s="1"/>
  <c r="Q237" i="2"/>
  <c r="S237" i="2" s="1"/>
  <c r="Q248" i="2"/>
  <c r="S248" i="2" s="1"/>
  <c r="Q241" i="2"/>
  <c r="S241" i="2" s="1"/>
  <c r="Q254" i="2"/>
  <c r="S254" i="2" s="1"/>
  <c r="Q244" i="2"/>
  <c r="S244" i="2" s="1"/>
  <c r="Q159" i="2"/>
  <c r="S159" i="2" s="1"/>
  <c r="Q197" i="2"/>
  <c r="S197" i="2" s="1"/>
  <c r="Q207" i="2"/>
  <c r="S207" i="2" s="1"/>
  <c r="Q139" i="2"/>
  <c r="S139" i="2" s="1"/>
  <c r="Q227" i="2"/>
  <c r="S227" i="2" s="1"/>
  <c r="Q195" i="2"/>
  <c r="S195" i="2" s="1"/>
  <c r="Q205" i="2"/>
  <c r="S205" i="2" s="1"/>
  <c r="Q180" i="2"/>
  <c r="S180" i="2" s="1"/>
  <c r="Q172" i="2"/>
  <c r="S172" i="2" s="1"/>
  <c r="Q217" i="2"/>
  <c r="S217" i="2" s="1"/>
  <c r="Q218" i="2"/>
  <c r="Q149" i="2"/>
  <c r="Q138" i="29"/>
  <c r="Q111" i="2"/>
  <c r="Q45" i="2"/>
  <c r="Q176" i="2"/>
  <c r="Q28" i="2"/>
  <c r="Q11" i="2"/>
  <c r="Q243" i="2"/>
  <c r="Q93" i="2"/>
  <c r="Q56" i="2"/>
  <c r="Q123" i="2"/>
  <c r="Q52" i="2"/>
  <c r="Q198" i="2"/>
  <c r="Q80" i="2"/>
  <c r="Q216" i="2"/>
  <c r="Q75" i="2"/>
  <c r="Q30" i="2"/>
  <c r="Q121" i="2"/>
  <c r="Q74" i="2"/>
  <c r="Q156" i="2"/>
  <c r="Q14" i="2"/>
  <c r="Q127" i="2"/>
  <c r="Q212" i="2"/>
  <c r="Q193" i="2"/>
  <c r="Q91" i="2"/>
  <c r="Q66" i="2"/>
  <c r="Q31" i="2"/>
  <c r="Q73" i="2"/>
  <c r="Q17" i="2"/>
  <c r="Q187" i="2"/>
  <c r="Q97" i="2"/>
  <c r="Q69" i="2"/>
  <c r="Q129" i="2"/>
  <c r="Q55" i="2"/>
  <c r="Q86" i="2"/>
  <c r="Q192" i="2"/>
  <c r="Q215" i="2"/>
  <c r="Q114" i="2"/>
  <c r="Q18" i="2"/>
  <c r="Q68" i="2"/>
  <c r="Q145" i="2"/>
  <c r="Q115" i="2"/>
  <c r="Q126" i="2"/>
  <c r="Q8" i="2"/>
  <c r="Q12" i="2"/>
  <c r="Q124" i="2"/>
  <c r="Q100" i="2"/>
  <c r="Q214" i="2"/>
  <c r="Q64" i="2"/>
  <c r="Q44" i="2"/>
  <c r="Q82" i="2"/>
  <c r="Q219" i="2"/>
  <c r="Q67" i="2"/>
  <c r="Q62" i="2"/>
  <c r="Q15" i="2"/>
  <c r="Q119" i="2"/>
  <c r="Q49" i="2"/>
  <c r="Q107" i="2"/>
  <c r="Q58" i="2"/>
  <c r="Q7" i="2"/>
  <c r="Q257" i="2"/>
  <c r="Q200" i="2"/>
  <c r="Q203" i="2"/>
  <c r="Q136" i="2"/>
  <c r="Q53" i="2"/>
  <c r="Q231" i="2"/>
  <c r="Q259" i="2"/>
  <c r="Q72" i="2"/>
  <c r="Q26" i="2"/>
  <c r="Q211" i="2"/>
  <c r="Q256" i="2"/>
  <c r="Q130" i="2"/>
  <c r="Q173" i="2"/>
  <c r="Q87" i="2"/>
  <c r="Q76" i="2"/>
  <c r="Q258" i="2"/>
  <c r="Q65" i="2"/>
  <c r="Q122" i="2"/>
  <c r="Q48" i="2"/>
  <c r="Q260" i="2"/>
  <c r="Q22" i="2"/>
  <c r="Q240" i="2"/>
  <c r="Q20" i="2"/>
  <c r="Q223" i="2"/>
  <c r="Q27" i="2"/>
  <c r="Q36" i="2"/>
  <c r="Q96" i="2"/>
  <c r="Q204" i="2"/>
  <c r="Q232" i="2"/>
  <c r="Q89" i="2"/>
  <c r="Q59" i="2"/>
  <c r="Q46" i="2"/>
  <c r="Q84" i="2"/>
  <c r="Q102" i="2"/>
  <c r="Q153" i="2"/>
  <c r="Q70" i="2"/>
  <c r="Q99" i="2"/>
  <c r="Q85" i="2"/>
  <c r="Q210" i="2"/>
  <c r="Q29" i="2"/>
  <c r="Q6" i="2"/>
  <c r="Q92" i="2"/>
  <c r="Q90" i="2"/>
  <c r="Q201" i="2"/>
  <c r="Q138" i="2"/>
  <c r="Q251" i="2"/>
  <c r="Q140" i="2"/>
  <c r="Q83" i="2"/>
  <c r="Q148" i="2"/>
  <c r="Q163" i="2"/>
  <c r="Q118" i="2"/>
  <c r="Q166" i="2"/>
  <c r="Q113" i="2"/>
  <c r="Q247" i="2"/>
  <c r="Q128" i="2"/>
  <c r="Q242" i="2"/>
  <c r="Q252" i="2"/>
  <c r="Q116" i="2"/>
  <c r="Q63" i="2"/>
  <c r="Q42" i="2"/>
  <c r="Q137" i="2"/>
  <c r="Q225" i="2"/>
  <c r="Q233" i="2"/>
  <c r="Q61" i="2"/>
  <c r="Q10" i="2"/>
  <c r="Q101" i="2"/>
  <c r="Q43" i="2"/>
  <c r="Q196" i="2"/>
  <c r="Q57" i="2"/>
  <c r="Q135" i="2"/>
  <c r="Q250" i="2"/>
  <c r="Q94" i="2"/>
  <c r="Q54" i="2"/>
  <c r="Q224" i="2"/>
  <c r="Q183" i="2"/>
  <c r="Q38" i="2"/>
  <c r="Q79" i="2"/>
  <c r="Q81" i="2"/>
  <c r="Q32" i="2"/>
  <c r="Q209" i="2"/>
  <c r="Q184" i="2"/>
  <c r="Q222" i="2"/>
  <c r="Q88" i="2"/>
  <c r="Q110" i="2"/>
  <c r="Q23" i="2"/>
  <c r="Q189" i="2"/>
  <c r="Q40" i="2"/>
  <c r="Q152" i="2"/>
  <c r="Q120" i="2"/>
  <c r="Q50" i="2"/>
  <c r="Q162" i="2"/>
  <c r="Q142" i="2"/>
  <c r="Q226" i="2"/>
  <c r="Q35" i="2"/>
  <c r="Q131" i="2"/>
  <c r="Q171" i="2"/>
  <c r="Q16" i="2"/>
  <c r="Q261" i="2"/>
  <c r="Q125" i="2"/>
  <c r="Q103" i="2"/>
  <c r="Q60" i="2"/>
  <c r="Q51" i="2"/>
  <c r="Q33" i="2"/>
  <c r="Q174" i="2"/>
  <c r="Q147" i="2"/>
  <c r="Q134" i="2"/>
  <c r="Q221" i="2"/>
  <c r="Q39" i="2"/>
  <c r="Q167" i="2"/>
  <c r="Q230" i="2"/>
  <c r="Q95" i="2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P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S167" i="2" l="1"/>
  <c r="S51" i="2"/>
  <c r="S50" i="2"/>
  <c r="S88" i="2"/>
  <c r="S183" i="2"/>
  <c r="S43" i="2"/>
  <c r="S42" i="2"/>
  <c r="S113" i="2"/>
  <c r="S138" i="2"/>
  <c r="S29" i="2"/>
  <c r="S46" i="2"/>
  <c r="S223" i="2"/>
  <c r="S203" i="2"/>
  <c r="S49" i="2"/>
  <c r="S44" i="2"/>
  <c r="S115" i="2"/>
  <c r="S55" i="2"/>
  <c r="S14" i="2"/>
  <c r="S11" i="2"/>
  <c r="S39" i="2"/>
  <c r="S60" i="2"/>
  <c r="S120" i="2"/>
  <c r="S222" i="2"/>
  <c r="S224" i="2"/>
  <c r="S101" i="2"/>
  <c r="S63" i="2"/>
  <c r="S166" i="2"/>
  <c r="S201" i="2"/>
  <c r="S210" i="2"/>
  <c r="S59" i="2"/>
  <c r="S20" i="2"/>
  <c r="S258" i="2"/>
  <c r="S26" i="2"/>
  <c r="S119" i="2"/>
  <c r="S64" i="2"/>
  <c r="S145" i="2"/>
  <c r="S129" i="2"/>
  <c r="S73" i="2"/>
  <c r="S156" i="2"/>
  <c r="S198" i="2"/>
  <c r="S28" i="2"/>
  <c r="S221" i="2"/>
  <c r="S103" i="2"/>
  <c r="S171" i="2"/>
  <c r="S152" i="2"/>
  <c r="S184" i="2"/>
  <c r="S54" i="2"/>
  <c r="S10" i="2"/>
  <c r="S118" i="2"/>
  <c r="S85" i="2"/>
  <c r="S89" i="2"/>
  <c r="S240" i="2"/>
  <c r="S76" i="2"/>
  <c r="S72" i="2"/>
  <c r="S15" i="2"/>
  <c r="S214" i="2"/>
  <c r="S68" i="2"/>
  <c r="S69" i="2"/>
  <c r="S31" i="2"/>
  <c r="S74" i="2"/>
  <c r="S52" i="2"/>
  <c r="S176" i="2"/>
  <c r="S134" i="2"/>
  <c r="S131" i="2"/>
  <c r="S40" i="2"/>
  <c r="S209" i="2"/>
  <c r="S61" i="2"/>
  <c r="S116" i="2"/>
  <c r="S163" i="2"/>
  <c r="S90" i="2"/>
  <c r="S99" i="2"/>
  <c r="S232" i="2"/>
  <c r="S22" i="2"/>
  <c r="S87" i="2"/>
  <c r="S259" i="2"/>
  <c r="S200" i="2"/>
  <c r="S100" i="2"/>
  <c r="S18" i="2"/>
  <c r="S66" i="2"/>
  <c r="S121" i="2"/>
  <c r="S123" i="2"/>
  <c r="S45" i="2"/>
  <c r="S147" i="2"/>
  <c r="S125" i="2"/>
  <c r="S35" i="2"/>
  <c r="S189" i="2"/>
  <c r="S32" i="2"/>
  <c r="S250" i="2"/>
  <c r="S252" i="2"/>
  <c r="S148" i="2"/>
  <c r="S70" i="2"/>
  <c r="S204" i="2"/>
  <c r="S260" i="2"/>
  <c r="S173" i="2"/>
  <c r="S231" i="2"/>
  <c r="S257" i="2"/>
  <c r="S62" i="2"/>
  <c r="S124" i="2"/>
  <c r="S114" i="2"/>
  <c r="S97" i="2"/>
  <c r="S91" i="2"/>
  <c r="S30" i="2"/>
  <c r="S56" i="2"/>
  <c r="S111" i="2"/>
  <c r="S261" i="2"/>
  <c r="S226" i="2"/>
  <c r="S23" i="2"/>
  <c r="S81" i="2"/>
  <c r="S135" i="2"/>
  <c r="S233" i="2"/>
  <c r="S242" i="2"/>
  <c r="S83" i="2"/>
  <c r="S92" i="2"/>
  <c r="S153" i="2"/>
  <c r="S96" i="2"/>
  <c r="S48" i="2"/>
  <c r="S130" i="2"/>
  <c r="S53" i="2"/>
  <c r="S7" i="2"/>
  <c r="S67" i="2"/>
  <c r="S12" i="2"/>
  <c r="S215" i="2"/>
  <c r="S193" i="2"/>
  <c r="S75" i="2"/>
  <c r="S93" i="2"/>
  <c r="S95" i="2"/>
  <c r="S174" i="2"/>
  <c r="S16" i="2"/>
  <c r="S142" i="2"/>
  <c r="S110" i="2"/>
  <c r="S79" i="2"/>
  <c r="S57" i="2"/>
  <c r="S225" i="2"/>
  <c r="S128" i="2"/>
  <c r="S140" i="2"/>
  <c r="S6" i="2"/>
  <c r="S102" i="2"/>
  <c r="S36" i="2"/>
  <c r="S122" i="2"/>
  <c r="S256" i="2"/>
  <c r="S136" i="2"/>
  <c r="S58" i="2"/>
  <c r="S219" i="2"/>
  <c r="S8" i="2"/>
  <c r="S192" i="2"/>
  <c r="S187" i="2"/>
  <c r="S212" i="2"/>
  <c r="S216" i="2"/>
  <c r="S243" i="2"/>
  <c r="S149" i="2"/>
  <c r="S230" i="2"/>
  <c r="S33" i="2"/>
  <c r="S162" i="2"/>
  <c r="S38" i="2"/>
  <c r="S196" i="2"/>
  <c r="S137" i="2"/>
  <c r="S247" i="2"/>
  <c r="S251" i="2"/>
  <c r="S84" i="2"/>
  <c r="S27" i="2"/>
  <c r="S65" i="2"/>
  <c r="S211" i="2"/>
  <c r="S107" i="2"/>
  <c r="S82" i="2"/>
  <c r="S126" i="2"/>
  <c r="S86" i="2"/>
  <c r="S17" i="2"/>
  <c r="S127" i="2"/>
  <c r="S80" i="2"/>
  <c r="S218" i="2"/>
  <c r="S94" i="2"/>
  <c r="AH13" i="9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P146" i="2" l="1"/>
  <c r="Q146" i="2" s="1"/>
  <c r="P106" i="2"/>
  <c r="Q106" i="2" s="1"/>
  <c r="P77" i="2"/>
  <c r="Q77" i="2" s="1"/>
  <c r="P98" i="2"/>
  <c r="Q98" i="2" s="1"/>
  <c r="P47" i="2"/>
  <c r="Q47" i="2" s="1"/>
  <c r="P104" i="2"/>
  <c r="Q104" i="2" s="1"/>
  <c r="P41" i="2"/>
  <c r="Q41" i="2" s="1"/>
  <c r="P105" i="2"/>
  <c r="Q105" i="2" s="1"/>
  <c r="P154" i="2"/>
  <c r="Q154" i="2" s="1"/>
  <c r="P19" i="2"/>
  <c r="Q19" i="2" s="1"/>
  <c r="P78" i="2"/>
  <c r="Q78" i="2" s="1"/>
  <c r="P239" i="2"/>
  <c r="Q239" i="2" s="1"/>
  <c r="P13" i="2"/>
  <c r="Q13" i="2" s="1"/>
  <c r="P24" i="2"/>
  <c r="Q24" i="2" s="1"/>
  <c r="P25" i="2"/>
  <c r="Q25" i="2" s="1"/>
  <c r="S105" i="2" l="1"/>
  <c r="S41" i="2"/>
  <c r="S104" i="2"/>
  <c r="S19" i="2"/>
  <c r="S146" i="2"/>
  <c r="S13" i="2"/>
  <c r="S47" i="2"/>
  <c r="S106" i="2"/>
  <c r="S25" i="2"/>
  <c r="S239" i="2"/>
  <c r="S98" i="2"/>
  <c r="S154" i="2"/>
  <c r="S24" i="2"/>
  <c r="S78" i="2"/>
  <c r="S77" i="2"/>
  <c r="P150" i="2"/>
  <c r="Q150" i="2" s="1"/>
  <c r="P9" i="2"/>
  <c r="Q9" i="2" s="1"/>
  <c r="S150" i="2" l="1"/>
  <c r="S9" i="2"/>
</calcChain>
</file>

<file path=xl/sharedStrings.xml><?xml version="1.0" encoding="utf-8"?>
<sst xmlns="http://schemas.openxmlformats.org/spreadsheetml/2006/main" count="11281" uniqueCount="2109">
  <si>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</si>
  <si>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</si>
  <si>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</si>
  <si>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</si>
  <si>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</si>
  <si>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</si>
  <si>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</si>
  <si>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</si>
  <si>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</si>
  <si>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</si>
  <si>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</si>
  <si>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</si>
  <si>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</si>
  <si>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</si>
  <si>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</si>
  <si>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</si>
  <si>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</si>
  <si>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</si>
  <si>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</si>
  <si>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</si>
  <si>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</si>
  <si>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</si>
  <si>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</si>
  <si>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</si>
  <si>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</si>
  <si>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</si>
  <si>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</si>
  <si>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</si>
  <si>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</si>
  <si>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</si>
  <si>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</si>
  <si>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</si>
  <si>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</si>
  <si>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</si>
  <si>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</si>
  <si>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</si>
  <si>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</si>
  <si>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</si>
  <si>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</si>
  <si>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</si>
  <si>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</si>
  <si>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</si>
  <si>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</si>
  <si>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</si>
  <si>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</si>
  <si>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</si>
  <si>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</si>
  <si>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</si>
  <si>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</si>
  <si>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</si>
  <si>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</si>
  <si>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</si>
  <si>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</si>
  <si>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</si>
  <si>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</si>
  <si>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</si>
  <si>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</si>
  <si>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</si>
  <si>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</si>
  <si>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</si>
  <si>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</si>
  <si>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</si>
  <si>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</si>
  <si>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</si>
  <si>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</si>
  <si>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</si>
  <si>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</si>
  <si>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</si>
  <si>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</si>
  <si>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</si>
  <si>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</si>
  <si>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</si>
  <si>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</si>
  <si>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</si>
  <si>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</si>
  <si>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</si>
  <si>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</si>
  <si>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</si>
  <si>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</si>
  <si>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</si>
  <si>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</si>
  <si>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</si>
  <si>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</si>
  <si>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</si>
  <si>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</si>
  <si>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</si>
  <si>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</si>
  <si>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</si>
  <si>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</si>
  <si>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</si>
  <si>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</si>
  <si>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</si>
  <si>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</si>
  <si>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</si>
  <si>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</si>
  <si>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</si>
  <si>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</si>
  <si>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</si>
  <si>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</si>
  <si>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</si>
  <si>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</si>
  <si>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</si>
  <si>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</si>
  <si>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</si>
  <si>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</si>
  <si>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</si>
  <si>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</si>
  <si>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</si>
  <si>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</si>
  <si>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</si>
  <si>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</si>
  <si>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</si>
  <si>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</si>
  <si>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</si>
  <si>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</si>
  <si>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</si>
  <si>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</si>
  <si>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</si>
  <si>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</si>
  <si>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</si>
  <si>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</si>
  <si>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</si>
  <si>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</si>
  <si>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</si>
  <si>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</si>
  <si>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</si>
  <si>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</si>
  <si>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</si>
  <si>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</si>
  <si>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</si>
  <si>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</si>
  <si>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</si>
  <si>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</si>
  <si>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</si>
  <si>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</si>
  <si>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</si>
  <si>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</si>
  <si>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</si>
  <si>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</si>
  <si>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</si>
  <si>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</si>
  <si>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</si>
  <si>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</si>
  <si>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</si>
  <si>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</si>
  <si>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</si>
  <si>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</si>
  <si>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</si>
  <si>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</si>
  <si>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</si>
  <si>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</si>
  <si>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</si>
  <si>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</si>
  <si>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</si>
  <si>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</si>
  <si>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</si>
  <si>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</si>
  <si>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</si>
  <si>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</si>
  <si>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</si>
  <si>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</si>
  <si>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</si>
  <si>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</si>
  <si>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</si>
  <si>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</si>
  <si>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</si>
  <si>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</si>
  <si>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</si>
  <si>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</si>
  <si>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</si>
  <si>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</si>
  <si>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</si>
  <si>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</si>
  <si>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</si>
  <si>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</si>
  <si>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</si>
  <si>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</si>
  <si>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</si>
  <si>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</si>
  <si>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</si>
  <si>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</si>
  <si>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</si>
  <si>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</si>
  <si>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</si>
  <si>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</si>
  <si>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</si>
  <si>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</si>
  <si>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</si>
  <si>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</si>
  <si>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</si>
  <si>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</si>
  <si>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</si>
  <si>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</si>
  <si>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</si>
  <si>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</si>
  <si>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</si>
  <si>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</si>
  <si>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</si>
  <si>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</si>
  <si>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</si>
  <si>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</si>
  <si>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</si>
  <si>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</si>
  <si>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</si>
  <si>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</si>
  <si>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</si>
  <si>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</si>
  <si>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</si>
  <si>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</si>
  <si>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</si>
  <si>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</si>
  <si>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</si>
  <si>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</si>
  <si>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</si>
  <si>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</si>
  <si>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</si>
  <si>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</si>
  <si>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</si>
  <si>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</si>
  <si>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</si>
  <si>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</si>
  <si>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</si>
  <si>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</si>
  <si>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</si>
  <si>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</si>
  <si>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</si>
  <si>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</si>
  <si>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</si>
  <si>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</si>
  <si>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</si>
  <si>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</si>
  <si>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</si>
  <si>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</si>
  <si>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</si>
  <si>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</si>
  <si>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</si>
  <si>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</si>
  <si>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</si>
  <si>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</si>
  <si>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</si>
  <si>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</si>
  <si>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</si>
  <si>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</si>
  <si>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</si>
  <si>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</si>
  <si>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</si>
  <si>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</si>
  <si>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</si>
  <si>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</si>
  <si>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</si>
  <si>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</si>
  <si>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</si>
  <si>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</si>
  <si>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</si>
  <si>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</si>
  <si>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</si>
  <si>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</si>
  <si>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</si>
  <si>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</si>
  <si>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</si>
  <si>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</si>
  <si>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</si>
  <si>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</si>
  <si>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</si>
  <si>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</si>
  <si>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</si>
  <si>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</si>
  <si>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</si>
  <si>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</si>
  <si>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</si>
  <si>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</si>
  <si>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</si>
  <si>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</si>
  <si>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</si>
  <si>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</si>
  <si>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</si>
  <si>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</si>
  <si>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</si>
  <si>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</si>
  <si>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</si>
  <si>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</si>
  <si>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</si>
  <si>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</si>
  <si>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</si>
  <si>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</si>
  <si>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</si>
  <si>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</si>
  <si>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</si>
  <si>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</si>
  <si>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</si>
  <si>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</si>
  <si>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</si>
  <si>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</si>
  <si>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</si>
  <si>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</si>
  <si>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</si>
  <si>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</si>
  <si>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</si>
  <si>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</si>
  <si>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</si>
  <si>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</si>
  <si>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</si>
  <si>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</si>
  <si>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</si>
  <si>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</si>
  <si>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</si>
  <si>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</si>
  <si>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</si>
  <si>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</si>
  <si>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</si>
  <si>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</si>
  <si>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</si>
  <si>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</si>
  <si>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</si>
  <si>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</si>
  <si>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</si>
  <si>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</si>
  <si>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</si>
  <si>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</si>
  <si>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</si>
  <si>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</si>
  <si>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</si>
  <si>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</si>
  <si>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</si>
  <si>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</si>
  <si>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</si>
  <si>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</si>
  <si>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</si>
  <si>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</si>
  <si>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</si>
  <si>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</si>
  <si>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</si>
  <si>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</si>
  <si>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</si>
  <si>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</si>
  <si>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</si>
  <si>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</si>
  <si>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</si>
  <si>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</si>
  <si>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</si>
  <si>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</si>
  <si>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</si>
  <si>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</si>
  <si>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</si>
  <si>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</si>
  <si>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</si>
  <si>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</si>
  <si>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</si>
  <si>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</si>
  <si>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</si>
  <si>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</si>
  <si>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</si>
  <si>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</si>
  <si>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</si>
  <si>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</si>
  <si>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</si>
  <si>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</si>
  <si>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</si>
  <si>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</si>
  <si>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</si>
  <si>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</si>
  <si>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</si>
  <si>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</si>
  <si>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</si>
  <si>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</si>
  <si>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</si>
  <si>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</si>
  <si>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</si>
  <si>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</si>
  <si>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</si>
  <si>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</si>
  <si>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</si>
  <si>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</si>
  <si>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</si>
  <si>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</si>
  <si>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</si>
  <si>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</si>
  <si>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</si>
  <si>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</si>
  <si>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</si>
  <si>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</si>
  <si>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</si>
  <si>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</si>
  <si>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</si>
  <si>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</si>
  <si>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</si>
  <si>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</si>
  <si>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</si>
  <si>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</si>
  <si>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</si>
  <si>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</si>
  <si>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</si>
  <si>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</si>
  <si>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</si>
  <si>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</si>
  <si>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</si>
  <si>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</si>
  <si>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</si>
  <si>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</si>
  <si>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</si>
  <si>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</si>
  <si>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</si>
  <si>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</si>
  <si>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</si>
  <si>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</si>
  <si>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</si>
  <si>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</si>
  <si>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</si>
  <si>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</si>
  <si>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</si>
  <si>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</si>
  <si>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</si>
  <si>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</si>
  <si>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</si>
  <si>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</si>
  <si>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</si>
  <si>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</si>
  <si>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</si>
  <si>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</si>
  <si>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</si>
  <si>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</si>
  <si>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</si>
  <si>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</si>
  <si>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</si>
  <si>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</si>
  <si>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</si>
  <si>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</si>
  <si>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</si>
  <si>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</si>
  <si>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</si>
  <si>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</si>
  <si>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</si>
  <si>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</si>
  <si>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</si>
  <si>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</si>
  <si>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</si>
  <si>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</si>
  <si>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</si>
  <si>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</si>
  <si>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</si>
  <si>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</si>
  <si>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</si>
  <si>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</si>
  <si>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</si>
  <si>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</si>
  <si>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</si>
  <si>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</si>
  <si>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</si>
  <si>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</si>
  <si>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</si>
  <si>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</si>
  <si>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</si>
  <si>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</si>
  <si>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</si>
  <si>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</si>
  <si>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</si>
  <si>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</si>
  <si>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</si>
  <si>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</si>
  <si>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</si>
  <si>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</si>
  <si>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</si>
  <si>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</si>
  <si>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</si>
  <si>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</si>
  <si>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</si>
  <si>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</si>
  <si>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</si>
  <si>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</si>
  <si>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</si>
  <si>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</si>
  <si>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</si>
  <si>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</si>
  <si>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</si>
  <si>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</si>
  <si>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</si>
  <si>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</si>
  <si>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</si>
  <si>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</si>
  <si>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</si>
  <si>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</si>
  <si>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</si>
  <si>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</si>
  <si>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</si>
  <si>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</si>
  <si>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</si>
  <si>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</si>
  <si>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</si>
  <si>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</si>
  <si>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</si>
  <si>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</si>
  <si>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</si>
  <si>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</si>
  <si>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</si>
  <si>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</si>
  <si>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</si>
  <si>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</si>
  <si>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</si>
  <si>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</si>
  <si>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</si>
  <si>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</si>
  <si>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</si>
  <si>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</si>
  <si>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</si>
  <si>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</si>
  <si>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</si>
  <si>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</si>
  <si>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</si>
  <si>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</si>
  <si>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</si>
  <si>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</si>
  <si>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</si>
  <si>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</si>
  <si>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</si>
  <si>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</si>
  <si>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</si>
  <si>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</si>
  <si>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</si>
  <si>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</si>
  <si>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</si>
  <si>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</si>
  <si>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</si>
  <si>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</si>
  <si>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</si>
  <si>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</si>
  <si>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</si>
  <si>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</si>
  <si>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</si>
  <si>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</si>
  <si>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</si>
  <si>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</si>
  <si>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</si>
  <si>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</si>
  <si>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</si>
  <si>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</si>
  <si>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</si>
  <si>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</si>
  <si>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</si>
  <si>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</si>
  <si>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</si>
  <si>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</si>
  <si>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</si>
  <si>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</si>
  <si>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</si>
  <si>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</si>
  <si>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</si>
  <si>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</si>
  <si>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</si>
  <si>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</si>
  <si>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</si>
  <si>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</si>
  <si>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</si>
  <si>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</si>
  <si>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</si>
  <si>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</si>
  <si>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</si>
  <si>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</si>
  <si>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</si>
  <si>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</si>
  <si>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</si>
  <si>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</si>
  <si>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</si>
  <si>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</si>
  <si>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</si>
  <si>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</si>
  <si>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</si>
  <si>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</si>
  <si>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</si>
  <si>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</si>
  <si>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</si>
  <si>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</si>
  <si>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</si>
  <si>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</si>
  <si>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</si>
  <si>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</si>
  <si>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</si>
  <si>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</si>
  <si>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</si>
  <si>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</si>
  <si>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</si>
  <si>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</si>
  <si>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</si>
  <si>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</si>
  <si>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</si>
  <si>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</si>
  <si>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</si>
  <si>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</si>
  <si>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</si>
  <si>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</si>
  <si>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</si>
  <si>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</si>
  <si>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</si>
  <si>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</si>
  <si>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</si>
  <si>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</si>
  <si>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</si>
  <si>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</si>
  <si>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</si>
  <si>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</si>
  <si>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</si>
  <si>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</si>
  <si>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</si>
  <si>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</si>
  <si>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</si>
  <si>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</si>
  <si>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</si>
  <si>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</si>
  <si>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</si>
  <si>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</si>
  <si>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</si>
  <si>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</si>
  <si>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</si>
  <si>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</si>
  <si>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</si>
  <si>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</si>
  <si>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</si>
  <si>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</si>
  <si>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</si>
  <si>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</si>
  <si>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</si>
  <si>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</si>
  <si>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</si>
  <si>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</si>
  <si>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</si>
  <si>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</si>
  <si>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</si>
  <si>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</si>
  <si>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</si>
  <si>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</si>
  <si>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</si>
  <si>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</si>
  <si>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</si>
  <si>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</si>
  <si>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</si>
  <si>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</si>
  <si>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</si>
  <si>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</si>
  <si>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</si>
  <si>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</si>
  <si>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</si>
  <si>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</si>
  <si>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</si>
  <si>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</si>
  <si>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</si>
  <si>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</si>
  <si>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</si>
  <si>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</si>
  <si>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</si>
  <si>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</si>
  <si>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</si>
  <si>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</si>
  <si>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</si>
  <si>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</si>
  <si>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</si>
  <si>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</si>
  <si>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</si>
  <si>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</si>
  <si>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</si>
  <si>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</si>
  <si>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</si>
  <si>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</si>
  <si>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</si>
  <si>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</si>
  <si>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</si>
  <si>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</si>
  <si>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</si>
  <si>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</si>
  <si>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</si>
  <si>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</si>
  <si>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</si>
  <si>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</si>
  <si>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</si>
  <si>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</si>
  <si>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</si>
  <si>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</si>
  <si>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</si>
  <si>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</si>
  <si>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</si>
  <si>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</si>
  <si>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</si>
  <si>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</si>
  <si>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</si>
  <si>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</si>
  <si>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</si>
  <si>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</si>
  <si>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</si>
  <si>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</si>
  <si>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</si>
  <si>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</si>
  <si>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</si>
  <si>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</si>
  <si>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</si>
  <si>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</si>
  <si>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</si>
  <si>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</si>
  <si>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</si>
  <si>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</si>
  <si>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</si>
  <si>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</si>
  <si>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</si>
  <si>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</si>
  <si>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</si>
  <si>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</si>
  <si>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</si>
  <si>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</si>
  <si>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</si>
  <si>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</si>
  <si>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</si>
  <si>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</si>
  <si>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</si>
  <si>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</si>
  <si>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</si>
  <si>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</si>
  <si>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</si>
  <si>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</si>
  <si>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</si>
  <si>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</si>
  <si>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</si>
  <si>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</si>
  <si>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</si>
  <si>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</si>
  <si>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</si>
  <si>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</si>
  <si>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</si>
  <si>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</si>
  <si>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</si>
  <si>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</si>
  <si>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</si>
  <si>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</si>
  <si>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</si>
  <si>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</si>
  <si>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</si>
  <si>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</si>
  <si>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</si>
  <si>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</si>
  <si>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</si>
  <si>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</si>
  <si>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</si>
  <si>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</si>
  <si>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</si>
  <si>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</si>
  <si>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</si>
  <si>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</si>
  <si>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</si>
  <si>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</si>
  <si>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</si>
  <si>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</si>
  <si>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</si>
  <si>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</si>
  <si>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</si>
  <si>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</si>
  <si>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</si>
  <si>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</si>
  <si>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</si>
  <si>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</si>
  <si>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</si>
  <si>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</si>
  <si>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</si>
  <si>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</si>
  <si>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</si>
  <si>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</si>
  <si>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</si>
  <si>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</si>
  <si>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</si>
  <si>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</si>
  <si>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</si>
  <si>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</si>
  <si>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</si>
  <si>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</si>
  <si>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</si>
  <si>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</si>
  <si>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</si>
  <si>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</si>
  <si>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</si>
  <si>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</si>
  <si>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</si>
  <si>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</si>
  <si>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</si>
  <si>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</si>
  <si>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</si>
  <si>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</si>
  <si>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</si>
  <si>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</si>
  <si>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</si>
  <si>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</si>
  <si>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</si>
  <si>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</si>
  <si>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</si>
  <si>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</si>
  <si>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</si>
  <si>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</si>
  <si>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</si>
  <si>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</si>
  <si>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</si>
  <si>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</si>
  <si>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</si>
  <si>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</si>
  <si>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</si>
  <si>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</si>
  <si>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</si>
  <si>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</si>
  <si>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</si>
  <si>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</si>
  <si>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</si>
  <si>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</si>
  <si>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</si>
  <si>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</si>
  <si>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</si>
  <si>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</si>
  <si>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</si>
  <si>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</si>
  <si>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</si>
  <si>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</si>
  <si>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</si>
  <si>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</si>
  <si>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</si>
  <si>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</si>
  <si>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</si>
  <si>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</si>
  <si>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</si>
  <si>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</si>
  <si>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</si>
  <si>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</si>
  <si>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</si>
  <si>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</si>
  <si>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</si>
  <si>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</si>
  <si>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</si>
  <si>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</si>
  <si>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</si>
  <si>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</si>
  <si>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</si>
  <si>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</si>
  <si>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</si>
  <si>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</si>
  <si>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</si>
  <si>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</si>
  <si>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</si>
  <si>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</si>
  <si>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</si>
  <si>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</si>
  <si>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</si>
  <si>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</si>
  <si>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</si>
  <si>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</si>
  <si>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</si>
  <si>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</si>
  <si>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</si>
  <si>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</si>
  <si>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</si>
  <si>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</si>
  <si>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</si>
  <si>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</si>
  <si>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</si>
  <si>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</si>
  <si>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</si>
  <si>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</si>
  <si>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</si>
  <si>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</si>
  <si>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</si>
  <si>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</si>
  <si>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</si>
  <si>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</si>
  <si>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</si>
  <si>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</si>
  <si>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</si>
  <si>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</si>
  <si>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</si>
  <si>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</si>
  <si>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</si>
  <si>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</si>
  <si>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</si>
  <si>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</si>
  <si>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</si>
  <si>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</si>
  <si>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</si>
  <si>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</si>
  <si>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</si>
  <si>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</si>
  <si>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</si>
  <si>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</si>
  <si>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</si>
  <si>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</si>
  <si>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</si>
  <si>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</si>
  <si>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</si>
  <si>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</si>
  <si>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</si>
  <si>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</si>
  <si>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</si>
  <si>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</si>
  <si>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</si>
  <si>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</si>
  <si>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</si>
  <si>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</si>
  <si>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</si>
  <si>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</si>
  <si>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</si>
  <si>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</si>
  <si>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</si>
  <si>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</si>
  <si>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</si>
  <si>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</si>
  <si>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</si>
  <si>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</si>
  <si>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</si>
  <si>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</si>
  <si>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</si>
  <si>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</si>
  <si>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</si>
  <si>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</si>
  <si>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</si>
  <si>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</si>
  <si>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</si>
  <si>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</si>
  <si>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</si>
  <si>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</si>
  <si>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</si>
  <si>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</si>
  <si>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</si>
  <si>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</si>
  <si>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</si>
  <si>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</si>
  <si>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</si>
  <si>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</si>
  <si>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</si>
  <si>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</si>
  <si>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</si>
  <si>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</si>
  <si>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</si>
  <si>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</si>
  <si>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</si>
  <si>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</si>
  <si>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</si>
  <si>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</si>
  <si>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</si>
  <si>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</si>
  <si>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</si>
  <si>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</si>
  <si>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</si>
  <si>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</si>
  <si>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</si>
  <si>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</si>
  <si>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</si>
  <si>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</si>
  <si>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</si>
  <si>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</si>
  <si>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</si>
  <si>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</si>
  <si>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</si>
  <si>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</si>
  <si>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</si>
  <si>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</si>
  <si>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</si>
  <si>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</si>
  <si>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</si>
  <si>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</si>
  <si>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</si>
  <si>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</si>
  <si>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</si>
  <si>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</si>
  <si>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</si>
  <si>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</si>
  <si>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</si>
  <si>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</si>
  <si>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</si>
  <si>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</si>
  <si>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</si>
  <si>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</si>
  <si>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</si>
  <si>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</si>
  <si>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</si>
  <si>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</si>
  <si>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</si>
  <si>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</si>
  <si>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</si>
  <si>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</si>
  <si>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</si>
  <si>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</si>
  <si>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</si>
  <si>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</si>
  <si>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</si>
  <si>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</si>
  <si>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</si>
  <si>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</si>
  <si>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</si>
  <si>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</si>
  <si>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</si>
  <si>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</si>
  <si>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</si>
  <si>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</si>
  <si>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</si>
  <si>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</si>
  <si>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</si>
  <si>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</si>
  <si>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</si>
  <si>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</si>
  <si>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</si>
  <si>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</si>
  <si>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</si>
  <si>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</si>
  <si>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</si>
  <si>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</si>
  <si>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</si>
  <si>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</si>
  <si>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</si>
  <si>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</si>
  <si>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</si>
  <si>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</si>
  <si>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</si>
  <si>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</si>
  <si>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</si>
  <si>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</si>
  <si>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</si>
  <si>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</si>
  <si>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</si>
  <si>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</si>
  <si>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</si>
  <si>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</si>
  <si>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</si>
  <si>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</si>
  <si>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</si>
  <si>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</si>
  <si>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</si>
  <si>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</si>
  <si>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</si>
  <si>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</si>
  <si>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</si>
  <si>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</si>
  <si>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</si>
  <si>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</si>
  <si>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</si>
  <si>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</si>
  <si>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</si>
  <si>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</si>
  <si>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</si>
  <si>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</si>
  <si>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</si>
  <si>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</si>
  <si>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</si>
  <si>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</si>
  <si>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</si>
  <si>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</si>
  <si>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</si>
  <si>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</si>
  <si>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</si>
  <si>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</si>
  <si>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</si>
  <si>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</si>
  <si>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</si>
  <si>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</si>
  <si>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</si>
  <si>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</si>
  <si>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</si>
  <si>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</si>
  <si>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</si>
  <si>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</si>
  <si>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</si>
  <si>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</si>
  <si>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</si>
  <si>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</si>
  <si>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</si>
  <si>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</si>
  <si>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</si>
  <si>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</si>
  <si>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</si>
  <si>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</si>
  <si>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</si>
  <si>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</si>
  <si>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</si>
  <si>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</si>
  <si>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</si>
  <si>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</si>
  <si>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</si>
  <si>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</si>
  <si>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</si>
  <si>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</si>
  <si>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</si>
  <si>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</si>
  <si>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</si>
  <si>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</si>
  <si>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</si>
  <si>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</si>
  <si>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</si>
  <si>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</si>
  <si>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</si>
  <si>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</si>
  <si>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</si>
  <si>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</si>
  <si>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</si>
  <si>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</si>
  <si>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</si>
  <si>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</si>
  <si>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</si>
  <si>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</si>
  <si>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</si>
  <si>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</si>
  <si>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</si>
  <si>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</si>
  <si>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</si>
  <si>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</si>
  <si>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</si>
  <si>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</si>
  <si>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</si>
  <si>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</si>
  <si>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</si>
  <si>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</si>
  <si>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</si>
  <si>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</si>
  <si>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</si>
  <si>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</si>
  <si>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</si>
  <si>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</si>
  <si>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</si>
  <si>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</si>
  <si>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</si>
  <si>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</si>
  <si>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</si>
  <si>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</si>
  <si>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</si>
  <si>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</si>
  <si>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</si>
  <si>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</si>
  <si>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</si>
  <si>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</si>
  <si>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</si>
  <si>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</si>
  <si>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</si>
  <si>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</si>
  <si>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</si>
  <si>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</si>
  <si>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</si>
  <si>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</si>
  <si>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</si>
  <si>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</si>
  <si>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</si>
  <si>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</si>
  <si>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</si>
  <si>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</si>
  <si>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</si>
  <si>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</si>
  <si>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</si>
  <si>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</si>
  <si>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</si>
  <si>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</si>
  <si>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</si>
  <si>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</si>
  <si>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</si>
  <si>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</si>
  <si>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</si>
  <si>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</si>
  <si>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</si>
  <si>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</si>
  <si>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</si>
  <si>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</si>
  <si>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</si>
  <si>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</si>
  <si>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</si>
  <si>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</si>
  <si>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</si>
  <si>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</si>
  <si>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</si>
  <si>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</si>
  <si>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</si>
  <si>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</si>
  <si>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</si>
  <si>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</si>
  <si>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</si>
  <si>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</si>
  <si>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</si>
  <si>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</si>
  <si>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</si>
  <si>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</si>
  <si>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</si>
  <si>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</si>
  <si>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</si>
  <si>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</si>
  <si>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</si>
  <si>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</si>
  <si>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</si>
  <si>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</si>
  <si>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</si>
  <si>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</si>
  <si>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</si>
  <si>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</si>
  <si>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</si>
  <si>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</si>
  <si>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</si>
  <si>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</si>
  <si>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</si>
  <si>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</si>
  <si>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</si>
  <si>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</si>
  <si>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</si>
  <si>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</si>
  <si>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</si>
  <si>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</si>
  <si>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</si>
  <si>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</si>
  <si>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</si>
  <si>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</si>
  <si>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</si>
  <si>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</si>
  <si>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</si>
  <si>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</si>
  <si>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</si>
  <si>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</si>
  <si>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</si>
  <si>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</si>
  <si>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</si>
  <si>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</si>
  <si>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</si>
  <si>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</si>
  <si>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</si>
  <si>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</si>
  <si>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</si>
  <si>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</si>
  <si>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</si>
  <si>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</si>
  <si>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</si>
  <si>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</si>
  <si>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</si>
  <si>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</si>
  <si>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</si>
  <si>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</si>
  <si>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</si>
  <si>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</si>
  <si>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</si>
  <si>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</si>
  <si>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</si>
  <si>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</si>
  <si>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</si>
  <si>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</si>
  <si>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</si>
  <si>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</si>
  <si>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</si>
  <si>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</si>
  <si>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</si>
  <si>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</si>
  <si>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</si>
  <si>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</si>
  <si>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</si>
  <si>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</si>
  <si>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</si>
  <si>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</si>
  <si>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</si>
  <si>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</si>
  <si>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</si>
  <si>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</si>
  <si>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</si>
  <si>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</si>
  <si>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</si>
  <si>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</si>
  <si>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</si>
  <si>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</si>
  <si>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</si>
  <si>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</si>
  <si>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</si>
  <si>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</si>
  <si>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</si>
  <si>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</si>
  <si>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</si>
  <si>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</si>
  <si>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</si>
  <si>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</si>
  <si>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</si>
  <si>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</si>
  <si>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</si>
  <si>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</si>
  <si>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</si>
  <si>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</si>
  <si>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</si>
  <si>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</si>
  <si>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</si>
  <si>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</si>
  <si>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</si>
  <si>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</si>
  <si>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</si>
  <si>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</si>
  <si>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</si>
  <si>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</si>
  <si>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</si>
  <si>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</si>
  <si>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</si>
  <si>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</si>
  <si>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</si>
  <si>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</si>
  <si>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</si>
  <si>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</si>
  <si>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</si>
  <si>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</si>
  <si>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</si>
  <si>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</si>
  <si>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</si>
  <si>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</si>
  <si>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</si>
  <si>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</si>
  <si>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</si>
  <si>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</si>
  <si>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</si>
  <si>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</si>
  <si>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</si>
  <si>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</si>
  <si>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</si>
  <si>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</si>
  <si>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</si>
  <si>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</si>
  <si>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</si>
  <si>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</si>
  <si>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</si>
  <si>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</si>
  <si>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</si>
  <si>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</si>
  <si>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</si>
  <si>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</si>
  <si>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</si>
  <si>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</si>
  <si>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</si>
  <si>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</si>
  <si>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</si>
  <si>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</si>
  <si>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</si>
  <si>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</si>
  <si>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</si>
  <si>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</si>
  <si>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</si>
  <si>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</si>
  <si>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</si>
  <si>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</si>
  <si>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</si>
  <si>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</si>
  <si>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</si>
  <si>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</si>
  <si>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</si>
  <si>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</si>
  <si>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</si>
  <si>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</si>
  <si>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</si>
  <si>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</si>
  <si>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</si>
  <si>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</si>
  <si>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</si>
  <si>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</si>
  <si>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</si>
  <si>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</si>
  <si>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</si>
  <si>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</si>
  <si>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</si>
  <si>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</si>
  <si>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</si>
  <si>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</si>
  <si>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</si>
  <si>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</si>
  <si>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</si>
  <si>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</si>
  <si>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</si>
  <si>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</si>
  <si>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</si>
  <si>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</si>
  <si>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</si>
  <si>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</si>
  <si>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</si>
  <si>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</si>
  <si>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</si>
  <si>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</si>
  <si>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</si>
  <si>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</si>
  <si>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</si>
  <si>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</si>
  <si>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</si>
  <si>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</si>
  <si>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</si>
  <si>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</si>
  <si>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</si>
  <si>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</si>
  <si>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</si>
  <si>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</si>
  <si>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</si>
  <si>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</si>
  <si>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</si>
  <si>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</si>
  <si>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</si>
  <si>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</si>
  <si>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</si>
  <si>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</si>
  <si>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</si>
  <si>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</si>
  <si>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</si>
  <si>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</si>
  <si>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</si>
  <si>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</si>
  <si>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</si>
  <si>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</si>
  <si>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</si>
  <si>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</si>
  <si>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</si>
  <si>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</si>
  <si>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</si>
  <si>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</si>
  <si>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</si>
  <si>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</si>
  <si>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</si>
  <si>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</si>
  <si>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</si>
  <si>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</si>
  <si>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</si>
  <si>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</si>
  <si>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</si>
  <si>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</si>
  <si>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</si>
  <si>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</si>
  <si>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</si>
  <si>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</si>
  <si>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</si>
  <si>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</si>
  <si>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</si>
  <si>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</si>
  <si>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</si>
  <si>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</si>
  <si>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</si>
  <si>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</si>
  <si>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</si>
  <si>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</si>
  <si>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</si>
  <si>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</si>
  <si>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</si>
  <si>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</si>
  <si>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</si>
  <si>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</si>
  <si>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</si>
  <si>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</si>
  <si>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</si>
  <si>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</si>
  <si>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</si>
  <si>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</si>
  <si>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</si>
  <si>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</si>
  <si>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</si>
  <si>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</si>
  <si>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</si>
  <si>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</si>
  <si>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</si>
  <si>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</si>
  <si>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</si>
  <si>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</si>
  <si>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</si>
  <si>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</si>
  <si>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</si>
  <si>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</si>
  <si>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</si>
  <si>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</si>
  <si>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</si>
  <si>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</si>
  <si>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</si>
  <si>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</si>
  <si>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</si>
  <si>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</si>
  <si>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</si>
  <si>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</si>
  <si>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</si>
  <si>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</si>
  <si>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</si>
  <si>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</si>
  <si>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</si>
  <si>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</si>
  <si>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</si>
  <si>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</si>
  <si>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</si>
  <si>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</si>
  <si>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</si>
  <si>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</si>
  <si>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</si>
  <si>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</si>
  <si>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</si>
  <si>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</si>
  <si>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</si>
  <si>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</si>
  <si>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</si>
  <si>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</si>
  <si>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</si>
  <si>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</si>
  <si>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</si>
  <si>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</si>
  <si>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</si>
  <si>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</si>
  <si>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</si>
  <si>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</si>
  <si>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</si>
  <si>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</si>
  <si>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</si>
  <si>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</si>
  <si>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</si>
  <si>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</si>
  <si>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</si>
  <si>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</si>
  <si>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</si>
  <si>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</si>
  <si>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</si>
  <si>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</si>
  <si>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</si>
  <si>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</si>
  <si>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</si>
  <si>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</si>
  <si>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</si>
  <si>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</si>
  <si>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</si>
  <si>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</si>
  <si>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</si>
  <si>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</si>
  <si>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</si>
  <si>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</si>
  <si>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</si>
  <si>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</si>
  <si>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</si>
  <si>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</si>
  <si>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</si>
  <si>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</si>
  <si>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</si>
  <si>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</si>
  <si>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</si>
  <si>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</si>
  <si>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</si>
  <si>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</si>
  <si>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</si>
  <si>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</si>
  <si>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</si>
  <si>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</si>
  <si>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</si>
  <si>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</si>
  <si>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</si>
  <si>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</si>
  <si>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</si>
  <si>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</si>
  <si>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</si>
  <si>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</si>
  <si>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</si>
  <si>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</si>
  <si>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</si>
  <si>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</si>
  <si>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</si>
  <si>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</si>
  <si>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</si>
  <si>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</si>
  <si>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</si>
  <si>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</si>
  <si>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</si>
  <si>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</si>
  <si>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</si>
  <si>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</si>
  <si>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</si>
  <si>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</si>
  <si>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</si>
  <si>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</si>
  <si>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</si>
  <si>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</si>
  <si>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</si>
  <si>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</si>
  <si>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</si>
  <si>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</si>
  <si>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</si>
  <si>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</si>
  <si>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</si>
  <si>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</si>
  <si>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</si>
  <si>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</si>
  <si>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</si>
  <si>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</si>
  <si>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</si>
  <si>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</si>
  <si>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</si>
  <si>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</si>
  <si>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</si>
  <si>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</si>
  <si>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</si>
  <si>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</si>
  <si>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</si>
  <si>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</si>
  <si>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</si>
  <si>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</si>
  <si>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</si>
  <si>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</si>
  <si>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</si>
  <si>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</si>
  <si>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</si>
  <si>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</si>
  <si>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</si>
  <si>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</si>
  <si>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</si>
  <si>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</si>
  <si>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</si>
  <si>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</si>
  <si>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</si>
  <si>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</si>
  <si>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</si>
  <si>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</si>
  <si>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</si>
  <si>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</si>
  <si>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</si>
  <si>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</si>
  <si>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</si>
  <si>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</si>
  <si>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</si>
  <si>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</si>
  <si>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</si>
  <si>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</si>
  <si>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</si>
  <si>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</si>
  <si>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</si>
  <si>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</si>
  <si>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</si>
  <si>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</si>
  <si>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</si>
  <si>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</si>
  <si>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</si>
  <si>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</si>
  <si>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</si>
  <si>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</si>
  <si>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</si>
  <si>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</si>
  <si>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</si>
  <si>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</si>
  <si>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</si>
  <si>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</si>
  <si>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</si>
  <si>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</si>
  <si>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</si>
  <si>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</si>
  <si>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</si>
  <si>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</si>
  <si>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</si>
  <si>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</si>
  <si>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</si>
  <si>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</si>
  <si>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</si>
  <si>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</si>
  <si>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</si>
  <si>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</si>
  <si>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</si>
  <si>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</si>
  <si>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</si>
  <si>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</si>
  <si>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</si>
  <si>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</si>
  <si>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</si>
  <si>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</si>
  <si>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</si>
  <si>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</si>
  <si>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</si>
  <si>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</si>
  <si>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</si>
  <si>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</si>
  <si>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</si>
  <si>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</si>
  <si>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</si>
  <si>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</si>
  <si>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</si>
  <si>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</si>
  <si>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</si>
  <si>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</si>
  <si>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</si>
  <si>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</si>
  <si>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</si>
  <si>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</si>
  <si>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</si>
  <si>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</si>
  <si>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</si>
  <si>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</si>
  <si>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</si>
  <si>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</si>
  <si>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</si>
  <si>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</si>
  <si>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</si>
  <si>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</si>
  <si>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</si>
  <si>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</si>
  <si>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</si>
  <si>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</si>
  <si>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</si>
  <si>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</si>
  <si>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</si>
  <si>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</si>
  <si>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</si>
  <si>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</si>
  <si>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</si>
  <si>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</si>
  <si>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</si>
  <si>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</si>
  <si>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</si>
  <si>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</si>
  <si>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</si>
  <si>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</si>
  <si>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</si>
  <si>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</si>
  <si>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</si>
  <si>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</si>
  <si>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</si>
  <si>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</si>
  <si>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</si>
  <si>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</si>
  <si>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</si>
  <si>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</si>
  <si>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</si>
  <si>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</si>
  <si>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</si>
  <si>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</si>
  <si>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</si>
  <si>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</si>
  <si>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</si>
  <si>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</si>
  <si>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</si>
  <si>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</si>
  <si>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</si>
  <si>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</si>
  <si>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</si>
  <si>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</si>
  <si>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</si>
  <si>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</si>
  <si>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</si>
  <si>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</si>
  <si>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</si>
  <si>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</si>
  <si>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</si>
  <si>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</si>
  <si>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</si>
  <si>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</si>
  <si>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</si>
  <si>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</si>
  <si>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</si>
  <si>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</si>
  <si>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</si>
  <si>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</si>
  <si>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</si>
  <si>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</si>
  <si>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</si>
  <si>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</si>
  <si>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</si>
  <si>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</si>
  <si>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</si>
  <si>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</si>
  <si>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</si>
  <si>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</si>
  <si>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</si>
  <si>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</si>
  <si>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</si>
  <si>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</si>
  <si>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</si>
  <si>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</si>
  <si>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</si>
  <si>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</si>
  <si>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</si>
  <si>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</si>
  <si>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</si>
  <si>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</si>
  <si>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</si>
  <si>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</si>
  <si>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</si>
  <si>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</si>
  <si>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</si>
  <si>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</si>
  <si>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</si>
  <si>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</si>
  <si>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</si>
  <si>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Hindi,Telugu</t>
  </si>
  <si>
    <t>Punjabi,Haryanvi</t>
  </si>
  <si>
    <t>Hindi,Kannada,Tamil</t>
  </si>
  <si>
    <t>Bengali,Hindi,Malayalam,Marathi,Tamil,Telugu</t>
  </si>
  <si>
    <t>Hindi,English,Malayalam,Tamil,Telugu</t>
  </si>
  <si>
    <t>English,Hindi,Kannada,Malayala,Marathi,Tamil,Telugu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</si>
  <si>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</si>
  <si>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</si>
  <si>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</si>
  <si>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</si>
  <si>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</si>
  <si>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</si>
  <si>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</si>
  <si>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ss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</si>
  <si>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</si>
  <si>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</si>
  <si>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</si>
  <si>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</si>
  <si>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</si>
  <si>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</si>
  <si>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</si>
  <si>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Indian Premier League 2026</t>
  </si>
  <si>
    <t>F1: The Movie</t>
  </si>
  <si>
    <t>Eternity</t>
  </si>
  <si>
    <t>Fountain of Youth</t>
  </si>
  <si>
    <t>The Family Plan 2</t>
  </si>
  <si>
    <t>Shrinking S3</t>
  </si>
  <si>
    <t>Ted Lasso S3</t>
  </si>
  <si>
    <t>Doraemon S20</t>
  </si>
  <si>
    <t>Murshid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</si>
  <si>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</si>
  <si>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</si>
  <si>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</si>
  <si>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</si>
  <si>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</si>
  <si>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</si>
  <si>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</si>
  <si>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Everybody Loves Sohrab Handa</t>
  </si>
  <si>
    <t>Outcome</t>
  </si>
  <si>
    <t>Your Friends &amp; Neighbors S2</t>
  </si>
  <si>
    <t>Chote Tara ka Bada Gadar S2</t>
  </si>
  <si>
    <t>Resort</t>
  </si>
  <si>
    <t>Sanai Choughade</t>
  </si>
  <si>
    <t>Odia</t>
  </si>
  <si>
    <t>English, Hindi</t>
  </si>
  <si>
    <t>English, Hindi, Telugu</t>
  </si>
  <si>
    <t>Tamil, Telugu</t>
  </si>
  <si>
    <t>Kannada, Malayalam, Tamil, Telugu</t>
  </si>
  <si>
    <t>English, Hindi, Tamil, Telugu</t>
  </si>
  <si>
    <t>Hindi, Kannada, Malayalam, Tamil, Telugu</t>
  </si>
  <si>
    <t>Bengali, Hindi, Kannada, Marathi, Tamil, Telugu</t>
  </si>
  <si>
    <t>Bengali, Hindi, Kannada, Malayalam, Marathi, Tamil, Telugu</t>
  </si>
  <si>
    <t>Bengali, Hindi, Marathi, Tamil, Telugu</t>
  </si>
  <si>
    <t>Kannada, Malayalam, Telugu</t>
  </si>
  <si>
    <t>Bangla, Bhojpuri, English, Haryanvi, Hindi, Kannada, Tamil, Telugu</t>
  </si>
  <si>
    <t>Bangali, Hindi, Kannada, Malayalam, Marathi, Tamil, Telugu</t>
  </si>
  <si>
    <t>Bengali, English, Hindi, Kannada, Marathi, Tamil, Telugu</t>
  </si>
  <si>
    <t>Bengali, English, Hindi, Kannada, Malayalam, Tamil, Telugu</t>
  </si>
  <si>
    <t>Hindi, Tamil, Telugu</t>
  </si>
  <si>
    <t>Hindi, Malayalam, Tamil, Telugu</t>
  </si>
  <si>
    <t>English, Hindi, Marathi, Tamil, Telugu</t>
  </si>
  <si>
    <t>English, Hindi, Kannada, Malayalam, Tamil, Telugu</t>
  </si>
  <si>
    <t>English, Tamil, Telugu</t>
  </si>
  <si>
    <t>Hindi, Marathi</t>
  </si>
  <si>
    <t>Hindi, Tamil</t>
  </si>
  <si>
    <t>Kannada, Malayalam, Tamil, Telugu, Telugu</t>
  </si>
  <si>
    <t>English, Hindi, Kannada, Tamil, Telugu</t>
  </si>
  <si>
    <t>English, Gujarati, Hindi, Kannada, Malayalam, Marathi, Tamil, Telugu</t>
  </si>
  <si>
    <t>English, Telugu</t>
  </si>
  <si>
    <t>English, Hindi, Tamil</t>
  </si>
  <si>
    <t>Bengali, Bhojpuri, English, Hindi, Kannada, Marathi, Odia, Punjabi, Tamil, Telugu</t>
  </si>
  <si>
    <t>Hindi, Kannada, Tamil, Telugu</t>
  </si>
  <si>
    <t>English, Hindi, Malayalam</t>
  </si>
  <si>
    <t>Bengali, Bhojpuri, English, Haryanvi, Hindi, Kannada, Malayalam, Marathi, Tamil, Telugu</t>
  </si>
  <si>
    <t>Bengali, Hindi, Kannada, Punjabi, Tamil, Telugu</t>
  </si>
  <si>
    <t>Bengali, Hindi, Kannada, Malayalam, Tamil, Telugu</t>
  </si>
  <si>
    <t>English, Hindi, Punjabi</t>
  </si>
  <si>
    <t>Bengali, Bhojpuri, Gujarati, Haryanvi, Hindi, Kannada, Malayalam, Marathi, Odia, Rajasthani, Tamil, Telugu</t>
  </si>
  <si>
    <t>Matka King</t>
  </si>
  <si>
    <t>The Boys S5</t>
  </si>
  <si>
    <t>Margo's Got Money Troubles</t>
  </si>
  <si>
    <t>Hui Gumm Yaadein Ek Doctor,Do Zindagiyaan</t>
  </si>
  <si>
    <t>Gyaarah Gyaarah</t>
  </si>
  <si>
    <t>Cook With Comali S6</t>
  </si>
  <si>
    <t>Lagnanantar Hoilach Prem</t>
  </si>
  <si>
    <t>Mannat</t>
  </si>
  <si>
    <t>Mass Jathara</t>
  </si>
  <si>
    <t>Money Heist</t>
  </si>
  <si>
    <t>Shiddat</t>
  </si>
  <si>
    <t>Laughter Chefs S3</t>
  </si>
  <si>
    <t>Reality Tv</t>
  </si>
  <si>
    <t>Monarch: Legacy of Monsters Season 2</t>
  </si>
  <si>
    <t>AVOD Originals Shows</t>
  </si>
  <si>
    <t>My Royal Nemesis</t>
  </si>
  <si>
    <t>Kaalidas 2</t>
  </si>
  <si>
    <t>Off Campus</t>
  </si>
  <si>
    <t>Berlin and the Lady with an Ermine</t>
  </si>
  <si>
    <t>Breathe</t>
  </si>
  <si>
    <t>Exam</t>
  </si>
  <si>
    <t>Inspector Avinash Season 2</t>
  </si>
  <si>
    <t>Kartavya?</t>
  </si>
  <si>
    <t>The WONDERfools</t>
  </si>
  <si>
    <t>Hindi,Tamil,Telugu,Malayalam,Kannada,Marathi,Bengali</t>
  </si>
  <si>
    <t>Campus Beats Season 6</t>
  </si>
  <si>
    <t>Kaptaan</t>
  </si>
  <si>
    <t>Famously Fit With Sophie</t>
  </si>
  <si>
    <t>Sankalp</t>
  </si>
  <si>
    <t>Bindiya Ke Bahubali Season 2</t>
  </si>
  <si>
    <t>Bhay: The Gaurav Tiwari Mystery</t>
  </si>
  <si>
    <t>Love Insurance Kompany</t>
  </si>
  <si>
    <t>Sapne VS Everyone</t>
  </si>
  <si>
    <t>Lukkhe</t>
  </si>
  <si>
    <t>Citadel S2</t>
  </si>
  <si>
    <t>From S4</t>
  </si>
  <si>
    <t>Widow's Bay</t>
  </si>
  <si>
    <t>For All Mankind S5</t>
  </si>
  <si>
    <t>Criminal Record S2</t>
  </si>
  <si>
    <t>Vaazha II</t>
  </si>
  <si>
    <t>Swapped</t>
  </si>
  <si>
    <t>Glory</t>
  </si>
  <si>
    <t>Undekhi S4</t>
  </si>
  <si>
    <t>Tum Ho Naa - Ghar Ki Superstar</t>
  </si>
  <si>
    <t>The Kerala Story 2</t>
  </si>
  <si>
    <t>Assi</t>
  </si>
  <si>
    <t>The Bengal Files</t>
  </si>
  <si>
    <t>Hathras 16 days</t>
  </si>
  <si>
    <t>Fab5</t>
  </si>
  <si>
    <t>Mithya S2</t>
  </si>
  <si>
    <t>Devkhel</t>
  </si>
  <si>
    <t>English,Hindi</t>
  </si>
  <si>
    <t>Drama,Horrror</t>
  </si>
  <si>
    <t>Adeventure,Animation,Comedy</t>
  </si>
  <si>
    <t>English,Hindi,Punjabi</t>
  </si>
  <si>
    <t>Arafta</t>
  </si>
  <si>
    <t>Don'T Look Up</t>
  </si>
  <si>
    <t>Gustaakh Ishq</t>
  </si>
  <si>
    <t>Mansion House Mallesh</t>
  </si>
  <si>
    <t>Mardaani 3</t>
  </si>
  <si>
    <t>Matsya Kaand</t>
  </si>
  <si>
    <t>Oh Humnava Tum Dena Saath Mera</t>
  </si>
  <si>
    <t>Pandian Stores 2</t>
  </si>
  <si>
    <t>Ronth</t>
  </si>
  <si>
    <t>Shadow And Bone</t>
  </si>
  <si>
    <t>Sound Of Metal</t>
  </si>
  <si>
    <t>The Umbrella Academy</t>
  </si>
  <si>
    <t>Tula Japnar Aahe</t>
  </si>
  <si>
    <t>Desi Bling</t>
  </si>
  <si>
    <t>Maximum Pleasure Guaranteed</t>
  </si>
  <si>
    <t>Dhurandhar (Raw &amp; Undekha)</t>
  </si>
  <si>
    <t>System</t>
  </si>
  <si>
    <t>Vimal Khanna</t>
  </si>
  <si>
    <t>Tom Clancy's Jack Ryan: Ghost War</t>
  </si>
  <si>
    <t>13 Reasons Why</t>
  </si>
  <si>
    <t>A Thursday</t>
  </si>
  <si>
    <t>Annagraa Vostaru</t>
  </si>
  <si>
    <t>Tv CatchUp</t>
  </si>
  <si>
    <t>Annamalai Kudumbam</t>
  </si>
  <si>
    <t>Azhagae Azhagu</t>
  </si>
  <si>
    <t>Bell Bottom</t>
  </si>
  <si>
    <t>Bluey</t>
  </si>
  <si>
    <t>Cadaver</t>
  </si>
  <si>
    <t>Cartel</t>
  </si>
  <si>
    <t>Chinna Marumagal</t>
  </si>
  <si>
    <t>City Of Dreams</t>
  </si>
  <si>
    <t>Cooku With Jathirathnalu</t>
  </si>
  <si>
    <t>Half Marriage</t>
  </si>
  <si>
    <t>Invincible S4</t>
  </si>
  <si>
    <t>Kakuda</t>
  </si>
  <si>
    <t>Karthigai Deepam</t>
  </si>
  <si>
    <t>Laapataa Ladies</t>
  </si>
  <si>
    <t>Laxmi Niwas</t>
  </si>
  <si>
    <t>Lighter &amp; Princess</t>
  </si>
  <si>
    <t>Maa Ka Sum</t>
  </si>
  <si>
    <t>Mann</t>
  </si>
  <si>
    <t>Me Savitribai Jyotirao Phule</t>
  </si>
  <si>
    <t>Modern Love Mumbai</t>
  </si>
  <si>
    <t>Mohiniyattam</t>
  </si>
  <si>
    <t>Montu Pilot</t>
  </si>
  <si>
    <t>Mrs</t>
  </si>
  <si>
    <t>My Deskmate</t>
  </si>
  <si>
    <t>Naagin s7</t>
  </si>
  <si>
    <t>Nikita Roy</t>
  </si>
  <si>
    <t>Operation Valentine</t>
  </si>
  <si>
    <t>Prathi Chaya</t>
  </si>
  <si>
    <t>Saath Nibhaana Saathiya 2</t>
  </si>
  <si>
    <t>Sarkaar 6</t>
  </si>
  <si>
    <t>Sarvam Maya</t>
  </si>
  <si>
    <t>Savalyachi Janu Savali</t>
  </si>
  <si>
    <t>Siragadikka Aasai</t>
  </si>
  <si>
    <t>Sisu</t>
  </si>
  <si>
    <t>Snow White</t>
  </si>
  <si>
    <t>Suyodhana</t>
  </si>
  <si>
    <t>Tarini</t>
  </si>
  <si>
    <t>Thai Maaman</t>
  </si>
  <si>
    <t>The Crown</t>
  </si>
  <si>
    <t>The Door</t>
  </si>
  <si>
    <t>The Falcon And The Winter Soldier</t>
  </si>
  <si>
    <t>The Family Star</t>
  </si>
  <si>
    <t>The Housemaid</t>
  </si>
  <si>
    <t>The Lion King</t>
  </si>
  <si>
    <t>Thimmarajupalli Tv</t>
  </si>
  <si>
    <t>True Beauty</t>
  </si>
  <si>
    <t>Trial By Fire</t>
  </si>
  <si>
    <t>Vaazha: Biopic Of A Billion Boys</t>
  </si>
  <si>
    <t>Wandavision</t>
  </si>
  <si>
    <t xml:space="preserve">Tamil </t>
  </si>
  <si>
    <t>English;Hindi</t>
  </si>
  <si>
    <t>Teen Drama, Mystery</t>
  </si>
  <si>
    <t>Spy Thriller, Action</t>
  </si>
  <si>
    <t>Dance, Drama</t>
  </si>
  <si>
    <t>Animation, Family</t>
  </si>
  <si>
    <t>Thriller, Mystery</t>
  </si>
  <si>
    <t>Political Thriller</t>
  </si>
  <si>
    <t>Reality, Comedy</t>
  </si>
  <si>
    <t>Reality, Cooking</t>
  </si>
  <si>
    <t>Sci‑Fi, Comedy</t>
  </si>
  <si>
    <t>Animation, Superhero</t>
  </si>
  <si>
    <t>Romance, Youth Drama</t>
  </si>
  <si>
    <t>Romance, Anthology</t>
  </si>
  <si>
    <t>Fantasy, Supernatural</t>
  </si>
  <si>
    <t>Reality, Talk Show</t>
  </si>
  <si>
    <t>Action, War</t>
  </si>
  <si>
    <t>Family, Comedy</t>
  </si>
  <si>
    <t>Reality, Game Show</t>
  </si>
  <si>
    <t>Fantasy, Adventure</t>
  </si>
  <si>
    <t>Drama, Music</t>
  </si>
  <si>
    <t>Mythology, Drama</t>
  </si>
  <si>
    <t>Historical Drama</t>
  </si>
  <si>
    <t>Superhero, Action</t>
  </si>
  <si>
    <t>Animation, Adventure</t>
  </si>
  <si>
    <t>Superhero, Fantasy</t>
  </si>
  <si>
    <t>A Good Girl’s Guide to Murder S2</t>
  </si>
  <si>
    <t>Spider-Noir</t>
  </si>
  <si>
    <t>Kara</t>
  </si>
  <si>
    <t>Godari Gattupaina</t>
  </si>
  <si>
    <t>Leader</t>
  </si>
  <si>
    <t>Propeller One-Way Night Coach</t>
  </si>
  <si>
    <t>Star City</t>
  </si>
  <si>
    <t>Super Duperr</t>
  </si>
  <si>
    <t>Action,Adevnture,Drama</t>
  </si>
  <si>
    <t>Taskaree: The Smuggler’s Web</t>
  </si>
  <si>
    <t>Satrangi: Badle ka Khel</t>
  </si>
  <si>
    <t>WK-22,2026</t>
  </si>
  <si>
    <t>WK-22'2026</t>
  </si>
  <si>
    <t>K-Pops!</t>
  </si>
  <si>
    <t>Lord Curzon Ki Haveli</t>
  </si>
  <si>
    <t>Psycho Killer</t>
  </si>
  <si>
    <t>Dog Park</t>
  </si>
  <si>
    <t>Family Karma S1 – S3</t>
  </si>
  <si>
    <t>Inquiry</t>
  </si>
  <si>
    <t>Magnum P.I.</t>
  </si>
  <si>
    <t>One of Us Is Lying S1 – S2</t>
  </si>
  <si>
    <t>Shahs of Sunset S5 – S9</t>
  </si>
  <si>
    <t>*Batteries Not Included</t>
  </si>
  <si>
    <t>Bowling-ah? Fielding-ah?</t>
  </si>
  <si>
    <t>Bring Me the Beauties: A Model Cult</t>
  </si>
  <si>
    <t>Don’t Call it a Comeback</t>
  </si>
  <si>
    <t>Field of Dreams</t>
  </si>
  <si>
    <t>Half Baked</t>
  </si>
  <si>
    <t>Housesitter</t>
  </si>
  <si>
    <t>Jaws 3-D</t>
  </si>
  <si>
    <t>Law &amp; Order: Special Victims Unit</t>
  </si>
  <si>
    <t>Love You Dadu Dadi Ji</t>
  </si>
  <si>
    <t>Milky?Subway: The Galactic Limited Express – the Movie</t>
  </si>
  <si>
    <t>Monk S1 – S8</t>
  </si>
  <si>
    <t>Neighbors</t>
  </si>
  <si>
    <t>Saturday Night Live UK</t>
  </si>
  <si>
    <t>Sgt. Bilko</t>
  </si>
  <si>
    <t>The AI Doc: Or How I Became an Apocaloptimist</t>
  </si>
  <si>
    <t>The Big Lebowski</t>
  </si>
  <si>
    <t>The Break-Up</t>
  </si>
  <si>
    <t>The Great Himalayan Exploration Edition 4</t>
  </si>
  <si>
    <t>The Little Rascals</t>
  </si>
  <si>
    <t>The Next Class</t>
  </si>
  <si>
    <t>The Portrait of a Lady</t>
  </si>
  <si>
    <t>WWE: Clash in Italy</t>
  </si>
  <si>
    <t>Everwood</t>
  </si>
  <si>
    <t>I Can Only Imagine 2</t>
  </si>
  <si>
    <t>Not Suitable for Work</t>
  </si>
  <si>
    <t>The Arborist</t>
  </si>
  <si>
    <t>Zebra</t>
  </si>
  <si>
    <t>Beast of War</t>
  </si>
  <si>
    <t>Carmeni Selvam</t>
  </si>
  <si>
    <t>Clarkson’s Farm Season 5</t>
  </si>
  <si>
    <t>David</t>
  </si>
  <si>
    <t>Hoppers</t>
  </si>
  <si>
    <t>Made in India – A Titan Story</t>
  </si>
  <si>
    <t>Michael Jackson: The Verdict</t>
  </si>
  <si>
    <t>Spider-Man: Far From Home</t>
  </si>
  <si>
    <t>Super/Man: The Christopher Reeve Story</t>
  </si>
  <si>
    <t>The Highest Stakes</t>
  </si>
  <si>
    <t>The Legend of Vox Machina S4</t>
  </si>
  <si>
    <t>Dhurandhar: The Revenge</t>
  </si>
  <si>
    <t>Furiosa: A Mad Max Saga</t>
  </si>
  <si>
    <t>Godzilla x Kong: The New Empire</t>
  </si>
  <si>
    <t>Immaculate</t>
  </si>
  <si>
    <t>Maa Behen</t>
  </si>
  <si>
    <t>Meg 2: The Trench</t>
  </si>
  <si>
    <t>Night Shift for Cuties</t>
  </si>
  <si>
    <t>Poldi</t>
  </si>
  <si>
    <t>The Murder of Rachel Nickell</t>
  </si>
  <si>
    <t>The Nun II</t>
  </si>
  <si>
    <t>The Witness</t>
  </si>
  <si>
    <t>Until She Remembers</t>
  </si>
  <si>
    <t>Valentine’s Day</t>
  </si>
  <si>
    <t>Angus, Thongs and Perfect Snogging</t>
  </si>
  <si>
    <t>Bibi Payra</t>
  </si>
  <si>
    <t>Brown</t>
  </si>
  <si>
    <t>Cape Fear</t>
  </si>
  <si>
    <t>Dacoit</t>
  </si>
  <si>
    <t>Ginny Wedss Sunny 2</t>
  </si>
  <si>
    <t>Gullak Season 5</t>
  </si>
  <si>
    <t>Holocaust</t>
  </si>
  <si>
    <t>KD – The Devil</t>
  </si>
  <si>
    <t>Mexico 86</t>
  </si>
  <si>
    <t>Moolyam</t>
  </si>
  <si>
    <t>Office Romance</t>
  </si>
  <si>
    <t>Patriot</t>
  </si>
  <si>
    <t>Peter</t>
  </si>
  <si>
    <t>Sattendru Maarudhu Vaanilai</t>
  </si>
  <si>
    <t>Schitt’s Creek</t>
  </si>
  <si>
    <t>Sukhamano Sukhamanu</t>
  </si>
  <si>
    <t>Teach You a Lesson</t>
  </si>
  <si>
    <t>Thadai Athai Udai</t>
  </si>
  <si>
    <t>The Marked Woman</t>
  </si>
  <si>
    <t>The Pyramid Scheme</t>
  </si>
  <si>
    <t>The Rise Of Ashoka</t>
  </si>
  <si>
    <t>Ugly Story</t>
  </si>
  <si>
    <t>Valavaara</t>
  </si>
  <si>
    <t>Hindi,Tamil,Telugu,English</t>
  </si>
  <si>
    <t>Hindi,English,Tamil,Telugu,Bengali</t>
  </si>
  <si>
    <t>Kannada,Tamil,Telugu,Malayalam</t>
  </si>
  <si>
    <t>Hindi,Kannada,Tamil,Telugu,Malayalam</t>
  </si>
  <si>
    <t>Kannada,Tamil,Telugu</t>
  </si>
  <si>
    <t>Action,Adevnture,Crime</t>
  </si>
  <si>
    <t>Game Talk</t>
  </si>
  <si>
    <t>Adventure,Horror,Thriller</t>
  </si>
  <si>
    <t>Roland-Garros 2026</t>
  </si>
  <si>
    <t>Hastinapur Ke Veer</t>
  </si>
  <si>
    <t>India's Best Dancer</t>
  </si>
  <si>
    <t>Manvat Murders</t>
  </si>
  <si>
    <t>KD: The Devil</t>
  </si>
  <si>
    <t>Love Mocktail 3</t>
  </si>
  <si>
    <t>Unbroken- The Unmukt Chand Story</t>
  </si>
  <si>
    <t>WK-22 Reach</t>
  </si>
  <si>
    <t xml:space="preserve"> </t>
  </si>
  <si>
    <t>WK-22, 2026 ( 01 Jun 2026 - 07 Jun 2026 )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</si>
</sst>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3" xfId="1" applyNumberFormat="1" applyFont="1" applyBorder="1" applyAlignment="1">
      <alignment horizontal="center" vertical="center"/>
    </xf>
    <xf numFmtId="0" fontId="0" fillId="0" borderId="13" xfId="1" applyNumberFormat="1" applyFont="1" applyFill="1" applyBorder="1" applyAlignment="1">
      <alignment horizontal="center" vertical="center"/>
    </xf>
    <xf numFmtId="15" fontId="0" fillId="0" borderId="13" xfId="1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wrapText="1"/>
    </xf>
    <xf numFmtId="2" fontId="0" fillId="0" borderId="13" xfId="0" applyNumberFormat="1" applyBorder="1" applyAlignment="1">
      <alignment horizontal="center" vertical="center"/>
    </xf>
    <xf numFmtId="9" fontId="1" fillId="0" borderId="13" xfId="1" applyFont="1" applyFill="1" applyBorder="1" applyAlignment="1">
      <alignment horizontal="center" vertical="center"/>
    </xf>
    <xf numFmtId="9" fontId="1" fillId="0" borderId="13" xfId="1" applyFont="1" applyBorder="1" applyAlignment="1">
      <alignment horizontal="center" vertical="center"/>
    </xf>
    <xf numFmtId="2" fontId="0" fillId="0" borderId="13" xfId="1" applyNumberFormat="1" applyFont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0" xfId="1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1" applyNumberFormat="1" applyFont="1" applyFill="1" applyBorder="1" applyAlignment="1">
      <alignment horizontal="center" vertical="center"/>
    </xf>
    <xf numFmtId="0" fontId="0" fillId="0" borderId="14" xfId="1" applyNumberFormat="1" applyFont="1" applyBorder="1" applyAlignment="1">
      <alignment horizontal="center" vertical="center"/>
    </xf>
    <xf numFmtId="15" fontId="0" fillId="0" borderId="14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357910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9525</xdr:colOff>
      <xdr:row>49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9525</xdr:colOff>
      <xdr:row>74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9525</xdr:colOff>
      <xdr:row>107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A9B67657-8A1E-4FF0-A6ED-63DA7B2A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245</xdr:row>
      <xdr:rowOff>0</xdr:rowOff>
    </xdr:from>
    <xdr:to>
      <xdr:col>6</xdr:col>
      <xdr:colOff>9525</xdr:colOff>
      <xdr:row>245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BA81B76A-918F-48D4-B440-3FD43C3C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6"/>
  <sheetViews>
    <sheetView showGridLines="0" tabSelected="1" zoomScale="90" zoomScaleNormal="90" workbookViewId="0"/>
  </sheetViews>
  <sheetFormatPr defaultRowHeight="15" x14ac:dyDescent="0.25"/>
  <cols>
    <col min="1" max="1" width="11.85546875" bestFit="1" customWidth="1"/>
    <col min="2" max="2" width="9.5703125" bestFit="1" customWidth="1"/>
    <col min="3" max="3" width="19.85546875" bestFit="1" customWidth="1"/>
    <col min="4" max="4" width="21.7109375" bestFit="1" customWidth="1"/>
    <col min="5" max="5" width="10.28515625" bestFit="1" customWidth="1"/>
    <col min="6" max="6" width="12.85546875" bestFit="1" customWidth="1"/>
    <col min="7" max="7" width="36.85546875" bestFit="1" customWidth="1"/>
    <col min="8" max="8" width="36.85546875" customWidth="1"/>
    <col min="9" max="9" width="28.7109375" bestFit="1" customWidth="1"/>
    <col min="10" max="10" width="12.5703125" bestFit="1" customWidth="1"/>
    <col min="11" max="11" width="5.28515625" bestFit="1" customWidth="1"/>
    <col min="12" max="12" width="7.140625" bestFit="1" customWidth="1"/>
  </cols>
  <sheetData>
    <row r="1" spans="1:12" x14ac:dyDescent="0.25">
      <c r="A1" t="s">
        <v>2107</v>
      </c>
      <c r="F1" s="72" t="s">
        <v>2108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22" t="s">
        <v>205</v>
      </c>
      <c r="B6" s="122" t="s">
        <v>257</v>
      </c>
      <c r="C6" s="122" t="s">
        <v>204</v>
      </c>
      <c r="D6" s="122" t="s">
        <v>430</v>
      </c>
      <c r="E6" s="122" t="s">
        <v>210</v>
      </c>
      <c r="F6" s="122" t="s">
        <v>206</v>
      </c>
      <c r="G6" s="122" t="s">
        <v>207</v>
      </c>
      <c r="H6" s="122" t="s">
        <v>13</v>
      </c>
      <c r="I6" s="122" t="s">
        <v>209</v>
      </c>
      <c r="J6" s="122" t="s">
        <v>208</v>
      </c>
      <c r="K6" s="122" t="s">
        <v>253</v>
      </c>
      <c r="L6" s="122" t="s">
        <v>857</v>
      </c>
    </row>
    <row r="7" spans="1:12" x14ac:dyDescent="0.25">
      <c r="A7" s="46" t="s">
        <v>2004</v>
      </c>
      <c r="B7" s="46" t="s">
        <v>85</v>
      </c>
      <c r="C7" s="46" t="s">
        <v>906</v>
      </c>
      <c r="D7" s="46" t="s">
        <v>437</v>
      </c>
      <c r="E7" s="46" t="s">
        <v>211</v>
      </c>
      <c r="F7" s="46" t="s">
        <v>451</v>
      </c>
      <c r="G7" s="46" t="s">
        <v>1783</v>
      </c>
      <c r="H7" s="46" t="s">
        <v>19</v>
      </c>
      <c r="I7" s="46" t="s">
        <v>451</v>
      </c>
      <c r="J7" s="107">
        <v>46109</v>
      </c>
      <c r="K7" s="46">
        <v>1</v>
      </c>
      <c r="L7" s="123">
        <v>156.53994563534934</v>
      </c>
    </row>
    <row r="8" spans="1:12" x14ac:dyDescent="0.25">
      <c r="A8" s="46" t="s">
        <v>2004</v>
      </c>
      <c r="B8" s="46" t="s">
        <v>85</v>
      </c>
      <c r="C8" s="46" t="s">
        <v>906</v>
      </c>
      <c r="D8" s="46" t="s">
        <v>434</v>
      </c>
      <c r="E8" s="46" t="s">
        <v>211</v>
      </c>
      <c r="F8" s="46" t="s">
        <v>213</v>
      </c>
      <c r="G8" s="46" t="s">
        <v>2054</v>
      </c>
      <c r="H8" s="46" t="s">
        <v>246</v>
      </c>
      <c r="I8" s="46" t="s">
        <v>90</v>
      </c>
      <c r="J8" s="53">
        <v>46177</v>
      </c>
      <c r="K8" s="46">
        <v>2</v>
      </c>
      <c r="L8" s="123">
        <v>71.667873964290237</v>
      </c>
    </row>
    <row r="9" spans="1:12" x14ac:dyDescent="0.25">
      <c r="A9" s="46" t="s">
        <v>2004</v>
      </c>
      <c r="B9" s="46" t="s">
        <v>85</v>
      </c>
      <c r="C9" s="46" t="s">
        <v>879</v>
      </c>
      <c r="D9" s="46" t="s">
        <v>1854</v>
      </c>
      <c r="E9" s="46" t="s">
        <v>219</v>
      </c>
      <c r="F9" s="46" t="s">
        <v>215</v>
      </c>
      <c r="G9" s="46" t="s">
        <v>2048</v>
      </c>
      <c r="H9" s="46" t="s">
        <v>19</v>
      </c>
      <c r="I9" s="46" t="s">
        <v>216</v>
      </c>
      <c r="J9" s="107">
        <v>46176</v>
      </c>
      <c r="K9" s="46">
        <v>3</v>
      </c>
      <c r="L9" s="101">
        <v>16.322047647902512</v>
      </c>
    </row>
    <row r="10" spans="1:12" x14ac:dyDescent="0.25">
      <c r="A10" s="46" t="s">
        <v>2004</v>
      </c>
      <c r="B10" s="46" t="s">
        <v>85</v>
      </c>
      <c r="C10" s="98" t="s">
        <v>123</v>
      </c>
      <c r="D10" s="46" t="s">
        <v>1013</v>
      </c>
      <c r="E10" s="98" t="s">
        <v>211</v>
      </c>
      <c r="F10" s="46" t="s">
        <v>213</v>
      </c>
      <c r="G10" s="120" t="s">
        <v>2058</v>
      </c>
      <c r="H10" s="119" t="s">
        <v>28</v>
      </c>
      <c r="I10" s="98" t="s">
        <v>130</v>
      </c>
      <c r="J10" s="106">
        <v>46177</v>
      </c>
      <c r="K10" s="46">
        <v>4</v>
      </c>
      <c r="L10" s="101">
        <v>14.589112619441105</v>
      </c>
    </row>
    <row r="11" spans="1:12" x14ac:dyDescent="0.25">
      <c r="A11" s="46" t="s">
        <v>2004</v>
      </c>
      <c r="B11" s="46" t="s">
        <v>85</v>
      </c>
      <c r="C11" s="98" t="s">
        <v>64</v>
      </c>
      <c r="D11" s="98" t="s">
        <v>431</v>
      </c>
      <c r="E11" s="98" t="s">
        <v>211</v>
      </c>
      <c r="F11" s="46" t="s">
        <v>215</v>
      </c>
      <c r="G11" s="98" t="s">
        <v>1875</v>
      </c>
      <c r="H11" s="98" t="s">
        <v>1891</v>
      </c>
      <c r="I11" s="98" t="s">
        <v>1892</v>
      </c>
      <c r="J11" s="106">
        <v>46131</v>
      </c>
      <c r="K11" s="46">
        <v>5</v>
      </c>
      <c r="L11" s="123">
        <v>12.4764748295341</v>
      </c>
    </row>
    <row r="12" spans="1:12" x14ac:dyDescent="0.25">
      <c r="A12" s="46" t="s">
        <v>2004</v>
      </c>
      <c r="B12" s="46" t="s">
        <v>85</v>
      </c>
      <c r="C12" s="98" t="s">
        <v>123</v>
      </c>
      <c r="D12" s="98" t="s">
        <v>431</v>
      </c>
      <c r="E12" s="98" t="s">
        <v>211</v>
      </c>
      <c r="F12" s="46" t="s">
        <v>215</v>
      </c>
      <c r="G12" s="98" t="s">
        <v>1858</v>
      </c>
      <c r="H12" s="119" t="s">
        <v>28</v>
      </c>
      <c r="I12" s="98" t="s">
        <v>202</v>
      </c>
      <c r="J12" s="106">
        <v>46157</v>
      </c>
      <c r="K12" s="46">
        <v>6</v>
      </c>
      <c r="L12" s="123">
        <v>10.281036733287699</v>
      </c>
    </row>
    <row r="13" spans="1:12" x14ac:dyDescent="0.25">
      <c r="A13" s="46" t="s">
        <v>2004</v>
      </c>
      <c r="B13" s="46" t="s">
        <v>85</v>
      </c>
      <c r="C13" s="46" t="s">
        <v>132</v>
      </c>
      <c r="D13" s="98" t="s">
        <v>431</v>
      </c>
      <c r="E13" s="46" t="s">
        <v>211</v>
      </c>
      <c r="F13" s="46" t="s">
        <v>215</v>
      </c>
      <c r="G13" s="46" t="s">
        <v>2073</v>
      </c>
      <c r="H13" s="46" t="s">
        <v>19</v>
      </c>
      <c r="I13" s="46" t="s">
        <v>138</v>
      </c>
      <c r="J13" s="107">
        <v>46178</v>
      </c>
      <c r="K13" s="46">
        <v>7</v>
      </c>
      <c r="L13" s="123">
        <v>10.206504615472001</v>
      </c>
    </row>
    <row r="14" spans="1:12" x14ac:dyDescent="0.25">
      <c r="A14" s="46" t="s">
        <v>2004</v>
      </c>
      <c r="B14" s="46" t="s">
        <v>85</v>
      </c>
      <c r="C14" s="46" t="s">
        <v>64</v>
      </c>
      <c r="D14" s="46" t="s">
        <v>431</v>
      </c>
      <c r="E14" s="46" t="s">
        <v>211</v>
      </c>
      <c r="F14" s="46" t="s">
        <v>215</v>
      </c>
      <c r="G14" s="46" t="s">
        <v>1857</v>
      </c>
      <c r="H14" s="46" t="s">
        <v>1432</v>
      </c>
      <c r="I14" s="46" t="s">
        <v>172</v>
      </c>
      <c r="J14" s="53">
        <v>46155</v>
      </c>
      <c r="K14" s="46">
        <v>8</v>
      </c>
      <c r="L14" s="123">
        <v>9.8921343219268998</v>
      </c>
    </row>
    <row r="15" spans="1:12" x14ac:dyDescent="0.25">
      <c r="A15" s="46" t="s">
        <v>2004</v>
      </c>
      <c r="B15" s="46" t="s">
        <v>85</v>
      </c>
      <c r="C15" s="46" t="s">
        <v>879</v>
      </c>
      <c r="D15" s="46" t="s">
        <v>1854</v>
      </c>
      <c r="E15" s="46" t="s">
        <v>219</v>
      </c>
      <c r="F15" s="46" t="s">
        <v>215</v>
      </c>
      <c r="G15" s="46" t="s">
        <v>1912</v>
      </c>
      <c r="H15" s="46" t="s">
        <v>19</v>
      </c>
      <c r="I15" s="46" t="s">
        <v>176</v>
      </c>
      <c r="J15" s="53">
        <v>46157</v>
      </c>
      <c r="K15" s="46">
        <v>9</v>
      </c>
      <c r="L15" s="123">
        <v>9.1091011524507994</v>
      </c>
    </row>
    <row r="16" spans="1:12" x14ac:dyDescent="0.25">
      <c r="A16" s="46" t="s">
        <v>2004</v>
      </c>
      <c r="B16" s="46" t="s">
        <v>85</v>
      </c>
      <c r="C16" s="98" t="s">
        <v>123</v>
      </c>
      <c r="D16" s="98" t="s">
        <v>434</v>
      </c>
      <c r="E16" s="98" t="s">
        <v>211</v>
      </c>
      <c r="F16" s="46" t="s">
        <v>213</v>
      </c>
      <c r="G16" s="98" t="s">
        <v>1995</v>
      </c>
      <c r="H16" s="98" t="s">
        <v>246</v>
      </c>
      <c r="I16" s="98" t="s">
        <v>90</v>
      </c>
      <c r="J16" s="106">
        <v>46170</v>
      </c>
      <c r="K16" s="46">
        <v>10</v>
      </c>
      <c r="L16" s="123">
        <v>9.0712980577928608</v>
      </c>
    </row>
    <row r="17" spans="1:12" x14ac:dyDescent="0.25">
      <c r="A17" s="46" t="s">
        <v>2004</v>
      </c>
      <c r="B17" s="46" t="s">
        <v>85</v>
      </c>
      <c r="C17" s="98" t="s">
        <v>64</v>
      </c>
      <c r="D17" s="98" t="s">
        <v>431</v>
      </c>
      <c r="E17" s="119" t="s">
        <v>211</v>
      </c>
      <c r="F17" s="46" t="s">
        <v>215</v>
      </c>
      <c r="G17" s="98" t="s">
        <v>1994</v>
      </c>
      <c r="H17" s="98" t="s">
        <v>1432</v>
      </c>
      <c r="I17" s="98" t="s">
        <v>2001</v>
      </c>
      <c r="J17" s="106">
        <v>46169</v>
      </c>
      <c r="K17" s="46">
        <v>11</v>
      </c>
      <c r="L17" s="123">
        <v>8.2396161335584992</v>
      </c>
    </row>
    <row r="18" spans="1:12" x14ac:dyDescent="0.25">
      <c r="A18" s="46" t="s">
        <v>2004</v>
      </c>
      <c r="B18" s="46" t="s">
        <v>85</v>
      </c>
      <c r="C18" s="46" t="s">
        <v>123</v>
      </c>
      <c r="D18" s="98" t="s">
        <v>431</v>
      </c>
      <c r="E18" s="46" t="s">
        <v>211</v>
      </c>
      <c r="F18" s="46" t="s">
        <v>215</v>
      </c>
      <c r="G18" s="46" t="s">
        <v>2060</v>
      </c>
      <c r="H18" s="46" t="s">
        <v>20</v>
      </c>
      <c r="I18" s="46" t="s">
        <v>138</v>
      </c>
      <c r="J18" s="53">
        <v>46177</v>
      </c>
      <c r="K18" s="46">
        <v>12</v>
      </c>
      <c r="L18" s="123">
        <v>8.0166771756125499</v>
      </c>
    </row>
    <row r="19" spans="1:12" x14ac:dyDescent="0.25">
      <c r="A19" s="46" t="s">
        <v>2004</v>
      </c>
      <c r="B19" s="46" t="s">
        <v>85</v>
      </c>
      <c r="C19" s="46" t="s">
        <v>123</v>
      </c>
      <c r="D19" s="46" t="s">
        <v>434</v>
      </c>
      <c r="E19" s="46" t="s">
        <v>211</v>
      </c>
      <c r="F19" s="46" t="s">
        <v>213</v>
      </c>
      <c r="G19" s="46" t="s">
        <v>2056</v>
      </c>
      <c r="H19" s="46" t="s">
        <v>28</v>
      </c>
      <c r="I19" s="46" t="s">
        <v>381</v>
      </c>
      <c r="J19" s="53">
        <v>46177</v>
      </c>
      <c r="K19" s="46">
        <v>13</v>
      </c>
      <c r="L19" s="123">
        <v>7.8451880617636052</v>
      </c>
    </row>
    <row r="20" spans="1:12" x14ac:dyDescent="0.25">
      <c r="A20" s="46" t="s">
        <v>2004</v>
      </c>
      <c r="B20" s="46" t="s">
        <v>85</v>
      </c>
      <c r="C20" s="46" t="s">
        <v>123</v>
      </c>
      <c r="D20" s="98" t="s">
        <v>434</v>
      </c>
      <c r="E20" s="46" t="s">
        <v>211</v>
      </c>
      <c r="F20" s="46" t="s">
        <v>213</v>
      </c>
      <c r="G20" s="46" t="s">
        <v>2066</v>
      </c>
      <c r="H20" s="46" t="s">
        <v>20</v>
      </c>
      <c r="I20" s="46" t="s">
        <v>154</v>
      </c>
      <c r="J20" s="53">
        <v>46177</v>
      </c>
      <c r="K20" s="46">
        <v>14</v>
      </c>
      <c r="L20" s="123">
        <v>7.8100538102343489</v>
      </c>
    </row>
    <row r="21" spans="1:12" x14ac:dyDescent="0.25">
      <c r="A21" s="46" t="s">
        <v>2004</v>
      </c>
      <c r="B21" s="46" t="s">
        <v>85</v>
      </c>
      <c r="C21" s="98" t="s">
        <v>123</v>
      </c>
      <c r="D21" s="119" t="s">
        <v>431</v>
      </c>
      <c r="E21" s="119" t="s">
        <v>211</v>
      </c>
      <c r="F21" s="46" t="s">
        <v>215</v>
      </c>
      <c r="G21" s="119" t="s">
        <v>2064</v>
      </c>
      <c r="H21" s="119" t="s">
        <v>21</v>
      </c>
      <c r="I21" s="119" t="s">
        <v>170</v>
      </c>
      <c r="J21" s="121">
        <v>46177</v>
      </c>
      <c r="K21" s="46">
        <v>15</v>
      </c>
      <c r="L21" s="123">
        <v>7.5097593542393097</v>
      </c>
    </row>
    <row r="22" spans="1:12" x14ac:dyDescent="0.25">
      <c r="A22" s="46" t="s">
        <v>2004</v>
      </c>
      <c r="B22" s="46" t="s">
        <v>85</v>
      </c>
      <c r="C22" s="46" t="s">
        <v>123</v>
      </c>
      <c r="D22" s="46" t="s">
        <v>434</v>
      </c>
      <c r="E22" s="46" t="s">
        <v>211</v>
      </c>
      <c r="F22" s="46" t="s">
        <v>213</v>
      </c>
      <c r="G22" s="53" t="s">
        <v>2055</v>
      </c>
      <c r="H22" s="46" t="s">
        <v>28</v>
      </c>
      <c r="I22" s="46" t="s">
        <v>381</v>
      </c>
      <c r="J22" s="53">
        <v>46177</v>
      </c>
      <c r="K22" s="46">
        <v>16</v>
      </c>
      <c r="L22" s="123">
        <v>7.3313933369660624</v>
      </c>
    </row>
    <row r="23" spans="1:12" x14ac:dyDescent="0.25">
      <c r="A23" s="46" t="s">
        <v>2004</v>
      </c>
      <c r="B23" s="46" t="s">
        <v>85</v>
      </c>
      <c r="C23" s="46" t="s">
        <v>150</v>
      </c>
      <c r="D23" s="46" t="s">
        <v>431</v>
      </c>
      <c r="E23" s="46" t="s">
        <v>211</v>
      </c>
      <c r="F23" s="46" t="s">
        <v>215</v>
      </c>
      <c r="G23" s="46" t="s">
        <v>2003</v>
      </c>
      <c r="H23" s="46" t="s">
        <v>19</v>
      </c>
      <c r="I23" s="46" t="s">
        <v>84</v>
      </c>
      <c r="J23" s="53">
        <v>46164</v>
      </c>
      <c r="K23" s="46">
        <v>17</v>
      </c>
      <c r="L23" s="123">
        <v>6.9029549990137804</v>
      </c>
    </row>
    <row r="24" spans="1:12" x14ac:dyDescent="0.25">
      <c r="A24" s="46" t="s">
        <v>2004</v>
      </c>
      <c r="B24" s="46" t="s">
        <v>85</v>
      </c>
      <c r="C24" s="46" t="s">
        <v>123</v>
      </c>
      <c r="D24" s="46" t="s">
        <v>431</v>
      </c>
      <c r="E24" s="46" t="s">
        <v>211</v>
      </c>
      <c r="F24" s="46" t="s">
        <v>215</v>
      </c>
      <c r="G24" s="46" t="s">
        <v>1993</v>
      </c>
      <c r="H24" s="46" t="s">
        <v>21</v>
      </c>
      <c r="I24" s="46" t="s">
        <v>202</v>
      </c>
      <c r="J24" s="53">
        <v>46169</v>
      </c>
      <c r="K24" s="46">
        <v>18</v>
      </c>
      <c r="L24" s="123">
        <v>6.8231421821292555</v>
      </c>
    </row>
    <row r="25" spans="1:12" x14ac:dyDescent="0.25">
      <c r="A25" s="46" t="s">
        <v>2004</v>
      </c>
      <c r="B25" s="46" t="s">
        <v>85</v>
      </c>
      <c r="C25" s="98" t="s">
        <v>64</v>
      </c>
      <c r="D25" s="46" t="s">
        <v>431</v>
      </c>
      <c r="E25" s="98" t="s">
        <v>211</v>
      </c>
      <c r="F25" s="46" t="s">
        <v>215</v>
      </c>
      <c r="G25" s="98" t="s">
        <v>2087</v>
      </c>
      <c r="H25" s="98" t="s">
        <v>19</v>
      </c>
      <c r="I25" s="98" t="s">
        <v>138</v>
      </c>
      <c r="J25" s="106">
        <v>46178</v>
      </c>
      <c r="K25" s="46">
        <v>19</v>
      </c>
      <c r="L25" s="123">
        <v>6.6029499615376812</v>
      </c>
    </row>
    <row r="26" spans="1:12" x14ac:dyDescent="0.25">
      <c r="A26" s="46" t="s">
        <v>2004</v>
      </c>
      <c r="B26" s="46" t="s">
        <v>85</v>
      </c>
      <c r="C26" s="98" t="s">
        <v>64</v>
      </c>
      <c r="D26" s="46" t="s">
        <v>434</v>
      </c>
      <c r="E26" s="98" t="s">
        <v>211</v>
      </c>
      <c r="F26" s="46" t="s">
        <v>213</v>
      </c>
      <c r="G26" s="98" t="s">
        <v>2089</v>
      </c>
      <c r="H26" s="119" t="s">
        <v>40</v>
      </c>
      <c r="I26" s="119" t="s">
        <v>173</v>
      </c>
      <c r="J26" s="106">
        <v>46178</v>
      </c>
      <c r="K26" s="46">
        <v>20</v>
      </c>
      <c r="L26" s="123">
        <v>6.559756968219264</v>
      </c>
    </row>
    <row r="27" spans="1:12" x14ac:dyDescent="0.25">
      <c r="A27" s="46" t="s">
        <v>2004</v>
      </c>
      <c r="B27" s="46" t="s">
        <v>85</v>
      </c>
      <c r="C27" s="46" t="s">
        <v>114</v>
      </c>
      <c r="D27" s="46" t="s">
        <v>431</v>
      </c>
      <c r="E27" s="46" t="s">
        <v>211</v>
      </c>
      <c r="F27" s="46" t="s">
        <v>215</v>
      </c>
      <c r="G27" s="46" t="s">
        <v>2082</v>
      </c>
      <c r="H27" s="46" t="s">
        <v>20</v>
      </c>
      <c r="I27" s="46" t="s">
        <v>124</v>
      </c>
      <c r="J27" s="107">
        <v>46178</v>
      </c>
      <c r="K27" s="46">
        <v>21</v>
      </c>
      <c r="L27" s="123">
        <v>6.4431295046163619</v>
      </c>
    </row>
    <row r="28" spans="1:12" x14ac:dyDescent="0.25">
      <c r="A28" s="46" t="s">
        <v>2004</v>
      </c>
      <c r="B28" s="46" t="s">
        <v>85</v>
      </c>
      <c r="C28" s="46" t="s">
        <v>123</v>
      </c>
      <c r="D28" s="46" t="s">
        <v>431</v>
      </c>
      <c r="E28" s="46" t="s">
        <v>211</v>
      </c>
      <c r="F28" s="46" t="s">
        <v>215</v>
      </c>
      <c r="G28" s="46" t="s">
        <v>1908</v>
      </c>
      <c r="H28" s="46" t="s">
        <v>28</v>
      </c>
      <c r="I28" s="46" t="s">
        <v>1852</v>
      </c>
      <c r="J28" s="53">
        <v>46162</v>
      </c>
      <c r="K28" s="46">
        <v>22</v>
      </c>
      <c r="L28" s="123">
        <v>6.3720916117629303</v>
      </c>
    </row>
    <row r="29" spans="1:12" x14ac:dyDescent="0.25">
      <c r="A29" s="46" t="s">
        <v>2004</v>
      </c>
      <c r="B29" s="46" t="s">
        <v>85</v>
      </c>
      <c r="C29" s="98" t="s">
        <v>906</v>
      </c>
      <c r="D29" s="98" t="s">
        <v>456</v>
      </c>
      <c r="E29" s="98" t="s">
        <v>211</v>
      </c>
      <c r="F29" s="46" t="s">
        <v>1917</v>
      </c>
      <c r="G29" s="98" t="s">
        <v>1851</v>
      </c>
      <c r="H29" s="98" t="s">
        <v>19</v>
      </c>
      <c r="I29" s="98" t="s">
        <v>1975</v>
      </c>
      <c r="J29" s="106">
        <v>45983</v>
      </c>
      <c r="K29" s="46">
        <v>23</v>
      </c>
      <c r="L29" s="123">
        <v>6.2489217613010259</v>
      </c>
    </row>
    <row r="30" spans="1:12" x14ac:dyDescent="0.25">
      <c r="A30" s="46" t="s">
        <v>2004</v>
      </c>
      <c r="B30" s="46" t="s">
        <v>85</v>
      </c>
      <c r="C30" s="46" t="s">
        <v>123</v>
      </c>
      <c r="D30" s="46" t="s">
        <v>1013</v>
      </c>
      <c r="E30" s="46" t="s">
        <v>211</v>
      </c>
      <c r="F30" s="46" t="s">
        <v>213</v>
      </c>
      <c r="G30" s="46" t="s">
        <v>2062</v>
      </c>
      <c r="H30" s="46" t="s">
        <v>28</v>
      </c>
      <c r="I30" s="46" t="s">
        <v>171</v>
      </c>
      <c r="J30" s="107">
        <v>46177</v>
      </c>
      <c r="K30" s="46">
        <v>24</v>
      </c>
      <c r="L30" s="123">
        <v>6.1769501716387341</v>
      </c>
    </row>
    <row r="31" spans="1:12" x14ac:dyDescent="0.25">
      <c r="A31" s="46" t="s">
        <v>2004</v>
      </c>
      <c r="B31" s="46" t="s">
        <v>85</v>
      </c>
      <c r="C31" s="98" t="s">
        <v>123</v>
      </c>
      <c r="D31" s="46" t="s">
        <v>1013</v>
      </c>
      <c r="E31" s="98" t="s">
        <v>211</v>
      </c>
      <c r="F31" s="46" t="s">
        <v>213</v>
      </c>
      <c r="G31" s="98" t="s">
        <v>2061</v>
      </c>
      <c r="H31" s="98" t="s">
        <v>21</v>
      </c>
      <c r="I31" s="98" t="s">
        <v>158</v>
      </c>
      <c r="J31" s="106">
        <v>46177</v>
      </c>
      <c r="K31" s="46">
        <v>25</v>
      </c>
      <c r="L31" s="123">
        <v>6.1649492050722792</v>
      </c>
    </row>
    <row r="32" spans="1:12" x14ac:dyDescent="0.25">
      <c r="A32" s="46" t="s">
        <v>2004</v>
      </c>
      <c r="B32" s="46" t="s">
        <v>85</v>
      </c>
      <c r="C32" s="46" t="s">
        <v>64</v>
      </c>
      <c r="D32" s="46" t="s">
        <v>431</v>
      </c>
      <c r="E32" s="46" t="s">
        <v>211</v>
      </c>
      <c r="F32" s="46" t="s">
        <v>215</v>
      </c>
      <c r="G32" s="46" t="s">
        <v>1841</v>
      </c>
      <c r="H32" s="46" t="s">
        <v>1432</v>
      </c>
      <c r="I32" s="46" t="s">
        <v>78</v>
      </c>
      <c r="J32" s="107">
        <v>46120</v>
      </c>
      <c r="K32" s="46">
        <v>26</v>
      </c>
      <c r="L32" s="123">
        <v>6.1108385485201504</v>
      </c>
    </row>
    <row r="33" spans="1:12" x14ac:dyDescent="0.25">
      <c r="A33" s="46" t="s">
        <v>2004</v>
      </c>
      <c r="B33" s="46" t="s">
        <v>85</v>
      </c>
      <c r="C33" s="98" t="s">
        <v>150</v>
      </c>
      <c r="D33" s="46" t="s">
        <v>431</v>
      </c>
      <c r="E33" s="98" t="s">
        <v>211</v>
      </c>
      <c r="F33" s="46" t="s">
        <v>215</v>
      </c>
      <c r="G33" s="119" t="s">
        <v>2069</v>
      </c>
      <c r="H33" s="119" t="s">
        <v>19</v>
      </c>
      <c r="I33" s="119" t="s">
        <v>202</v>
      </c>
      <c r="J33" s="121">
        <v>46178</v>
      </c>
      <c r="K33" s="46">
        <v>27</v>
      </c>
      <c r="L33" s="123">
        <v>5.9959235478974122</v>
      </c>
    </row>
    <row r="34" spans="1:12" x14ac:dyDescent="0.25">
      <c r="A34" s="46" t="s">
        <v>2004</v>
      </c>
      <c r="B34" s="46" t="s">
        <v>85</v>
      </c>
      <c r="C34" s="46" t="s">
        <v>906</v>
      </c>
      <c r="D34" s="46" t="s">
        <v>434</v>
      </c>
      <c r="E34" s="46" t="s">
        <v>211</v>
      </c>
      <c r="F34" s="46" t="s">
        <v>213</v>
      </c>
      <c r="G34" s="46" t="s">
        <v>2057</v>
      </c>
      <c r="H34" s="46" t="s">
        <v>28</v>
      </c>
      <c r="I34" s="46" t="s">
        <v>162</v>
      </c>
      <c r="J34" s="53">
        <v>46177</v>
      </c>
      <c r="K34" s="46">
        <v>28</v>
      </c>
      <c r="L34" s="123">
        <v>5.9749394153872437</v>
      </c>
    </row>
    <row r="35" spans="1:12" x14ac:dyDescent="0.25">
      <c r="A35" s="46" t="s">
        <v>2004</v>
      </c>
      <c r="B35" s="46" t="s">
        <v>85</v>
      </c>
      <c r="C35" s="46" t="s">
        <v>123</v>
      </c>
      <c r="D35" s="46" t="s">
        <v>434</v>
      </c>
      <c r="E35" s="46" t="s">
        <v>211</v>
      </c>
      <c r="F35" s="46" t="s">
        <v>213</v>
      </c>
      <c r="G35" s="53" t="s">
        <v>2065</v>
      </c>
      <c r="H35" s="46" t="s">
        <v>21</v>
      </c>
      <c r="I35" s="46" t="s">
        <v>172</v>
      </c>
      <c r="J35" s="53">
        <v>46177</v>
      </c>
      <c r="K35" s="46">
        <v>29</v>
      </c>
      <c r="L35" s="123">
        <v>5.8878517799368968</v>
      </c>
    </row>
    <row r="36" spans="1:12" x14ac:dyDescent="0.25">
      <c r="A36" s="46" t="s">
        <v>2004</v>
      </c>
      <c r="B36" s="46" t="s">
        <v>85</v>
      </c>
      <c r="C36" s="46" t="s">
        <v>132</v>
      </c>
      <c r="D36" s="98" t="s">
        <v>456</v>
      </c>
      <c r="E36" s="46" t="s">
        <v>219</v>
      </c>
      <c r="F36" s="46" t="s">
        <v>1917</v>
      </c>
      <c r="G36" s="46" t="s">
        <v>1515</v>
      </c>
      <c r="H36" s="46" t="s">
        <v>19</v>
      </c>
      <c r="I36" s="46" t="s">
        <v>1852</v>
      </c>
      <c r="J36" s="53">
        <v>45948</v>
      </c>
      <c r="K36" s="46">
        <v>30</v>
      </c>
      <c r="L36" s="123">
        <v>5.798151199755325</v>
      </c>
    </row>
    <row r="37" spans="1:12" x14ac:dyDescent="0.25">
      <c r="A37" s="46" t="s">
        <v>2004</v>
      </c>
      <c r="B37" s="46" t="s">
        <v>85</v>
      </c>
      <c r="C37" s="98" t="s">
        <v>406</v>
      </c>
      <c r="D37" s="46" t="s">
        <v>431</v>
      </c>
      <c r="E37" s="98" t="s">
        <v>211</v>
      </c>
      <c r="F37" s="46" t="s">
        <v>215</v>
      </c>
      <c r="G37" s="98" t="s">
        <v>1909</v>
      </c>
      <c r="H37" s="98" t="s">
        <v>20</v>
      </c>
      <c r="I37" s="98" t="s">
        <v>176</v>
      </c>
      <c r="J37" s="106">
        <v>46162</v>
      </c>
      <c r="K37" s="46">
        <v>31</v>
      </c>
      <c r="L37" s="123">
        <v>5.7234718117987269</v>
      </c>
    </row>
    <row r="38" spans="1:12" x14ac:dyDescent="0.25">
      <c r="A38" s="46" t="s">
        <v>2004</v>
      </c>
      <c r="B38" s="46" t="s">
        <v>85</v>
      </c>
      <c r="C38" s="98" t="s">
        <v>879</v>
      </c>
      <c r="D38" s="46" t="s">
        <v>434</v>
      </c>
      <c r="E38" s="98" t="s">
        <v>219</v>
      </c>
      <c r="F38" s="46" t="s">
        <v>213</v>
      </c>
      <c r="G38" s="119" t="s">
        <v>2083</v>
      </c>
      <c r="H38" s="119" t="s">
        <v>22</v>
      </c>
      <c r="I38" s="119" t="s">
        <v>143</v>
      </c>
      <c r="J38" s="121">
        <v>46178</v>
      </c>
      <c r="K38" s="46">
        <v>32</v>
      </c>
      <c r="L38" s="101">
        <v>5.339804505005735</v>
      </c>
    </row>
    <row r="39" spans="1:12" x14ac:dyDescent="0.25">
      <c r="A39" s="46" t="s">
        <v>2004</v>
      </c>
      <c r="B39" s="46" t="s">
        <v>85</v>
      </c>
      <c r="C39" s="46" t="s">
        <v>150</v>
      </c>
      <c r="D39" s="46" t="s">
        <v>1854</v>
      </c>
      <c r="E39" s="46" t="s">
        <v>219</v>
      </c>
      <c r="F39" s="46" t="s">
        <v>215</v>
      </c>
      <c r="G39" s="53" t="s">
        <v>1887</v>
      </c>
      <c r="H39" s="46" t="s">
        <v>19</v>
      </c>
      <c r="I39" s="46" t="s">
        <v>171</v>
      </c>
      <c r="J39" s="53">
        <v>46157</v>
      </c>
      <c r="K39" s="46">
        <v>33</v>
      </c>
      <c r="L39" s="123">
        <v>5.126562540412726</v>
      </c>
    </row>
    <row r="40" spans="1:12" x14ac:dyDescent="0.25">
      <c r="A40" s="46" t="s">
        <v>2004</v>
      </c>
      <c r="B40" s="46" t="s">
        <v>85</v>
      </c>
      <c r="C40" s="46" t="s">
        <v>64</v>
      </c>
      <c r="D40" s="46" t="s">
        <v>1013</v>
      </c>
      <c r="E40" s="46" t="s">
        <v>211</v>
      </c>
      <c r="F40" s="46" t="s">
        <v>213</v>
      </c>
      <c r="G40" s="46" t="s">
        <v>1911</v>
      </c>
      <c r="H40" s="46" t="s">
        <v>40</v>
      </c>
      <c r="I40" s="46" t="s">
        <v>980</v>
      </c>
      <c r="J40" s="53">
        <v>46164</v>
      </c>
      <c r="K40" s="46">
        <v>34</v>
      </c>
      <c r="L40" s="123">
        <v>5.1048458972070199</v>
      </c>
    </row>
    <row r="41" spans="1:12" x14ac:dyDescent="0.25">
      <c r="A41" s="46" t="s">
        <v>2004</v>
      </c>
      <c r="B41" s="46" t="s">
        <v>85</v>
      </c>
      <c r="C41" s="46" t="s">
        <v>906</v>
      </c>
      <c r="D41" s="46" t="s">
        <v>431</v>
      </c>
      <c r="E41" s="46" t="s">
        <v>211</v>
      </c>
      <c r="F41" s="46" t="s">
        <v>215</v>
      </c>
      <c r="G41" s="98" t="s">
        <v>2012</v>
      </c>
      <c r="H41" s="98" t="s">
        <v>20</v>
      </c>
      <c r="I41" s="98" t="s">
        <v>2096</v>
      </c>
      <c r="J41" s="53">
        <v>46173</v>
      </c>
      <c r="K41" s="46">
        <v>35</v>
      </c>
      <c r="L41" s="123">
        <v>5.0588902346064559</v>
      </c>
    </row>
    <row r="42" spans="1:12" x14ac:dyDescent="0.25">
      <c r="A42" s="46" t="s">
        <v>2004</v>
      </c>
      <c r="B42" s="46" t="s">
        <v>85</v>
      </c>
      <c r="C42" s="46" t="s">
        <v>906</v>
      </c>
      <c r="D42" s="98" t="s">
        <v>431</v>
      </c>
      <c r="E42" s="46" t="s">
        <v>211</v>
      </c>
      <c r="F42" s="46" t="s">
        <v>215</v>
      </c>
      <c r="G42" s="46" t="s">
        <v>2028</v>
      </c>
      <c r="H42" s="46" t="s">
        <v>20</v>
      </c>
      <c r="I42" s="46" t="s">
        <v>124</v>
      </c>
      <c r="J42" s="53">
        <v>46174</v>
      </c>
      <c r="K42" s="46">
        <v>36</v>
      </c>
      <c r="L42" s="123">
        <v>4.9604708200232688</v>
      </c>
    </row>
    <row r="43" spans="1:12" x14ac:dyDescent="0.25">
      <c r="A43" s="46" t="s">
        <v>2004</v>
      </c>
      <c r="B43" s="46" t="s">
        <v>85</v>
      </c>
      <c r="C43" s="46" t="s">
        <v>906</v>
      </c>
      <c r="D43" s="98" t="s">
        <v>434</v>
      </c>
      <c r="E43" s="46" t="s">
        <v>211</v>
      </c>
      <c r="F43" s="46" t="s">
        <v>213</v>
      </c>
      <c r="G43" s="46" t="s">
        <v>2022</v>
      </c>
      <c r="H43" s="46" t="s">
        <v>21</v>
      </c>
      <c r="I43" s="46" t="s">
        <v>2098</v>
      </c>
      <c r="J43" s="107">
        <v>46174</v>
      </c>
      <c r="K43" s="46">
        <v>37</v>
      </c>
      <c r="L43" s="123">
        <v>4.9499170371824022</v>
      </c>
    </row>
    <row r="44" spans="1:12" x14ac:dyDescent="0.25">
      <c r="A44" s="46" t="s">
        <v>2004</v>
      </c>
      <c r="B44" s="46" t="s">
        <v>85</v>
      </c>
      <c r="C44" s="46" t="s">
        <v>123</v>
      </c>
      <c r="D44" s="46" t="s">
        <v>434</v>
      </c>
      <c r="E44" s="46" t="s">
        <v>211</v>
      </c>
      <c r="F44" s="46" t="s">
        <v>213</v>
      </c>
      <c r="G44" s="46" t="s">
        <v>2063</v>
      </c>
      <c r="H44" s="46" t="s">
        <v>21</v>
      </c>
      <c r="I44" s="46" t="s">
        <v>420</v>
      </c>
      <c r="J44" s="53">
        <v>46177</v>
      </c>
      <c r="K44" s="46">
        <v>38</v>
      </c>
      <c r="L44" s="123">
        <v>4.9446146840621674</v>
      </c>
    </row>
    <row r="45" spans="1:12" x14ac:dyDescent="0.25">
      <c r="A45" s="46" t="s">
        <v>2004</v>
      </c>
      <c r="B45" s="46" t="s">
        <v>85</v>
      </c>
      <c r="C45" s="46" t="s">
        <v>123</v>
      </c>
      <c r="D45" s="46" t="s">
        <v>1013</v>
      </c>
      <c r="E45" s="46" t="s">
        <v>211</v>
      </c>
      <c r="F45" s="46" t="s">
        <v>213</v>
      </c>
      <c r="G45" s="46" t="s">
        <v>1862</v>
      </c>
      <c r="H45" s="46" t="s">
        <v>28</v>
      </c>
      <c r="I45" s="46" t="s">
        <v>28</v>
      </c>
      <c r="J45" s="53">
        <v>46157</v>
      </c>
      <c r="K45" s="46">
        <v>39</v>
      </c>
      <c r="L45" s="123">
        <v>4.9361259027116997</v>
      </c>
    </row>
    <row r="46" spans="1:12" x14ac:dyDescent="0.25">
      <c r="A46" s="46" t="s">
        <v>2004</v>
      </c>
      <c r="B46" s="46" t="s">
        <v>85</v>
      </c>
      <c r="C46" s="46" t="s">
        <v>906</v>
      </c>
      <c r="D46" s="46" t="s">
        <v>434</v>
      </c>
      <c r="E46" s="46" t="s">
        <v>211</v>
      </c>
      <c r="F46" s="46" t="s">
        <v>213</v>
      </c>
      <c r="G46" s="46" t="s">
        <v>2031</v>
      </c>
      <c r="H46" s="46" t="s">
        <v>21</v>
      </c>
      <c r="I46" s="46" t="s">
        <v>449</v>
      </c>
      <c r="J46" s="107">
        <v>46174</v>
      </c>
      <c r="K46" s="46">
        <v>40</v>
      </c>
      <c r="L46" s="123">
        <v>4.9300837944905593</v>
      </c>
    </row>
    <row r="47" spans="1:12" x14ac:dyDescent="0.25">
      <c r="A47" s="46" t="s">
        <v>2004</v>
      </c>
      <c r="B47" s="46" t="s">
        <v>85</v>
      </c>
      <c r="C47" s="46" t="s">
        <v>123</v>
      </c>
      <c r="D47" s="46" t="s">
        <v>431</v>
      </c>
      <c r="E47" s="46" t="s">
        <v>211</v>
      </c>
      <c r="F47" s="46" t="s">
        <v>215</v>
      </c>
      <c r="G47" s="53" t="s">
        <v>1881</v>
      </c>
      <c r="H47" s="46" t="s">
        <v>40</v>
      </c>
      <c r="I47" s="46" t="s">
        <v>97</v>
      </c>
      <c r="J47" s="53">
        <v>46143</v>
      </c>
      <c r="K47" s="46">
        <v>41</v>
      </c>
      <c r="L47" s="123">
        <v>4.8711287177470464</v>
      </c>
    </row>
    <row r="48" spans="1:12" x14ac:dyDescent="0.25">
      <c r="A48" s="46" t="s">
        <v>2004</v>
      </c>
      <c r="B48" s="46" t="s">
        <v>85</v>
      </c>
      <c r="C48" s="46" t="s">
        <v>123</v>
      </c>
      <c r="D48" s="46" t="s">
        <v>434</v>
      </c>
      <c r="E48" s="46" t="s">
        <v>211</v>
      </c>
      <c r="F48" s="46" t="s">
        <v>213</v>
      </c>
      <c r="G48" s="46" t="s">
        <v>2050</v>
      </c>
      <c r="H48" s="46" t="s">
        <v>2092</v>
      </c>
      <c r="I48" s="46" t="s">
        <v>52</v>
      </c>
      <c r="J48" s="53">
        <v>46176</v>
      </c>
      <c r="K48" s="46">
        <v>42</v>
      </c>
      <c r="L48" s="123">
        <v>4.8350416718262244</v>
      </c>
    </row>
    <row r="49" spans="1:12" x14ac:dyDescent="0.25">
      <c r="A49" s="46" t="s">
        <v>2004</v>
      </c>
      <c r="B49" s="46" t="s">
        <v>85</v>
      </c>
      <c r="C49" s="98" t="s">
        <v>906</v>
      </c>
      <c r="D49" s="98" t="s">
        <v>434</v>
      </c>
      <c r="E49" s="98" t="s">
        <v>211</v>
      </c>
      <c r="F49" s="46" t="s">
        <v>213</v>
      </c>
      <c r="G49" s="106" t="s">
        <v>1910</v>
      </c>
      <c r="H49" s="98" t="s">
        <v>40</v>
      </c>
      <c r="I49" s="98" t="s">
        <v>87</v>
      </c>
      <c r="J49" s="106">
        <v>46164</v>
      </c>
      <c r="K49" s="46">
        <v>43</v>
      </c>
      <c r="L49" s="123">
        <v>4.7707311710912101</v>
      </c>
    </row>
    <row r="50" spans="1:12" x14ac:dyDescent="0.25">
      <c r="A50" s="46" t="s">
        <v>2004</v>
      </c>
      <c r="B50" s="46" t="s">
        <v>85</v>
      </c>
      <c r="C50" s="46" t="s">
        <v>906</v>
      </c>
      <c r="D50" s="46" t="s">
        <v>431</v>
      </c>
      <c r="E50" s="46" t="s">
        <v>211</v>
      </c>
      <c r="F50" s="46" t="s">
        <v>215</v>
      </c>
      <c r="G50" s="53" t="s">
        <v>2014</v>
      </c>
      <c r="H50" s="46" t="s">
        <v>20</v>
      </c>
      <c r="I50" s="46" t="s">
        <v>1852</v>
      </c>
      <c r="J50" s="53">
        <v>46173</v>
      </c>
      <c r="K50" s="46">
        <v>44</v>
      </c>
      <c r="L50" s="123">
        <v>4.7471107760791744</v>
      </c>
    </row>
    <row r="51" spans="1:12" x14ac:dyDescent="0.25">
      <c r="A51" s="46" t="s">
        <v>2004</v>
      </c>
      <c r="B51" s="46" t="s">
        <v>85</v>
      </c>
      <c r="C51" s="46" t="s">
        <v>64</v>
      </c>
      <c r="D51" s="46" t="s">
        <v>434</v>
      </c>
      <c r="E51" s="46" t="s">
        <v>211</v>
      </c>
      <c r="F51" s="46" t="s">
        <v>213</v>
      </c>
      <c r="G51" s="46" t="s">
        <v>2052</v>
      </c>
      <c r="H51" s="46" t="s">
        <v>20</v>
      </c>
      <c r="I51" s="46" t="s">
        <v>168</v>
      </c>
      <c r="J51" s="53">
        <v>46176</v>
      </c>
      <c r="K51" s="46">
        <v>45</v>
      </c>
      <c r="L51" s="123">
        <v>4.6207120718110506</v>
      </c>
    </row>
    <row r="52" spans="1:12" x14ac:dyDescent="0.25">
      <c r="A52" s="46" t="s">
        <v>2004</v>
      </c>
      <c r="B52" s="46" t="s">
        <v>85</v>
      </c>
      <c r="C52" s="46" t="s">
        <v>123</v>
      </c>
      <c r="D52" s="46" t="s">
        <v>434</v>
      </c>
      <c r="E52" s="46" t="s">
        <v>211</v>
      </c>
      <c r="F52" s="46" t="s">
        <v>213</v>
      </c>
      <c r="G52" s="46" t="s">
        <v>2006</v>
      </c>
      <c r="H52" s="46" t="s">
        <v>21</v>
      </c>
      <c r="I52" s="46" t="s">
        <v>1256</v>
      </c>
      <c r="J52" s="53">
        <v>46172</v>
      </c>
      <c r="K52" s="46">
        <v>46</v>
      </c>
      <c r="L52" s="123">
        <v>4.5756132413814044</v>
      </c>
    </row>
    <row r="53" spans="1:12" x14ac:dyDescent="0.25">
      <c r="A53" s="46" t="s">
        <v>2004</v>
      </c>
      <c r="B53" s="46" t="s">
        <v>85</v>
      </c>
      <c r="C53" s="46" t="s">
        <v>64</v>
      </c>
      <c r="D53" s="46" t="s">
        <v>434</v>
      </c>
      <c r="E53" s="46" t="s">
        <v>211</v>
      </c>
      <c r="F53" s="46" t="s">
        <v>213</v>
      </c>
      <c r="G53" s="46" t="s">
        <v>2085</v>
      </c>
      <c r="H53" s="46" t="s">
        <v>22</v>
      </c>
      <c r="I53" s="46" t="s">
        <v>216</v>
      </c>
      <c r="J53" s="53">
        <v>46178</v>
      </c>
      <c r="K53" s="46">
        <v>47</v>
      </c>
      <c r="L53" s="123">
        <v>4.5725441162202998</v>
      </c>
    </row>
    <row r="54" spans="1:12" x14ac:dyDescent="0.25">
      <c r="A54" s="46" t="s">
        <v>2004</v>
      </c>
      <c r="B54" s="46" t="s">
        <v>85</v>
      </c>
      <c r="C54" s="46" t="s">
        <v>906</v>
      </c>
      <c r="D54" s="46" t="s">
        <v>431</v>
      </c>
      <c r="E54" s="46" t="s">
        <v>211</v>
      </c>
      <c r="F54" s="46" t="s">
        <v>215</v>
      </c>
      <c r="G54" s="46" t="s">
        <v>2010</v>
      </c>
      <c r="H54" s="46" t="s">
        <v>20</v>
      </c>
      <c r="I54" s="46" t="s">
        <v>1852</v>
      </c>
      <c r="J54" s="53">
        <v>46173</v>
      </c>
      <c r="K54" s="46">
        <v>48</v>
      </c>
      <c r="L54" s="123">
        <v>4.5633932140570836</v>
      </c>
    </row>
    <row r="55" spans="1:12" x14ac:dyDescent="0.25">
      <c r="A55" s="46" t="s">
        <v>2004</v>
      </c>
      <c r="B55" s="46" t="s">
        <v>85</v>
      </c>
      <c r="C55" s="46" t="s">
        <v>906</v>
      </c>
      <c r="D55" s="98" t="s">
        <v>431</v>
      </c>
      <c r="E55" s="46" t="s">
        <v>211</v>
      </c>
      <c r="F55" s="46" t="s">
        <v>215</v>
      </c>
      <c r="G55" s="46" t="s">
        <v>2033</v>
      </c>
      <c r="H55" s="46" t="s">
        <v>28</v>
      </c>
      <c r="I55" s="46" t="s">
        <v>1852</v>
      </c>
      <c r="J55" s="106">
        <v>46174</v>
      </c>
      <c r="K55" s="46">
        <v>49</v>
      </c>
      <c r="L55" s="123">
        <v>4.5589008112799405</v>
      </c>
    </row>
    <row r="56" spans="1:12" x14ac:dyDescent="0.25">
      <c r="A56" s="46" t="s">
        <v>2004</v>
      </c>
      <c r="B56" s="46" t="s">
        <v>85</v>
      </c>
      <c r="C56" s="98" t="s">
        <v>123</v>
      </c>
      <c r="D56" s="46" t="s">
        <v>431</v>
      </c>
      <c r="E56" s="98" t="s">
        <v>211</v>
      </c>
      <c r="F56" s="46" t="s">
        <v>215</v>
      </c>
      <c r="G56" s="98" t="s">
        <v>2025</v>
      </c>
      <c r="H56" s="98" t="s">
        <v>21</v>
      </c>
      <c r="I56" s="98" t="s">
        <v>935</v>
      </c>
      <c r="J56" s="106">
        <v>46174</v>
      </c>
      <c r="K56" s="46">
        <v>50</v>
      </c>
      <c r="L56" s="123">
        <v>4.5352330535209537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66"/>
    </row>
    <row r="59" spans="1:12" ht="15.75" thickBot="1" x14ac:dyDescent="0.3"/>
    <row r="60" spans="1:12" ht="15.75" thickBot="1" x14ac:dyDescent="0.3">
      <c r="C60" s="138" t="s">
        <v>878</v>
      </c>
      <c r="D60" s="139"/>
    </row>
    <row r="61" spans="1:12" ht="30" x14ac:dyDescent="0.25">
      <c r="A61" s="128" t="s">
        <v>385</v>
      </c>
      <c r="B61" s="47" t="s">
        <v>384</v>
      </c>
      <c r="C61" s="127" t="s">
        <v>1</v>
      </c>
      <c r="D61" s="57" t="s">
        <v>2</v>
      </c>
    </row>
    <row r="62" spans="1:12" x14ac:dyDescent="0.25">
      <c r="A62" s="54" t="s">
        <v>906</v>
      </c>
      <c r="B62" s="67">
        <v>399.48213316072554</v>
      </c>
      <c r="C62" s="69">
        <f>VLOOKUP(A:A,'Updated SES'!B:J,8,0)</f>
        <v>0.625</v>
      </c>
      <c r="D62" s="65">
        <f>VLOOKUP(A:A,'Updated SES'!B:J,9,0)</f>
        <v>0.375</v>
      </c>
      <c r="E62" s="118"/>
    </row>
    <row r="63" spans="1:12" x14ac:dyDescent="0.25">
      <c r="A63" s="54" t="s">
        <v>123</v>
      </c>
      <c r="B63" s="67">
        <v>208.4043373768599</v>
      </c>
      <c r="C63" s="69">
        <f>VLOOKUP(A:A,'Updated SES'!B:J,8,0)</f>
        <v>0.49</v>
      </c>
      <c r="D63" s="65">
        <f>VLOOKUP(A:A,'Updated SES'!B:J,9,0)</f>
        <v>0.51</v>
      </c>
    </row>
    <row r="64" spans="1:12" x14ac:dyDescent="0.25">
      <c r="A64" s="54" t="s">
        <v>64</v>
      </c>
      <c r="B64" s="67">
        <v>145.10851325564107</v>
      </c>
      <c r="C64" s="69">
        <f>VLOOKUP(A:A,'Updated SES'!B:J,8,0)</f>
        <v>0.52</v>
      </c>
      <c r="D64" s="65">
        <f>VLOOKUP(A:A,'Updated SES'!B:J,9,0)</f>
        <v>0.48</v>
      </c>
    </row>
    <row r="65" spans="1:4" x14ac:dyDescent="0.25">
      <c r="A65" s="54" t="s">
        <v>150</v>
      </c>
      <c r="B65" s="67">
        <v>55.160877076437735</v>
      </c>
      <c r="C65" s="69">
        <f>VLOOKUP(A:A,'Updated SES'!B:J,8,0)</f>
        <v>0.65</v>
      </c>
      <c r="D65" s="65">
        <f>VLOOKUP(A:A,'Updated SES'!B:J,9,0)</f>
        <v>0.35</v>
      </c>
    </row>
    <row r="66" spans="1:4" ht="15.75" thickBot="1" x14ac:dyDescent="0.3">
      <c r="A66" s="55" t="s">
        <v>879</v>
      </c>
      <c r="B66" s="68">
        <v>52.794338587328895</v>
      </c>
      <c r="C66" s="70">
        <f>VLOOKUP(A:A,'Updated SES'!B:J,8,0)</f>
        <v>0.8</v>
      </c>
      <c r="D66" s="71">
        <f>VLOOKUP(A:A,'Updated SES'!B:J,9,0)</f>
        <v>0.2</v>
      </c>
    </row>
  </sheetData>
  <autoFilter ref="A6:L56" xr:uid="{B07D9D77-D343-4F54-B586-23FE787EB415}"/>
  <mergeCells count="1">
    <mergeCell ref="C60:D60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U261"/>
  <sheetViews>
    <sheetView showGridLines="0" topLeftCell="E228" zoomScale="80" zoomScaleNormal="80" workbookViewId="0">
      <selection activeCell="A4" sqref="A4:T261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27.42578125" style="8" customWidth="1"/>
    <col min="9" max="9" width="17.42578125" customWidth="1"/>
    <col min="10" max="10" width="12.42578125" customWidth="1"/>
    <col min="11" max="11" width="15.28515625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9.5703125" style="8" customWidth="1"/>
    <col min="19" max="19" width="6.5703125" style="8" hidden="1" customWidth="1"/>
  </cols>
  <sheetData>
    <row r="1" spans="1:21" x14ac:dyDescent="0.25">
      <c r="G1" s="72" t="s">
        <v>2108</v>
      </c>
    </row>
    <row r="3" spans="1:21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40" t="s">
        <v>222</v>
      </c>
      <c r="N3" s="140"/>
      <c r="O3" s="117"/>
      <c r="P3" s="117"/>
      <c r="Q3" s="117"/>
      <c r="R3" s="117"/>
      <c r="S3" s="117"/>
      <c r="T3" s="117"/>
    </row>
    <row r="4" spans="1:21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437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  <c r="T4" s="105" t="s">
        <v>2106</v>
      </c>
    </row>
    <row r="5" spans="1:21" x14ac:dyDescent="0.25">
      <c r="A5" s="98" t="s">
        <v>1781</v>
      </c>
      <c r="B5" s="98" t="s">
        <v>85</v>
      </c>
      <c r="C5" s="46" t="s">
        <v>906</v>
      </c>
      <c r="D5" s="46" t="s">
        <v>437</v>
      </c>
      <c r="E5" s="119" t="s">
        <v>211</v>
      </c>
      <c r="F5" s="46" t="s">
        <v>451</v>
      </c>
      <c r="G5" s="98" t="s">
        <v>1783</v>
      </c>
      <c r="H5" s="46" t="s">
        <v>19</v>
      </c>
      <c r="I5" s="129">
        <v>46109</v>
      </c>
      <c r="J5" s="46"/>
      <c r="K5" s="46" t="s">
        <v>451</v>
      </c>
      <c r="L5" s="123">
        <f>VLOOKUP($C5&amp;$E5,'Updated SES'!A:N,14,0)</f>
        <v>127.11702000000001</v>
      </c>
      <c r="M5" s="124">
        <f>VLOOKUP($K5,'Genre Penetration'!A:B,2,0)*VLOOKUP($C5&amp;$E5,'Updated SES'!A:I,9,0)</f>
        <v>0.50249999999999995</v>
      </c>
      <c r="N5" s="124">
        <f>VLOOKUP(K:K,'Genre Penetration'!A:C,3,0)*VLOOKUP($C5&amp;$E5,'Updated SES'!A:J,10,0)</f>
        <v>8.249999999999999E-2</v>
      </c>
      <c r="O5" s="124">
        <f>VLOOKUP($B5,'Language Penetration'!$B$1:$BE$14,MATCH('Compile data Working'!$H211,'Language Penetration'!$B$1:$BE$1,0),0)</f>
        <v>0.6</v>
      </c>
      <c r="P5" s="124" t="str">
        <f ca="1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23">
        <f ca="1">IFERROR(L5*(M5+N5)*O5*P5,RANDBETWEEN(1,2)%*L5*(M5+N5)*O5)</f>
        <v>0.89236148040000007</v>
      </c>
      <c r="R5" s="125">
        <f>VLOOKUP(D:D,ranking!W:X,2,0)</f>
        <v>0.1</v>
      </c>
      <c r="S5" s="126">
        <f ca="1">R5*Q5</f>
        <v>8.9236148040000018E-2</v>
      </c>
      <c r="T5" s="123">
        <v>156.53994563534934</v>
      </c>
    </row>
    <row r="6" spans="1:21" x14ac:dyDescent="0.25">
      <c r="A6" s="98" t="s">
        <v>2005</v>
      </c>
      <c r="B6" s="98" t="s">
        <v>85</v>
      </c>
      <c r="C6" s="46" t="s">
        <v>906</v>
      </c>
      <c r="D6" s="98" t="s">
        <v>434</v>
      </c>
      <c r="E6" s="46" t="s">
        <v>211</v>
      </c>
      <c r="F6" s="46" t="s">
        <v>213</v>
      </c>
      <c r="G6" s="46" t="s">
        <v>2054</v>
      </c>
      <c r="H6" s="46" t="s">
        <v>246</v>
      </c>
      <c r="I6" s="53">
        <v>46177</v>
      </c>
      <c r="J6" s="98">
        <v>1</v>
      </c>
      <c r="K6" s="46" t="s">
        <v>90</v>
      </c>
      <c r="L6" s="123">
        <f>VLOOKUP($C6&amp;$E6,'Updated SES'!A:N,14,0)</f>
        <v>127.11702000000001</v>
      </c>
      <c r="M6" s="124">
        <f>VLOOKUP($K6,'Genre Penetration'!A:B,2,0)*VLOOKUP($C6&amp;$E6,'Updated SES'!A:I,9,0)</f>
        <v>0.48239999999999994</v>
      </c>
      <c r="N6" s="124">
        <f>VLOOKUP(K:K,'Genre Penetration'!A:C,3,0)*VLOOKUP($C6&amp;$E6,'Updated SES'!A:J,10,0)</f>
        <v>9.2399999999999996E-2</v>
      </c>
      <c r="O6" s="124" t="e">
        <f>VLOOKUP($B6,'Language Penetration'!$B$1:$BE$14,MATCH('Compile data Working'!#REF!,'Language Penetration'!$B$1:$BE$1,0),0)</f>
        <v>#REF!</v>
      </c>
      <c r="P6" s="124" t="str">
        <f ca="1">IF(ISBLANK(J6),RANDBETWEEN(1,2)&amp;"%",IF(J6=1,RANDBETWEEN(35,40)&amp;"%",IF(J6=2,RANDBETWEEN(30,35)&amp;"%",IF(J6=3,RANDBETWEEN(25,30)&amp;"%",IF(J6=4,RANDBETWEEN(20,25)&amp;"%",IF(J6=5,RANDBETWEEN(15,20)&amp;"%",IF(J6=6,RANDBETWEEN(10,15)&amp;"%",IF(J6=7,RANDBETWEEN(8,10)&amp;"%",IF(J6=8,RANDBETWEEN(6,8)&amp;"%",IF(J6=9,RANDBETWEEN(4,6)&amp;"%",IF(J6=10,RANDBETWEEN(2,4)&amp;"%","")))))))))))</f>
        <v>38%</v>
      </c>
      <c r="Q6" s="123" t="e">
        <f ca="1">IFERROR(L6*(M6+N6)*O6*P6,RANDBETWEEN(1,2)%*L6*(M6+N6)*O6)</f>
        <v>#REF!</v>
      </c>
      <c r="R6" s="125">
        <f>VLOOKUP(D:D,ranking!W:X,2,0)</f>
        <v>0.7</v>
      </c>
      <c r="S6" s="126" t="e">
        <f ca="1">R6*Q6</f>
        <v>#REF!</v>
      </c>
      <c r="T6" s="123">
        <v>71.667873964290237</v>
      </c>
    </row>
    <row r="7" spans="1:21" x14ac:dyDescent="0.25">
      <c r="A7" s="98" t="s">
        <v>2005</v>
      </c>
      <c r="B7" s="98" t="s">
        <v>85</v>
      </c>
      <c r="C7" s="46" t="s">
        <v>879</v>
      </c>
      <c r="D7" s="46" t="s">
        <v>1854</v>
      </c>
      <c r="E7" s="46" t="s">
        <v>219</v>
      </c>
      <c r="F7" s="46" t="s">
        <v>215</v>
      </c>
      <c r="G7" s="46" t="s">
        <v>2048</v>
      </c>
      <c r="H7" s="46" t="s">
        <v>19</v>
      </c>
      <c r="I7" s="53">
        <v>46176</v>
      </c>
      <c r="J7" s="98">
        <v>1</v>
      </c>
      <c r="K7" s="46" t="s">
        <v>216</v>
      </c>
      <c r="L7" s="123">
        <f>VLOOKUP($C7&amp;$E7,'Updated SES'!A:N,14,0)</f>
        <v>78.939870000000013</v>
      </c>
      <c r="M7" s="124">
        <f>VLOOKUP($K7,'Genre Penetration'!A:B,2,0)*VLOOKUP($C7&amp;$E7,'Updated SES'!A:I,9,0)</f>
        <v>0.4</v>
      </c>
      <c r="N7" s="124">
        <f>VLOOKUP(K:K,'Genre Penetration'!A:C,3,0)*VLOOKUP($C7&amp;$E7,'Updated SES'!A:J,10,0)</f>
        <v>0.1</v>
      </c>
      <c r="O7" s="124" t="e">
        <f>VLOOKUP($B7,'Language Penetration'!$B$1:$BE$14,MATCH('Compile data Working'!#REF!,'Language Penetration'!$B$1:$BE$1,0),0)</f>
        <v>#REF!</v>
      </c>
      <c r="P7" s="124" t="str">
        <f ca="1">IF(ISBLANK(J7),RANDBETWEEN(1,2)&amp;"%",IF(J7=1,RANDBETWEEN(35,40)&amp;"%",IF(J7=2,RANDBETWEEN(30,35)&amp;"%",IF(J7=3,RANDBETWEEN(25,30)&amp;"%",IF(J7=4,RANDBETWEEN(20,25)&amp;"%",IF(J7=5,RANDBETWEEN(15,20)&amp;"%",IF(J7=6,RANDBETWEEN(10,15)&amp;"%",IF(J7=7,RANDBETWEEN(8,10)&amp;"%",IF(J7=8,RANDBETWEEN(6,8)&amp;"%",IF(J7=9,RANDBETWEEN(4,6)&amp;"%",IF(J7=10,RANDBETWEEN(2,4)&amp;"%","")))))))))))</f>
        <v>40%</v>
      </c>
      <c r="Q7" s="123" t="e">
        <f ca="1">IFERROR(L7*(M7+N7)*O7*P7,RANDBETWEEN(1,2)%*L7*(M7+N7)*O7)</f>
        <v>#REF!</v>
      </c>
      <c r="R7" s="125">
        <f>VLOOKUP(D:D,ranking!W:X,2,0)</f>
        <v>0.6</v>
      </c>
      <c r="S7" s="126" t="e">
        <f ca="1">R7*Q7</f>
        <v>#REF!</v>
      </c>
      <c r="T7" s="123">
        <v>16.322047647902512</v>
      </c>
    </row>
    <row r="8" spans="1:21" x14ac:dyDescent="0.25">
      <c r="A8" s="98" t="s">
        <v>2005</v>
      </c>
      <c r="B8" s="98" t="s">
        <v>85</v>
      </c>
      <c r="C8" s="98" t="s">
        <v>123</v>
      </c>
      <c r="D8" s="98" t="s">
        <v>1013</v>
      </c>
      <c r="E8" s="46" t="s">
        <v>211</v>
      </c>
      <c r="F8" s="46" t="s">
        <v>213</v>
      </c>
      <c r="G8" s="53" t="s">
        <v>2058</v>
      </c>
      <c r="H8" s="46" t="s">
        <v>28</v>
      </c>
      <c r="I8" s="53">
        <v>46177</v>
      </c>
      <c r="J8" s="98">
        <v>1</v>
      </c>
      <c r="K8" s="46" t="s">
        <v>130</v>
      </c>
      <c r="L8" s="123">
        <f>VLOOKUP($C8&amp;$E8,'Updated SES'!A:N,14,0)</f>
        <v>55.459200000000003</v>
      </c>
      <c r="M8" s="124">
        <f>VLOOKUP($K8,'Genre Penetration'!A:B,2,0)*VLOOKUP($C8&amp;$E8,'Updated SES'!A:I,9,0)</f>
        <v>0.27440000000000003</v>
      </c>
      <c r="N8" s="124">
        <f>VLOOKUP(K:K,'Genre Penetration'!A:C,3,0)*VLOOKUP($C8&amp;$E8,'Updated SES'!A:J,10,0)</f>
        <v>0.22440000000000002</v>
      </c>
      <c r="O8" s="124">
        <f>VLOOKUP($B8,'Language Penetration'!$B$1:$BE$14,MATCH('Compile data Working'!$H234,'Language Penetration'!$B$1:$BE$1,0),0)</f>
        <v>7.0000000000000007E-2</v>
      </c>
      <c r="P8" s="124" t="str">
        <f ca="1">IF(ISBLANK(J8),RANDBETWEEN(1,2)&amp;"%",IF(J8=1,RANDBETWEEN(35,40)&amp;"%",IF(J8=2,RANDBETWEEN(30,35)&amp;"%",IF(J8=3,RANDBETWEEN(25,30)&amp;"%",IF(J8=4,RANDBETWEEN(20,25)&amp;"%",IF(J8=5,RANDBETWEEN(15,20)&amp;"%",IF(J8=6,RANDBETWEEN(10,15)&amp;"%",IF(J8=7,RANDBETWEEN(8,10)&amp;"%",IF(J8=8,RANDBETWEEN(6,8)&amp;"%",IF(J8=9,RANDBETWEEN(4,6)&amp;"%",IF(J8=10,RANDBETWEEN(2,4)&amp;"%","")))))))))))</f>
        <v>37%</v>
      </c>
      <c r="Q8" s="123">
        <f ca="1">IFERROR(L8*(M8+N8)*O8*P8,RANDBETWEEN(1,2)%*L8*(M8+N8)*O8)</f>
        <v>0.71647296806400007</v>
      </c>
      <c r="R8" s="125">
        <f>VLOOKUP(D:D,ranking!W:X,2,0)</f>
        <v>0.8</v>
      </c>
      <c r="S8" s="126">
        <f ca="1">R8*Q8</f>
        <v>0.57317837445120012</v>
      </c>
      <c r="T8" s="123">
        <v>14.589112619441105</v>
      </c>
    </row>
    <row r="9" spans="1:21" x14ac:dyDescent="0.25">
      <c r="A9" s="98" t="s">
        <v>1057</v>
      </c>
      <c r="B9" s="98" t="s">
        <v>85</v>
      </c>
      <c r="C9" s="98" t="s">
        <v>64</v>
      </c>
      <c r="D9" s="98" t="s">
        <v>431</v>
      </c>
      <c r="E9" s="98" t="s">
        <v>211</v>
      </c>
      <c r="F9" s="46" t="s">
        <v>215</v>
      </c>
      <c r="G9" s="119" t="s">
        <v>1875</v>
      </c>
      <c r="H9" s="119" t="s">
        <v>1891</v>
      </c>
      <c r="I9" s="121">
        <v>46131</v>
      </c>
      <c r="J9" s="119">
        <v>3</v>
      </c>
      <c r="K9" s="119" t="s">
        <v>1892</v>
      </c>
      <c r="L9" s="123">
        <f>VLOOKUP($C9&amp;$E9,'Updated SES'!A:N,14,0)</f>
        <v>36.498239999999996</v>
      </c>
      <c r="M9" s="124" t="e">
        <f>VLOOKUP($K9,'Genre Penetration'!A:B,2,0)*VLOOKUP($C9&amp;$E9,'Updated SES'!A:I,9,0)</f>
        <v>#N/A</v>
      </c>
      <c r="N9" s="124" t="e">
        <f>VLOOKUP(K:K,'Genre Penetration'!A:C,3,0)*VLOOKUP($C9&amp;$E9,'Updated SES'!A:J,10,0)</f>
        <v>#N/A</v>
      </c>
      <c r="O9" s="124">
        <f>VLOOKUP($B9,'Language Penetration'!$B$1:$BE$14,MATCH('Compile data Working'!$H107,'Language Penetration'!$B$1:$BE$1,0),0)</f>
        <v>0.2</v>
      </c>
      <c r="P9" s="124" t="str">
        <f ca="1">IF(ISBLANK(J9),RANDBETWEEN(1,2)&amp;"%",IF(J9=1,RANDBETWEEN(35,40)&amp;"%",IF(J9=2,RANDBETWEEN(30,35)&amp;"%",IF(J9=3,RANDBETWEEN(25,30)&amp;"%",IF(J9=4,RANDBETWEEN(20,25)&amp;"%",IF(J9=5,RANDBETWEEN(15,20)&amp;"%",IF(J9=6,RANDBETWEEN(10,15)&amp;"%",IF(J9=7,RANDBETWEEN(8,10)&amp;"%",IF(J9=8,RANDBETWEEN(6,8)&amp;"%",IF(J9=9,RANDBETWEEN(4,6)&amp;"%",IF(J9=10,RANDBETWEEN(2,4)&amp;"%","")))))))))))</f>
        <v>27%</v>
      </c>
      <c r="Q9" s="123" t="e">
        <f ca="1">IFERROR(L9*(M9+N9)*O9*P9,RANDBETWEEN(1,2)%*L9*(M9+N9)*O9)</f>
        <v>#N/A</v>
      </c>
      <c r="R9" s="125">
        <f>VLOOKUP(D:D,ranking!W:X,2,0)</f>
        <v>0.6</v>
      </c>
      <c r="S9" s="126" t="e">
        <f ca="1">R9*Q9</f>
        <v>#N/A</v>
      </c>
      <c r="T9" s="123">
        <v>12.4764748295341</v>
      </c>
    </row>
    <row r="10" spans="1:21" x14ac:dyDescent="0.25">
      <c r="A10" s="98" t="s">
        <v>1057</v>
      </c>
      <c r="B10" s="98" t="s">
        <v>85</v>
      </c>
      <c r="C10" s="46" t="s">
        <v>123</v>
      </c>
      <c r="D10" s="46" t="s">
        <v>431</v>
      </c>
      <c r="E10" s="46" t="s">
        <v>211</v>
      </c>
      <c r="F10" s="46" t="s">
        <v>215</v>
      </c>
      <c r="G10" s="46" t="s">
        <v>1858</v>
      </c>
      <c r="H10" s="46" t="s">
        <v>28</v>
      </c>
      <c r="I10" s="53">
        <v>46157</v>
      </c>
      <c r="J10" s="119">
        <v>4</v>
      </c>
      <c r="K10" s="46" t="s">
        <v>202</v>
      </c>
      <c r="L10" s="123">
        <f>VLOOKUP($C10&amp;$E10,'Updated SES'!A:N,14,0)</f>
        <v>55.459200000000003</v>
      </c>
      <c r="M10" s="124">
        <f>VLOOKUP($K10,'Genre Penetration'!A:B,2,0)*VLOOKUP($C10&amp;$E10,'Updated SES'!A:I,9,0)</f>
        <v>0.3528</v>
      </c>
      <c r="N10" s="124">
        <f>VLOOKUP(K:K,'Genre Penetration'!A:C,3,0)*VLOOKUP($C10&amp;$E10,'Updated SES'!A:J,10,0)</f>
        <v>0.14280000000000001</v>
      </c>
      <c r="O10" s="124">
        <f>VLOOKUP($B10,'Language Penetration'!$B$1:$BE$14,MATCH('Compile data Working'!$H13,'Language Penetration'!$B$1:$BE$1,0),0)</f>
        <v>0.6</v>
      </c>
      <c r="P10" s="124" t="str">
        <f ca="1">IF(ISBLANK(J10),RANDBETWEEN(1,2)&amp;"%",IF(J10=1,RANDBETWEEN(35,40)&amp;"%",IF(J10=2,RANDBETWEEN(30,35)&amp;"%",IF(J10=3,RANDBETWEEN(25,30)&amp;"%",IF(J10=4,RANDBETWEEN(20,25)&amp;"%",IF(J10=5,RANDBETWEEN(15,20)&amp;"%",IF(J10=6,RANDBETWEEN(10,15)&amp;"%",IF(J10=7,RANDBETWEEN(8,10)&amp;"%",IF(J10=8,RANDBETWEEN(6,8)&amp;"%",IF(J10=9,RANDBETWEEN(4,6)&amp;"%",IF(J10=10,RANDBETWEEN(2,4)&amp;"%","")))))))))))</f>
        <v>20%</v>
      </c>
      <c r="Q10" s="123">
        <f ca="1">IFERROR(L10*(M10+N10)*O10*P10,RANDBETWEEN(1,2)%*L10*(M10+N10)*O10)</f>
        <v>3.2982695424000008</v>
      </c>
      <c r="R10" s="125">
        <f>VLOOKUP(D:D,ranking!W:X,2,0)</f>
        <v>0.6</v>
      </c>
      <c r="S10" s="126">
        <f ca="1">R10*Q10</f>
        <v>1.9789617254400005</v>
      </c>
      <c r="T10" s="123">
        <v>10.281036733287699</v>
      </c>
    </row>
    <row r="11" spans="1:21" x14ac:dyDescent="0.25">
      <c r="A11" s="98" t="s">
        <v>2005</v>
      </c>
      <c r="B11" s="98" t="s">
        <v>85</v>
      </c>
      <c r="C11" s="98" t="s">
        <v>132</v>
      </c>
      <c r="D11" s="98" t="s">
        <v>1012</v>
      </c>
      <c r="E11" s="46" t="s">
        <v>211</v>
      </c>
      <c r="F11" s="46" t="s">
        <v>215</v>
      </c>
      <c r="G11" s="53" t="s">
        <v>2073</v>
      </c>
      <c r="H11" s="46" t="s">
        <v>19</v>
      </c>
      <c r="I11" s="53">
        <v>46178</v>
      </c>
      <c r="J11" s="98">
        <v>5</v>
      </c>
      <c r="K11" s="46" t="s">
        <v>138</v>
      </c>
      <c r="L11" s="123">
        <f>VLOOKUP($C11&amp;$E11,'Updated SES'!A:N,14,0)</f>
        <v>21.682040000000004</v>
      </c>
      <c r="M11" s="124">
        <f>VLOOKUP($K11,'Genre Penetration'!A:B,2,0)*VLOOKUP($C11&amp;$E11,'Updated SES'!A:I,9,0)</f>
        <v>0.30549999999999999</v>
      </c>
      <c r="N11" s="124">
        <f>VLOOKUP(K:K,'Genre Penetration'!A:C,3,0)*VLOOKUP($C11&amp;$E11,'Updated SES'!A:J,10,0)</f>
        <v>0.1855</v>
      </c>
      <c r="O11" s="124" t="e">
        <f>VLOOKUP($B11,'Language Penetration'!$B$1:$BE$14,MATCH('Compile data Working'!$H70,'Language Penetration'!$B$1:$BE$1,0),0)</f>
        <v>#N/A</v>
      </c>
      <c r="P11" s="124" t="str">
        <f ca="1">IF(ISBLANK(J11),RANDBETWEEN(1,2)&amp;"%",IF(J11=1,RANDBETWEEN(35,40)&amp;"%",IF(J11=2,RANDBETWEEN(30,35)&amp;"%",IF(J11=3,RANDBETWEEN(25,30)&amp;"%",IF(J11=4,RANDBETWEEN(20,25)&amp;"%",IF(J11=5,RANDBETWEEN(15,20)&amp;"%",IF(J11=6,RANDBETWEEN(10,15)&amp;"%",IF(J11=7,RANDBETWEEN(8,10)&amp;"%",IF(J11=8,RANDBETWEEN(6,8)&amp;"%",IF(J11=9,RANDBETWEEN(4,6)&amp;"%",IF(J11=10,RANDBETWEEN(2,4)&amp;"%","")))))))))))</f>
        <v>17%</v>
      </c>
      <c r="Q11" s="123" t="e">
        <f ca="1">IFERROR(L11*(M11+N11)*O11*P11,RANDBETWEEN(1,2)%*L11*(M11+N11)*O11)</f>
        <v>#N/A</v>
      </c>
      <c r="R11" s="125">
        <f>VLOOKUP(D:D,ranking!W:X,2,0)</f>
        <v>0.6</v>
      </c>
      <c r="S11" s="126" t="e">
        <f ca="1">R11*Q11</f>
        <v>#N/A</v>
      </c>
      <c r="T11" s="123">
        <v>10.206504615472001</v>
      </c>
    </row>
    <row r="12" spans="1:21" x14ac:dyDescent="0.25">
      <c r="A12" s="98" t="s">
        <v>1057</v>
      </c>
      <c r="B12" s="98" t="s">
        <v>85</v>
      </c>
      <c r="C12" s="98" t="s">
        <v>64</v>
      </c>
      <c r="D12" s="98" t="s">
        <v>431</v>
      </c>
      <c r="E12" s="98" t="s">
        <v>211</v>
      </c>
      <c r="F12" s="46" t="s">
        <v>215</v>
      </c>
      <c r="G12" s="120" t="s">
        <v>1857</v>
      </c>
      <c r="H12" s="119" t="s">
        <v>1432</v>
      </c>
      <c r="I12" s="106">
        <v>46155</v>
      </c>
      <c r="J12" s="119">
        <v>2</v>
      </c>
      <c r="K12" s="98" t="s">
        <v>172</v>
      </c>
      <c r="L12" s="123">
        <f>VLOOKUP($C12&amp;$E12,'Updated SES'!A:N,14,0)</f>
        <v>36.498239999999996</v>
      </c>
      <c r="M12" s="124">
        <f>VLOOKUP($K12,'Genre Penetration'!A:B,2,0)*VLOOKUP($C12&amp;$E12,'Updated SES'!A:I,9,0)</f>
        <v>0.20800000000000002</v>
      </c>
      <c r="N12" s="124">
        <f>VLOOKUP(K:K,'Genre Penetration'!A:C,3,0)*VLOOKUP($C12&amp;$E12,'Updated SES'!A:J,10,0)</f>
        <v>0.28799999999999998</v>
      </c>
      <c r="O12" s="124">
        <f>VLOOKUP($B12,'Language Penetration'!$B$1:$BE$14,MATCH('Compile data Working'!$H209,'Language Penetration'!$B$1:$BE$1,0),0)</f>
        <v>0.2</v>
      </c>
      <c r="P12" s="124" t="str">
        <f ca="1">IF(ISBLANK(J12),RANDBETWEEN(1,2)&amp;"%",IF(J12=1,RANDBETWEEN(35,40)&amp;"%",IF(J12=2,RANDBETWEEN(30,35)&amp;"%",IF(J12=3,RANDBETWEEN(25,30)&amp;"%",IF(J12=4,RANDBETWEEN(20,25)&amp;"%",IF(J12=5,RANDBETWEEN(15,20)&amp;"%",IF(J12=6,RANDBETWEEN(10,15)&amp;"%",IF(J12=7,RANDBETWEEN(8,10)&amp;"%",IF(J12=8,RANDBETWEEN(6,8)&amp;"%",IF(J12=9,RANDBETWEEN(4,6)&amp;"%",IF(J12=10,RANDBETWEEN(2,4)&amp;"%","")))))))))))</f>
        <v>30%</v>
      </c>
      <c r="Q12" s="123">
        <f ca="1">IFERROR(L12*(M12+N12)*O12*P12,RANDBETWEEN(1,2)%*L12*(M12+N12)*O12)</f>
        <v>1.0861876223999998</v>
      </c>
      <c r="R12" s="125">
        <f>VLOOKUP(D:D,ranking!W:X,2,0)</f>
        <v>0.6</v>
      </c>
      <c r="S12" s="126">
        <f ca="1">R12*Q12</f>
        <v>0.65171257343999989</v>
      </c>
      <c r="T12" s="123">
        <v>9.8921343219268998</v>
      </c>
    </row>
    <row r="13" spans="1:21" x14ac:dyDescent="0.25">
      <c r="A13" s="98" t="s">
        <v>1057</v>
      </c>
      <c r="B13" s="98" t="s">
        <v>85</v>
      </c>
      <c r="C13" s="46" t="s">
        <v>1229</v>
      </c>
      <c r="D13" s="46" t="s">
        <v>433</v>
      </c>
      <c r="E13" s="46" t="s">
        <v>219</v>
      </c>
      <c r="F13" s="46" t="s">
        <v>215</v>
      </c>
      <c r="G13" s="46" t="s">
        <v>1912</v>
      </c>
      <c r="H13" s="46" t="s">
        <v>19</v>
      </c>
      <c r="I13" s="53">
        <v>46157</v>
      </c>
      <c r="J13" s="119">
        <v>2</v>
      </c>
      <c r="K13" s="46" t="s">
        <v>176</v>
      </c>
      <c r="L13" s="123">
        <f>VLOOKUP($C13&amp;$E13,'Updated SES'!A:N,14,0)</f>
        <v>78.939870000000013</v>
      </c>
      <c r="M13" s="124">
        <f>VLOOKUP($K13,'Genre Penetration'!A:B,2,0)*VLOOKUP($C13&amp;$E13,'Updated SES'!A:I,9,0)</f>
        <v>0.496</v>
      </c>
      <c r="N13" s="124">
        <f>VLOOKUP(K:K,'Genre Penetration'!A:C,3,0)*VLOOKUP($C13&amp;$E13,'Updated SES'!A:J,10,0)</f>
        <v>7.6000000000000012E-2</v>
      </c>
      <c r="O13" s="124">
        <f>VLOOKUP($B13,'Language Penetration'!$B$1:$BE$14,MATCH('Compile data Working'!$H130,'Language Penetration'!$B$1:$BE$1,0),0)</f>
        <v>0.1</v>
      </c>
      <c r="P13" s="124" t="str">
        <f ca="1">IF(ISBLANK(J13),RANDBETWEEN(1,2)&amp;"%",IF(J13=1,RANDBETWEEN(35,40)&amp;"%",IF(J13=2,RANDBETWEEN(30,35)&amp;"%",IF(J13=3,RANDBETWEEN(25,30)&amp;"%",IF(J13=4,RANDBETWEEN(20,25)&amp;"%",IF(J13=5,RANDBETWEEN(15,20)&amp;"%",IF(J13=6,RANDBETWEEN(10,15)&amp;"%",IF(J13=7,RANDBETWEEN(8,10)&amp;"%",IF(J13=8,RANDBETWEEN(6,8)&amp;"%",IF(J13=9,RANDBETWEEN(4,6)&amp;"%",IF(J13=10,RANDBETWEEN(2,4)&amp;"%","")))))))))))</f>
        <v>35%</v>
      </c>
      <c r="Q13" s="123">
        <f ca="1">IFERROR(L13*(M13+N13)*O13*P13,RANDBETWEEN(1,2)%*L13*(M13+N13)*O13)</f>
        <v>1.5803761974000001</v>
      </c>
      <c r="R13" s="125">
        <f>VLOOKUP(D:D,ranking!W:X,2,0)</f>
        <v>0.6</v>
      </c>
      <c r="S13" s="126">
        <f ca="1">R13*Q13</f>
        <v>0.94822571844000003</v>
      </c>
      <c r="T13" s="123">
        <v>9.1091011524507994</v>
      </c>
    </row>
    <row r="14" spans="1:21" x14ac:dyDescent="0.25">
      <c r="A14" s="98" t="s">
        <v>1057</v>
      </c>
      <c r="B14" s="98" t="s">
        <v>85</v>
      </c>
      <c r="C14" s="46" t="s">
        <v>123</v>
      </c>
      <c r="D14" s="98" t="s">
        <v>434</v>
      </c>
      <c r="E14" s="46" t="s">
        <v>211</v>
      </c>
      <c r="F14" s="46" t="s">
        <v>213</v>
      </c>
      <c r="G14" s="53" t="s">
        <v>1995</v>
      </c>
      <c r="H14" s="46" t="s">
        <v>246</v>
      </c>
      <c r="I14" s="53">
        <v>46170</v>
      </c>
      <c r="J14" s="119">
        <v>3</v>
      </c>
      <c r="K14" s="46" t="s">
        <v>90</v>
      </c>
      <c r="L14" s="123">
        <f>VLOOKUP($C14&amp;$E14,'Updated SES'!A:N,14,0)</f>
        <v>55.459200000000003</v>
      </c>
      <c r="M14" s="124">
        <f>VLOOKUP($K14,'Genre Penetration'!A:B,2,0)*VLOOKUP($C14&amp;$E14,'Updated SES'!A:I,9,0)</f>
        <v>0.3528</v>
      </c>
      <c r="N14" s="124">
        <f>VLOOKUP(K:K,'Genre Penetration'!A:C,3,0)*VLOOKUP($C14&amp;$E14,'Updated SES'!A:J,10,0)</f>
        <v>0.14280000000000001</v>
      </c>
      <c r="O14" s="124" t="e">
        <f>VLOOKUP($B14,'Language Penetration'!$B$1:$BE$14,MATCH('Compile data Working'!$H32,'Language Penetration'!$B$1:$BE$1,0),0)</f>
        <v>#N/A</v>
      </c>
      <c r="P14" s="124" t="str">
        <f ca="1">IF(ISBLANK(J14),RANDBETWEEN(1,2)&amp;"%",IF(J14=1,RANDBETWEEN(35,40)&amp;"%",IF(J14=2,RANDBETWEEN(30,35)&amp;"%",IF(J14=3,RANDBETWEEN(25,30)&amp;"%",IF(J14=4,RANDBETWEEN(20,25)&amp;"%",IF(J14=5,RANDBETWEEN(15,20)&amp;"%",IF(J14=6,RANDBETWEEN(10,15)&amp;"%",IF(J14=7,RANDBETWEEN(8,10)&amp;"%",IF(J14=8,RANDBETWEEN(6,8)&amp;"%",IF(J14=9,RANDBETWEEN(4,6)&amp;"%",IF(J14=10,RANDBETWEEN(2,4)&amp;"%","")))))))))))</f>
        <v>25%</v>
      </c>
      <c r="Q14" s="123" t="e">
        <f ca="1">IFERROR(L14*(M14+N14)*O14*P14,RANDBETWEEN(1,2)%*L14*(M14+N14)*O14)</f>
        <v>#N/A</v>
      </c>
      <c r="R14" s="125">
        <f>VLOOKUP(D:D,ranking!W:X,2,0)</f>
        <v>0.7</v>
      </c>
      <c r="S14" s="126" t="e">
        <f ca="1">R14*Q14</f>
        <v>#N/A</v>
      </c>
      <c r="T14" s="123">
        <v>9.0712980577928608</v>
      </c>
    </row>
    <row r="15" spans="1:21" x14ac:dyDescent="0.25">
      <c r="A15" s="98" t="s">
        <v>1057</v>
      </c>
      <c r="B15" s="98" t="s">
        <v>85</v>
      </c>
      <c r="C15" s="98" t="s">
        <v>64</v>
      </c>
      <c r="D15" s="98" t="s">
        <v>431</v>
      </c>
      <c r="E15" s="98" t="s">
        <v>211</v>
      </c>
      <c r="F15" s="46" t="s">
        <v>215</v>
      </c>
      <c r="G15" s="120" t="s">
        <v>1994</v>
      </c>
      <c r="H15" s="119" t="s">
        <v>1432</v>
      </c>
      <c r="I15" s="106">
        <v>46169</v>
      </c>
      <c r="J15" s="119">
        <v>4</v>
      </c>
      <c r="K15" s="46" t="s">
        <v>2001</v>
      </c>
      <c r="L15" s="123">
        <f>VLOOKUP($C15&amp;$E15,'Updated SES'!A:N,14,0)</f>
        <v>36.498239999999996</v>
      </c>
      <c r="M15" s="124" t="e">
        <f>VLOOKUP($K15,'Genre Penetration'!A:B,2,0)*VLOOKUP($C15&amp;$E15,'Updated SES'!A:I,9,0)</f>
        <v>#N/A</v>
      </c>
      <c r="N15" s="124" t="e">
        <f>VLOOKUP(K:K,'Genre Penetration'!A:C,3,0)*VLOOKUP($C15&amp;$E15,'Updated SES'!A:J,10,0)</f>
        <v>#N/A</v>
      </c>
      <c r="O15" s="124" t="e">
        <f>VLOOKUP($B15,'Language Penetration'!$B$1:$BE$14,MATCH('Compile data Working'!$H239,'Language Penetration'!$B$1:$BE$1,0),0)</f>
        <v>#N/A</v>
      </c>
      <c r="P15" s="124" t="str">
        <f ca="1">IF(ISBLANK(J15),RANDBETWEEN(1,2)&amp;"%",IF(J15=1,RANDBETWEEN(35,40)&amp;"%",IF(J15=2,RANDBETWEEN(30,35)&amp;"%",IF(J15=3,RANDBETWEEN(25,30)&amp;"%",IF(J15=4,RANDBETWEEN(20,25)&amp;"%",IF(J15=5,RANDBETWEEN(15,20)&amp;"%",IF(J15=6,RANDBETWEEN(10,15)&amp;"%",IF(J15=7,RANDBETWEEN(8,10)&amp;"%",IF(J15=8,RANDBETWEEN(6,8)&amp;"%",IF(J15=9,RANDBETWEEN(4,6)&amp;"%",IF(J15=10,RANDBETWEEN(2,4)&amp;"%","")))))))))))</f>
        <v>21%</v>
      </c>
      <c r="Q15" s="123" t="e">
        <f ca="1">IFERROR(L15*(M15+N15)*O15*P15,RANDBETWEEN(1,2)%*L15*(M15+N15)*O15)</f>
        <v>#N/A</v>
      </c>
      <c r="R15" s="125">
        <f>VLOOKUP(D:D,ranking!W:X,2,0)</f>
        <v>0.6</v>
      </c>
      <c r="S15" s="126" t="e">
        <f ca="1">R15*Q15</f>
        <v>#N/A</v>
      </c>
      <c r="T15" s="123">
        <v>8.2396161335584992</v>
      </c>
    </row>
    <row r="16" spans="1:21" x14ac:dyDescent="0.25">
      <c r="A16" s="98" t="s">
        <v>2005</v>
      </c>
      <c r="B16" s="98" t="s">
        <v>85</v>
      </c>
      <c r="C16" s="98" t="s">
        <v>123</v>
      </c>
      <c r="D16" s="119" t="s">
        <v>1012</v>
      </c>
      <c r="E16" s="46" t="s">
        <v>211</v>
      </c>
      <c r="F16" s="46" t="s">
        <v>215</v>
      </c>
      <c r="G16" s="53" t="s">
        <v>2060</v>
      </c>
      <c r="H16" s="46" t="s">
        <v>20</v>
      </c>
      <c r="I16" s="53">
        <v>46177</v>
      </c>
      <c r="J16" s="98"/>
      <c r="K16" s="46" t="s">
        <v>138</v>
      </c>
      <c r="L16" s="123">
        <f>VLOOKUP($C16&amp;$E16,'Updated SES'!A:N,14,0)</f>
        <v>55.459200000000003</v>
      </c>
      <c r="M16" s="124">
        <f>VLOOKUP($K16,'Genre Penetration'!A:B,2,0)*VLOOKUP($C16&amp;$E16,'Updated SES'!A:I,9,0)</f>
        <v>0.23029999999999998</v>
      </c>
      <c r="N16" s="124">
        <f>VLOOKUP(K:K,'Genre Penetration'!A:C,3,0)*VLOOKUP($C16&amp;$E16,'Updated SES'!A:J,10,0)</f>
        <v>0.27030000000000004</v>
      </c>
      <c r="O16" s="124">
        <f>VLOOKUP($B16,'Language Penetration'!$B$1:$BE$14,MATCH('Compile data Working'!$H61,'Language Penetration'!$B$1:$BE$1,0),0)</f>
        <v>0.2</v>
      </c>
      <c r="P16" s="124" t="str">
        <f ca="1">IF(ISBLANK(J16),RANDBETWEEN(1,2)&amp;"%",IF(J16=1,RANDBETWEEN(35,40)&amp;"%",IF(J16=2,RANDBETWEEN(30,35)&amp;"%",IF(J16=3,RANDBETWEEN(25,30)&amp;"%",IF(J16=4,RANDBETWEEN(20,25)&amp;"%",IF(J16=5,RANDBETWEEN(15,20)&amp;"%",IF(J16=6,RANDBETWEEN(10,15)&amp;"%",IF(J16=7,RANDBETWEEN(8,10)&amp;"%",IF(J16=8,RANDBETWEEN(6,8)&amp;"%",IF(J16=9,RANDBETWEEN(4,6)&amp;"%",IF(J16=10,RANDBETWEEN(2,4)&amp;"%","")))))))))))</f>
        <v>1%</v>
      </c>
      <c r="Q16" s="123">
        <f ca="1">IFERROR(L16*(M16+N16)*O16*P16,RANDBETWEEN(1,2)%*L16*(M16+N16)*O16)</f>
        <v>5.5525751040000015E-2</v>
      </c>
      <c r="R16" s="125">
        <f>VLOOKUP(D:D,ranking!W:X,2,0)</f>
        <v>0.6</v>
      </c>
      <c r="S16" s="126">
        <f ca="1">R16*Q16</f>
        <v>3.3315450624000008E-2</v>
      </c>
      <c r="T16" s="123">
        <v>8.0166771756125499</v>
      </c>
      <c r="U16">
        <v>8.0166771756125499</v>
      </c>
    </row>
    <row r="17" spans="1:21" x14ac:dyDescent="0.25">
      <c r="A17" s="98" t="s">
        <v>2005</v>
      </c>
      <c r="B17" s="98" t="s">
        <v>85</v>
      </c>
      <c r="C17" s="46" t="s">
        <v>123</v>
      </c>
      <c r="D17" s="98" t="s">
        <v>434</v>
      </c>
      <c r="E17" s="46" t="s">
        <v>211</v>
      </c>
      <c r="F17" s="46" t="s">
        <v>213</v>
      </c>
      <c r="G17" s="46" t="s">
        <v>2056</v>
      </c>
      <c r="H17" s="46" t="s">
        <v>28</v>
      </c>
      <c r="I17" s="53">
        <v>46177</v>
      </c>
      <c r="J17" s="98">
        <v>6</v>
      </c>
      <c r="K17" s="46" t="s">
        <v>381</v>
      </c>
      <c r="L17" s="123">
        <f>VLOOKUP($C17&amp;$E17,'Updated SES'!A:N,14,0)</f>
        <v>55.459200000000003</v>
      </c>
      <c r="M17" s="124">
        <f>VLOOKUP($K17,'Genre Penetration'!A:B,2,0)*VLOOKUP($C17&amp;$E17,'Updated SES'!A:I,9,0)</f>
        <v>0.26950000000000002</v>
      </c>
      <c r="N17" s="124">
        <f>VLOOKUP(K:K,'Genre Penetration'!A:C,3,0)*VLOOKUP($C17&amp;$E17,'Updated SES'!A:J,10,0)</f>
        <v>0.22950000000000001</v>
      </c>
      <c r="O17" s="124">
        <f>VLOOKUP($B17,'Language Penetration'!$B$1:$BE$14,MATCH('Compile data Working'!$H238,'Language Penetration'!$B$1:$BE$1,0),0)</f>
        <v>0.6</v>
      </c>
      <c r="P17" s="124" t="str">
        <f ca="1">IF(ISBLANK(J17),RANDBETWEEN(1,2)&amp;"%",IF(J17=1,RANDBETWEEN(35,40)&amp;"%",IF(J17=2,RANDBETWEEN(30,35)&amp;"%",IF(J17=3,RANDBETWEEN(25,30)&amp;"%",IF(J17=4,RANDBETWEEN(20,25)&amp;"%",IF(J17=5,RANDBETWEEN(15,20)&amp;"%",IF(J17=6,RANDBETWEEN(10,15)&amp;"%",IF(J17=7,RANDBETWEEN(8,10)&amp;"%",IF(J17=8,RANDBETWEEN(6,8)&amp;"%",IF(J17=9,RANDBETWEEN(4,6)&amp;"%",IF(J17=10,RANDBETWEEN(2,4)&amp;"%","")))))))))))</f>
        <v>11%</v>
      </c>
      <c r="Q17" s="123">
        <f ca="1">IFERROR(L17*(M17+N17)*O17*P17,RANDBETWEEN(1,2)%*L17*(M17+N17)*O17)</f>
        <v>1.8264932927999999</v>
      </c>
      <c r="R17" s="125">
        <f>VLOOKUP(D:D,ranking!W:X,2,0)</f>
        <v>0.7</v>
      </c>
      <c r="S17" s="126">
        <f ca="1">R17*Q17</f>
        <v>1.27854530496</v>
      </c>
      <c r="T17" s="123">
        <v>7.8451880617636052</v>
      </c>
      <c r="U17">
        <v>7.8451880617636052</v>
      </c>
    </row>
    <row r="18" spans="1:21" x14ac:dyDescent="0.25">
      <c r="A18" s="98" t="s">
        <v>2005</v>
      </c>
      <c r="B18" s="98" t="s">
        <v>85</v>
      </c>
      <c r="C18" s="46" t="s">
        <v>123</v>
      </c>
      <c r="D18" s="98" t="s">
        <v>434</v>
      </c>
      <c r="E18" s="46" t="s">
        <v>211</v>
      </c>
      <c r="F18" s="46" t="s">
        <v>213</v>
      </c>
      <c r="G18" s="46" t="s">
        <v>2066</v>
      </c>
      <c r="H18" s="46" t="s">
        <v>20</v>
      </c>
      <c r="I18" s="53">
        <v>46177</v>
      </c>
      <c r="J18" s="98"/>
      <c r="K18" s="46" t="s">
        <v>154</v>
      </c>
      <c r="L18" s="123">
        <f>VLOOKUP($C18&amp;$E18,'Updated SES'!A:N,14,0)</f>
        <v>55.459200000000003</v>
      </c>
      <c r="M18" s="124">
        <f>VLOOKUP($K18,'Genre Penetration'!A:B,2,0)*VLOOKUP($C18&amp;$E18,'Updated SES'!A:I,9,0)</f>
        <v>0.14699999999999999</v>
      </c>
      <c r="N18" s="124">
        <f>VLOOKUP(K:K,'Genre Penetration'!A:C,3,0)*VLOOKUP($C18&amp;$E18,'Updated SES'!A:J,10,0)</f>
        <v>0.35699999999999998</v>
      </c>
      <c r="O18" s="124" t="e">
        <f>VLOOKUP($B18,'Language Penetration'!$B$1:$BE$14,MATCH('Compile data Working'!#REF!,'Language Penetration'!$B$1:$BE$1,0),0)</f>
        <v>#REF!</v>
      </c>
      <c r="P18" s="124" t="str">
        <f ca="1">IF(ISBLANK(J18),RANDBETWEEN(1,2)&amp;"%",IF(J18=1,RANDBETWEEN(35,40)&amp;"%",IF(J18=2,RANDBETWEEN(30,35)&amp;"%",IF(J18=3,RANDBETWEEN(25,30)&amp;"%",IF(J18=4,RANDBETWEEN(20,25)&amp;"%",IF(J18=5,RANDBETWEEN(15,20)&amp;"%",IF(J18=6,RANDBETWEEN(10,15)&amp;"%",IF(J18=7,RANDBETWEEN(8,10)&amp;"%",IF(J18=8,RANDBETWEEN(6,8)&amp;"%",IF(J18=9,RANDBETWEEN(4,6)&amp;"%",IF(J18=10,RANDBETWEEN(2,4)&amp;"%","")))))))))))</f>
        <v>1%</v>
      </c>
      <c r="Q18" s="123" t="e">
        <f ca="1">IFERROR(L18*(M18+N18)*O18*P18,RANDBETWEEN(1,2)%*L18*(M18+N18)*O18)</f>
        <v>#REF!</v>
      </c>
      <c r="R18" s="125">
        <f>VLOOKUP(D:D,ranking!W:X,2,0)</f>
        <v>0.7</v>
      </c>
      <c r="S18" s="126" t="e">
        <f ca="1">R18*Q18</f>
        <v>#REF!</v>
      </c>
      <c r="T18" s="123">
        <v>7.8100538102343489</v>
      </c>
      <c r="U18">
        <v>7.8100538102343489</v>
      </c>
    </row>
    <row r="19" spans="1:21" x14ac:dyDescent="0.25">
      <c r="A19" s="98" t="s">
        <v>2005</v>
      </c>
      <c r="B19" s="98" t="s">
        <v>85</v>
      </c>
      <c r="C19" s="46" t="s">
        <v>123</v>
      </c>
      <c r="D19" s="46" t="s">
        <v>1012</v>
      </c>
      <c r="E19" s="46" t="s">
        <v>211</v>
      </c>
      <c r="F19" s="46" t="s">
        <v>215</v>
      </c>
      <c r="G19" s="46" t="s">
        <v>2064</v>
      </c>
      <c r="H19" s="46" t="s">
        <v>21</v>
      </c>
      <c r="I19" s="53">
        <v>46177</v>
      </c>
      <c r="J19" s="98">
        <v>5</v>
      </c>
      <c r="K19" s="46" t="s">
        <v>170</v>
      </c>
      <c r="L19" s="123">
        <f>VLOOKUP($C19&amp;$E19,'Updated SES'!A:N,14,0)</f>
        <v>55.459200000000003</v>
      </c>
      <c r="M19" s="124">
        <f>VLOOKUP($K19,'Genre Penetration'!A:B,2,0)*VLOOKUP($C19&amp;$E19,'Updated SES'!A:I,9,0)</f>
        <v>0.28419999999999995</v>
      </c>
      <c r="N19" s="124">
        <f>VLOOKUP(K:K,'Genre Penetration'!A:C,3,0)*VLOOKUP($C19&amp;$E19,'Updated SES'!A:J,10,0)</f>
        <v>0.2142</v>
      </c>
      <c r="O19" s="124" t="e">
        <f>VLOOKUP($B19,'Language Penetration'!$B$1:$BE$14,MATCH('Compile data Working'!#REF!,'Language Penetration'!$B$1:$BE$1,0),0)</f>
        <v>#REF!</v>
      </c>
      <c r="P19" s="124" t="str">
        <f ca="1">IF(ISBLANK(J19),RANDBETWEEN(1,2)&amp;"%",IF(J19=1,RANDBETWEEN(35,40)&amp;"%",IF(J19=2,RANDBETWEEN(30,35)&amp;"%",IF(J19=3,RANDBETWEEN(25,30)&amp;"%",IF(J19=4,RANDBETWEEN(20,25)&amp;"%",IF(J19=5,RANDBETWEEN(15,20)&amp;"%",IF(J19=6,RANDBETWEEN(10,15)&amp;"%",IF(J19=7,RANDBETWEEN(8,10)&amp;"%",IF(J19=8,RANDBETWEEN(6,8)&amp;"%",IF(J19=9,RANDBETWEEN(4,6)&amp;"%",IF(J19=10,RANDBETWEEN(2,4)&amp;"%","")))))))))))</f>
        <v>15%</v>
      </c>
      <c r="Q19" s="123" t="e">
        <f ca="1">IFERROR(L19*(M19+N19)*O19*P19,RANDBETWEEN(1,2)%*L19*(M19+N19)*O19)</f>
        <v>#REF!</v>
      </c>
      <c r="R19" s="125">
        <f>VLOOKUP(D:D,ranking!W:X,2,0)</f>
        <v>0.6</v>
      </c>
      <c r="S19" s="126" t="e">
        <f ca="1">R19*Q19</f>
        <v>#REF!</v>
      </c>
      <c r="T19" s="123">
        <v>7.5097593542393097</v>
      </c>
      <c r="U19">
        <v>7.5097593542393097</v>
      </c>
    </row>
    <row r="20" spans="1:21" x14ac:dyDescent="0.25">
      <c r="A20" s="98" t="s">
        <v>2005</v>
      </c>
      <c r="B20" s="98" t="s">
        <v>85</v>
      </c>
      <c r="C20" s="46" t="s">
        <v>123</v>
      </c>
      <c r="D20" s="98" t="s">
        <v>434</v>
      </c>
      <c r="E20" s="46" t="s">
        <v>211</v>
      </c>
      <c r="F20" s="46" t="s">
        <v>213</v>
      </c>
      <c r="G20" s="46" t="s">
        <v>2055</v>
      </c>
      <c r="H20" s="46" t="s">
        <v>28</v>
      </c>
      <c r="I20" s="53">
        <v>46177</v>
      </c>
      <c r="J20" s="98">
        <v>8</v>
      </c>
      <c r="K20" s="46" t="s">
        <v>381</v>
      </c>
      <c r="L20" s="123">
        <f>VLOOKUP($C20&amp;$E20,'Updated SES'!A:N,14,0)</f>
        <v>55.459200000000003</v>
      </c>
      <c r="M20" s="124">
        <f>VLOOKUP($K20,'Genre Penetration'!A:B,2,0)*VLOOKUP($C20&amp;$E20,'Updated SES'!A:I,9,0)</f>
        <v>0.26950000000000002</v>
      </c>
      <c r="N20" s="124">
        <f>VLOOKUP(K:K,'Genre Penetration'!A:C,3,0)*VLOOKUP($C20&amp;$E20,'Updated SES'!A:J,10,0)</f>
        <v>0.22950000000000001</v>
      </c>
      <c r="O20" s="124">
        <f>VLOOKUP($B20,'Language Penetration'!$B$1:$BE$14,MATCH('Compile data Working'!$H89,'Language Penetration'!$B$1:$BE$1,0),0)</f>
        <v>0.2</v>
      </c>
      <c r="P20" s="124" t="str">
        <f ca="1">IF(ISBLANK(J20),RANDBETWEEN(1,2)&amp;"%",IF(J20=1,RANDBETWEEN(35,40)&amp;"%",IF(J20=2,RANDBETWEEN(30,35)&amp;"%",IF(J20=3,RANDBETWEEN(25,30)&amp;"%",IF(J20=4,RANDBETWEEN(20,25)&amp;"%",IF(J20=5,RANDBETWEEN(15,20)&amp;"%",IF(J20=6,RANDBETWEEN(10,15)&amp;"%",IF(J20=7,RANDBETWEEN(8,10)&amp;"%",IF(J20=8,RANDBETWEEN(6,8)&amp;"%",IF(J20=9,RANDBETWEEN(4,6)&amp;"%",IF(J20=10,RANDBETWEEN(2,4)&amp;"%","")))))))))))</f>
        <v>7%</v>
      </c>
      <c r="Q20" s="123">
        <f ca="1">IFERROR(L20*(M20+N20)*O20*P20,RANDBETWEEN(1,2)%*L20*(M20+N20)*O20)</f>
        <v>0.38743797120000006</v>
      </c>
      <c r="R20" s="125">
        <f>VLOOKUP(D:D,ranking!W:X,2,0)</f>
        <v>0.7</v>
      </c>
      <c r="S20" s="126">
        <f ca="1">R20*Q20</f>
        <v>0.27120657984000002</v>
      </c>
      <c r="T20" s="123">
        <v>7.3313933369660624</v>
      </c>
      <c r="U20">
        <v>7.3313933369660624</v>
      </c>
    </row>
    <row r="21" spans="1:21" x14ac:dyDescent="0.25">
      <c r="A21" s="98" t="s">
        <v>1057</v>
      </c>
      <c r="B21" s="98" t="s">
        <v>85</v>
      </c>
      <c r="C21" s="98" t="s">
        <v>150</v>
      </c>
      <c r="D21" s="98" t="s">
        <v>431</v>
      </c>
      <c r="E21" s="98" t="s">
        <v>211</v>
      </c>
      <c r="F21" s="46" t="s">
        <v>215</v>
      </c>
      <c r="G21" s="98" t="s">
        <v>2003</v>
      </c>
      <c r="H21" s="98" t="s">
        <v>19</v>
      </c>
      <c r="I21" s="106">
        <v>46164</v>
      </c>
      <c r="J21" s="119">
        <v>3</v>
      </c>
      <c r="K21" s="98" t="s">
        <v>84</v>
      </c>
      <c r="L21" s="123">
        <f>VLOOKUP($C21&amp;$E21,'Updated SES'!A:N,14,0)</f>
        <v>60.152000000000001</v>
      </c>
      <c r="M21" s="124">
        <f>VLOOKUP($K21,'Genre Penetration'!A:B,2,0)*VLOOKUP($C21&amp;$E21,'Updated SES'!A:I,9,0)</f>
        <v>0.41600000000000004</v>
      </c>
      <c r="N21" s="124">
        <f>VLOOKUP(K:K,'Genre Penetration'!A:C,3,0)*VLOOKUP($C21&amp;$E21,'Updated SES'!A:J,10,0)</f>
        <v>0.126</v>
      </c>
      <c r="O21" s="124" t="e">
        <f>VLOOKUP($B21,'Language Penetration'!$B$1:$BE$14,MATCH('Compile data Working'!#REF!,'Language Penetration'!$B$1:$BE$1,0),0)</f>
        <v>#REF!</v>
      </c>
      <c r="P21" s="124" t="str">
        <f ca="1">IF(ISBLANK(J21),RANDBETWEEN(1,2)&amp;"%",IF(J21=1,RANDBETWEEN(35,40)&amp;"%",IF(J21=2,RANDBETWEEN(30,35)&amp;"%",IF(J21=3,RANDBETWEEN(25,30)&amp;"%",IF(J21=4,RANDBETWEEN(20,25)&amp;"%",IF(J21=5,RANDBETWEEN(15,20)&amp;"%",IF(J21=6,RANDBETWEEN(10,15)&amp;"%",IF(J21=7,RANDBETWEEN(8,10)&amp;"%",IF(J21=8,RANDBETWEEN(6,8)&amp;"%",IF(J21=9,RANDBETWEEN(4,6)&amp;"%",IF(J21=10,RANDBETWEEN(2,4)&amp;"%","")))))))))))</f>
        <v>29%</v>
      </c>
      <c r="Q21" s="123" t="e">
        <f ca="1">IFERROR(L21*(M21+N21)*O21*P21,RANDBETWEEN(1,2)%*L21*(M21+N21)*O21)</f>
        <v>#REF!</v>
      </c>
      <c r="R21" s="125">
        <f>VLOOKUP(D:D,ranking!W:X,2,0)</f>
        <v>0.6</v>
      </c>
      <c r="S21" s="126" t="e">
        <f ca="1">R21*Q21</f>
        <v>#REF!</v>
      </c>
      <c r="T21" s="123">
        <v>6.9029549990137804</v>
      </c>
    </row>
    <row r="22" spans="1:21" x14ac:dyDescent="0.25">
      <c r="A22" s="98" t="s">
        <v>1057</v>
      </c>
      <c r="B22" s="98" t="s">
        <v>85</v>
      </c>
      <c r="C22" s="46" t="s">
        <v>123</v>
      </c>
      <c r="D22" s="46" t="s">
        <v>431</v>
      </c>
      <c r="E22" s="46" t="s">
        <v>211</v>
      </c>
      <c r="F22" s="46" t="s">
        <v>215</v>
      </c>
      <c r="G22" s="46" t="s">
        <v>1993</v>
      </c>
      <c r="H22" s="46" t="s">
        <v>21</v>
      </c>
      <c r="I22" s="53">
        <v>46169</v>
      </c>
      <c r="J22" s="119">
        <v>8</v>
      </c>
      <c r="K22" s="46" t="s">
        <v>202</v>
      </c>
      <c r="L22" s="123">
        <f>VLOOKUP($C22&amp;$E22,'Updated SES'!A:N,14,0)</f>
        <v>55.459200000000003</v>
      </c>
      <c r="M22" s="124">
        <f>VLOOKUP($K22,'Genre Penetration'!A:B,2,0)*VLOOKUP($C22&amp;$E22,'Updated SES'!A:I,9,0)</f>
        <v>0.3528</v>
      </c>
      <c r="N22" s="124">
        <f>VLOOKUP(K:K,'Genre Penetration'!A:C,3,0)*VLOOKUP($C22&amp;$E22,'Updated SES'!A:J,10,0)</f>
        <v>0.14280000000000001</v>
      </c>
      <c r="O22" s="124">
        <f>VLOOKUP($B22,'Language Penetration'!$B$1:$BE$14,MATCH('Compile data Working'!$H48,'Language Penetration'!$B$1:$BE$1,0),0)</f>
        <v>0.2</v>
      </c>
      <c r="P22" s="124" t="str">
        <f ca="1">IF(ISBLANK(J22),RANDBETWEEN(1,2)&amp;"%",IF(J22=1,RANDBETWEEN(35,40)&amp;"%",IF(J22=2,RANDBETWEEN(30,35)&amp;"%",IF(J22=3,RANDBETWEEN(25,30)&amp;"%",IF(J22=4,RANDBETWEEN(20,25)&amp;"%",IF(J22=5,RANDBETWEEN(15,20)&amp;"%",IF(J22=6,RANDBETWEEN(10,15)&amp;"%",IF(J22=7,RANDBETWEEN(8,10)&amp;"%",IF(J22=8,RANDBETWEEN(6,8)&amp;"%",IF(J22=9,RANDBETWEEN(4,6)&amp;"%",IF(J22=10,RANDBETWEEN(2,4)&amp;"%","")))))))))))</f>
        <v>7%</v>
      </c>
      <c r="Q22" s="123">
        <f ca="1">IFERROR(L22*(M22+N22)*O22*P22,RANDBETWEEN(1,2)%*L22*(M22+N22)*O22)</f>
        <v>0.38479811328000013</v>
      </c>
      <c r="R22" s="125">
        <f>VLOOKUP(D:D,ranking!W:X,2,0)</f>
        <v>0.6</v>
      </c>
      <c r="S22" s="126">
        <f ca="1">R22*Q22</f>
        <v>0.23087886796800006</v>
      </c>
      <c r="T22" s="123">
        <v>6.8231421821292555</v>
      </c>
    </row>
    <row r="23" spans="1:21" x14ac:dyDescent="0.25">
      <c r="A23" s="98" t="s">
        <v>2005</v>
      </c>
      <c r="B23" s="98" t="s">
        <v>85</v>
      </c>
      <c r="C23" s="98" t="s">
        <v>64</v>
      </c>
      <c r="D23" s="98" t="s">
        <v>1012</v>
      </c>
      <c r="E23" s="46" t="s">
        <v>211</v>
      </c>
      <c r="F23" s="46" t="s">
        <v>215</v>
      </c>
      <c r="G23" s="46" t="s">
        <v>2087</v>
      </c>
      <c r="H23" s="46" t="s">
        <v>19</v>
      </c>
      <c r="I23" s="53">
        <v>46178</v>
      </c>
      <c r="J23" s="98">
        <v>1</v>
      </c>
      <c r="K23" s="46" t="s">
        <v>138</v>
      </c>
      <c r="L23" s="123">
        <f>VLOOKUP($C23&amp;$E23,'Updated SES'!A:N,14,0)</f>
        <v>36.498239999999996</v>
      </c>
      <c r="M23" s="124">
        <f>VLOOKUP($K23,'Genre Penetration'!A:B,2,0)*VLOOKUP($C23&amp;$E23,'Updated SES'!A:I,9,0)</f>
        <v>0.24440000000000001</v>
      </c>
      <c r="N23" s="124">
        <f>VLOOKUP(K:K,'Genre Penetration'!A:C,3,0)*VLOOKUP($C23&amp;$E23,'Updated SES'!A:J,10,0)</f>
        <v>0.25440000000000002</v>
      </c>
      <c r="O23" s="124">
        <f>VLOOKUP($B23,'Language Penetration'!$B$1:$BE$14,MATCH('Compile data Working'!$H35,'Language Penetration'!$B$1:$BE$1,0),0)</f>
        <v>0.2</v>
      </c>
      <c r="P23" s="124" t="str">
        <f ca="1">IF(ISBLANK(J23),RANDBETWEEN(1,2)&amp;"%",IF(J23=1,RANDBETWEEN(35,40)&amp;"%",IF(J23=2,RANDBETWEEN(30,35)&amp;"%",IF(J23=3,RANDBETWEEN(25,30)&amp;"%",IF(J23=4,RANDBETWEEN(20,25)&amp;"%",IF(J23=5,RANDBETWEEN(15,20)&amp;"%",IF(J23=6,RANDBETWEEN(10,15)&amp;"%",IF(J23=7,RANDBETWEEN(8,10)&amp;"%",IF(J23=8,RANDBETWEEN(6,8)&amp;"%",IF(J23=9,RANDBETWEEN(4,6)&amp;"%",IF(J23=10,RANDBETWEEN(2,4)&amp;"%","")))))))))))</f>
        <v>39%</v>
      </c>
      <c r="Q23" s="123">
        <f ca="1">IFERROR(L23*(M23+N23)*O23*P23,RANDBETWEEN(1,2)%*L23*(M23+N23)*O23)</f>
        <v>1.4200151247359998</v>
      </c>
      <c r="R23" s="125">
        <f>VLOOKUP(D:D,ranking!W:X,2,0)</f>
        <v>0.6</v>
      </c>
      <c r="S23" s="126">
        <f ca="1">R23*Q23</f>
        <v>0.85200907484159982</v>
      </c>
      <c r="T23" s="123">
        <v>6.6029499615376812</v>
      </c>
      <c r="U23">
        <v>6.6029499615376812</v>
      </c>
    </row>
    <row r="24" spans="1:21" x14ac:dyDescent="0.25">
      <c r="A24" s="98" t="s">
        <v>2005</v>
      </c>
      <c r="B24" s="98" t="s">
        <v>85</v>
      </c>
      <c r="C24" s="98" t="s">
        <v>64</v>
      </c>
      <c r="D24" s="98" t="s">
        <v>434</v>
      </c>
      <c r="E24" s="46" t="s">
        <v>211</v>
      </c>
      <c r="F24" s="46" t="s">
        <v>213</v>
      </c>
      <c r="G24" s="46" t="s">
        <v>2089</v>
      </c>
      <c r="H24" s="46" t="s">
        <v>40</v>
      </c>
      <c r="I24" s="53">
        <v>46178</v>
      </c>
      <c r="J24" s="98">
        <v>3</v>
      </c>
      <c r="K24" s="46" t="s">
        <v>173</v>
      </c>
      <c r="L24" s="123">
        <f>VLOOKUP($C24&amp;$E24,'Updated SES'!A:N,14,0)</f>
        <v>36.498239999999996</v>
      </c>
      <c r="M24" s="124">
        <f>VLOOKUP($K24,'Genre Penetration'!A:B,2,0)*VLOOKUP($C24&amp;$E24,'Updated SES'!A:I,9,0)</f>
        <v>0.28600000000000003</v>
      </c>
      <c r="N24" s="124">
        <f>VLOOKUP(K:K,'Genre Penetration'!A:C,3,0)*VLOOKUP($C24&amp;$E24,'Updated SES'!A:J,10,0)</f>
        <v>0.216</v>
      </c>
      <c r="O24" s="124" t="e">
        <f>VLOOKUP($B24,'Language Penetration'!$B$1:$BE$14,MATCH('Compile data Working'!$H45,'Language Penetration'!$B$1:$BE$1,0),0)</f>
        <v>#N/A</v>
      </c>
      <c r="P24" s="124" t="str">
        <f ca="1">IF(ISBLANK(J24),RANDBETWEEN(1,2)&amp;"%",IF(J24=1,RANDBETWEEN(35,40)&amp;"%",IF(J24=2,RANDBETWEEN(30,35)&amp;"%",IF(J24=3,RANDBETWEEN(25,30)&amp;"%",IF(J24=4,RANDBETWEEN(20,25)&amp;"%",IF(J24=5,RANDBETWEEN(15,20)&amp;"%",IF(J24=6,RANDBETWEEN(10,15)&amp;"%",IF(J24=7,RANDBETWEEN(8,10)&amp;"%",IF(J24=8,RANDBETWEEN(6,8)&amp;"%",IF(J24=9,RANDBETWEEN(4,6)&amp;"%",IF(J24=10,RANDBETWEEN(2,4)&amp;"%","")))))))))))</f>
        <v>27%</v>
      </c>
      <c r="Q24" s="123" t="e">
        <f ca="1">IFERROR(L24*(M24+N24)*O24*P24,RANDBETWEEN(1,2)%*L24*(M24+N24)*O24)</f>
        <v>#N/A</v>
      </c>
      <c r="R24" s="125">
        <f>VLOOKUP(D:D,ranking!W:X,2,0)</f>
        <v>0.7</v>
      </c>
      <c r="S24" s="126" t="e">
        <f ca="1">R24*Q24</f>
        <v>#N/A</v>
      </c>
      <c r="T24" s="123">
        <v>6.559756968219264</v>
      </c>
      <c r="U24">
        <v>6.559756968219264</v>
      </c>
    </row>
    <row r="25" spans="1:21" x14ac:dyDescent="0.25">
      <c r="A25" s="98" t="s">
        <v>2005</v>
      </c>
      <c r="B25" s="98" t="s">
        <v>85</v>
      </c>
      <c r="C25" s="98" t="s">
        <v>114</v>
      </c>
      <c r="D25" s="98" t="s">
        <v>1012</v>
      </c>
      <c r="E25" s="46" t="s">
        <v>211</v>
      </c>
      <c r="F25" s="46" t="s">
        <v>215</v>
      </c>
      <c r="G25" s="46" t="s">
        <v>2082</v>
      </c>
      <c r="H25" s="46" t="s">
        <v>20</v>
      </c>
      <c r="I25" s="53">
        <v>46178</v>
      </c>
      <c r="J25" s="98"/>
      <c r="K25" s="46" t="s">
        <v>124</v>
      </c>
      <c r="L25" s="123">
        <f>VLOOKUP($C25&amp;$E25,'Updated SES'!A:N,14,0)</f>
        <v>25.340000000000003</v>
      </c>
      <c r="M25" s="124">
        <f>VLOOKUP($K25,'Genre Penetration'!A:B,2,0)*VLOOKUP($C25&amp;$E25,'Updated SES'!A:I,9,0)</f>
        <v>0.36899999999999999</v>
      </c>
      <c r="N25" s="124">
        <f>VLOOKUP(K:K,'Genre Penetration'!A:C,3,0)*VLOOKUP($C25&amp;$E25,'Updated SES'!A:J,10,0)</f>
        <v>9.9000000000000005E-2</v>
      </c>
      <c r="O25" s="124">
        <f>VLOOKUP($B25,'Language Penetration'!$B$1:$BE$14,MATCH('Compile data Working'!$H190,'Language Penetration'!$B$1:$BE$1,0),0)</f>
        <v>0.12</v>
      </c>
      <c r="P25" s="124" t="str">
        <f ca="1">IF(ISBLANK(J25),RANDBETWEEN(1,2)&amp;"%",IF(J25=1,RANDBETWEEN(35,40)&amp;"%",IF(J25=2,RANDBETWEEN(30,35)&amp;"%",IF(J25=3,RANDBETWEEN(25,30)&amp;"%",IF(J25=4,RANDBETWEEN(20,25)&amp;"%",IF(J25=5,RANDBETWEEN(15,20)&amp;"%",IF(J25=6,RANDBETWEEN(10,15)&amp;"%",IF(J25=7,RANDBETWEEN(8,10)&amp;"%",IF(J25=8,RANDBETWEEN(6,8)&amp;"%",IF(J25=9,RANDBETWEEN(4,6)&amp;"%",IF(J25=10,RANDBETWEEN(2,4)&amp;"%","")))))))))))</f>
        <v>1%</v>
      </c>
      <c r="Q25" s="123">
        <f ca="1">IFERROR(L25*(M25+N25)*O25*P25,RANDBETWEEN(1,2)%*L25*(M25+N25)*O25)</f>
        <v>1.4230944000000001E-2</v>
      </c>
      <c r="R25" s="125">
        <f>VLOOKUP(D:D,ranking!W:X,2,0)</f>
        <v>0.6</v>
      </c>
      <c r="S25" s="126">
        <f ca="1">R25*Q25</f>
        <v>8.5385663999999993E-3</v>
      </c>
      <c r="T25" s="123">
        <v>6.4431295046163619</v>
      </c>
      <c r="U25">
        <v>6.4431295046163619</v>
      </c>
    </row>
    <row r="26" spans="1:21" x14ac:dyDescent="0.25">
      <c r="A26" s="98" t="s">
        <v>1057</v>
      </c>
      <c r="B26" s="98" t="s">
        <v>85</v>
      </c>
      <c r="C26" s="46" t="s">
        <v>123</v>
      </c>
      <c r="D26" s="46" t="s">
        <v>431</v>
      </c>
      <c r="E26" s="46" t="s">
        <v>211</v>
      </c>
      <c r="F26" s="46" t="s">
        <v>215</v>
      </c>
      <c r="G26" s="46" t="s">
        <v>1908</v>
      </c>
      <c r="H26" s="46" t="s">
        <v>28</v>
      </c>
      <c r="I26" s="53">
        <v>46162</v>
      </c>
      <c r="J26" s="119">
        <v>6</v>
      </c>
      <c r="K26" s="46" t="s">
        <v>1852</v>
      </c>
      <c r="L26" s="123">
        <f>VLOOKUP($C26&amp;$E26,'Updated SES'!A:N,14,0)</f>
        <v>55.459200000000003</v>
      </c>
      <c r="M26" s="124">
        <f>VLOOKUP($K26,'Genre Penetration'!A:B,2,0)*VLOOKUP($C26&amp;$E26,'Updated SES'!A:I,9,0)</f>
        <v>0.19600000000000001</v>
      </c>
      <c r="N26" s="124">
        <f>VLOOKUP(K:K,'Genre Penetration'!A:C,3,0)*VLOOKUP($C26&amp;$E26,'Updated SES'!A:J,10,0)</f>
        <v>0.30599999999999999</v>
      </c>
      <c r="O26" s="124">
        <f>VLOOKUP($B26,'Language Penetration'!$B$1:$BE$14,MATCH('Compile data Working'!$H229,'Language Penetration'!$B$1:$BE$1,0),0)</f>
        <v>0.6</v>
      </c>
      <c r="P26" s="124" t="str">
        <f ca="1">IF(ISBLANK(J26),RANDBETWEEN(1,2)&amp;"%",IF(J26=1,RANDBETWEEN(35,40)&amp;"%",IF(J26=2,RANDBETWEEN(30,35)&amp;"%",IF(J26=3,RANDBETWEEN(25,30)&amp;"%",IF(J26=4,RANDBETWEEN(20,25)&amp;"%",IF(J26=5,RANDBETWEEN(15,20)&amp;"%",IF(J26=6,RANDBETWEEN(10,15)&amp;"%",IF(J26=7,RANDBETWEEN(8,10)&amp;"%",IF(J26=8,RANDBETWEEN(6,8)&amp;"%",IF(J26=9,RANDBETWEEN(4,6)&amp;"%",IF(J26=10,RANDBETWEEN(2,4)&amp;"%","")))))))))))</f>
        <v>15%</v>
      </c>
      <c r="Q26" s="123">
        <f ca="1">IFERROR(L26*(M26+N26)*O26*P26,RANDBETWEEN(1,2)%*L26*(M26+N26)*O26)</f>
        <v>2.5056466560000001</v>
      </c>
      <c r="R26" s="125">
        <f>VLOOKUP(D:D,ranking!W:X,2,0)</f>
        <v>0.6</v>
      </c>
      <c r="S26" s="126">
        <f ca="1">R26*Q26</f>
        <v>1.5033879936000001</v>
      </c>
      <c r="T26" s="123">
        <v>6.3720916117629303</v>
      </c>
    </row>
    <row r="27" spans="1:21" x14ac:dyDescent="0.25">
      <c r="A27" s="98" t="s">
        <v>1781</v>
      </c>
      <c r="B27" s="98" t="s">
        <v>85</v>
      </c>
      <c r="C27" s="46" t="s">
        <v>906</v>
      </c>
      <c r="D27" s="98" t="s">
        <v>456</v>
      </c>
      <c r="E27" s="98" t="s">
        <v>211</v>
      </c>
      <c r="F27" s="46" t="s">
        <v>1917</v>
      </c>
      <c r="G27" s="98" t="s">
        <v>1851</v>
      </c>
      <c r="H27" s="46" t="s">
        <v>19</v>
      </c>
      <c r="I27" s="129">
        <v>45983</v>
      </c>
      <c r="J27" s="98"/>
      <c r="K27" s="46" t="s">
        <v>1975</v>
      </c>
      <c r="L27" s="123">
        <f>VLOOKUP($C27&amp;$E27,'Updated SES'!A:N,14,0)</f>
        <v>127.11702000000001</v>
      </c>
      <c r="M27" s="124" t="e">
        <f>VLOOKUP($K27,'Genre Penetration'!A:B,2,0)*VLOOKUP($C27&amp;$E27,'Updated SES'!A:I,9,0)</f>
        <v>#N/A</v>
      </c>
      <c r="N27" s="124" t="e">
        <f>VLOOKUP(K:K,'Genre Penetration'!A:C,3,0)*VLOOKUP($C27&amp;$E27,'Updated SES'!A:J,10,0)</f>
        <v>#N/A</v>
      </c>
      <c r="O27" s="124" t="e">
        <f>VLOOKUP($B27,'Language Penetration'!$B$1:$BE$14,MATCH('Compile data Working'!$H95,'Language Penetration'!$B$1:$BE$1,0),0)</f>
        <v>#N/A</v>
      </c>
      <c r="P27" s="124" t="str">
        <f ca="1">IF(ISBLANK(J27),RANDBETWEEN(1,2)&amp;"%",IF(J27=1,RANDBETWEEN(35,40)&amp;"%",IF(J27=2,RANDBETWEEN(30,35)&amp;"%",IF(J27=3,RANDBETWEEN(25,30)&amp;"%",IF(J27=4,RANDBETWEEN(20,25)&amp;"%",IF(J27=5,RANDBETWEEN(15,20)&amp;"%",IF(J27=6,RANDBETWEEN(10,15)&amp;"%",IF(J27=7,RANDBETWEEN(8,10)&amp;"%",IF(J27=8,RANDBETWEEN(6,8)&amp;"%",IF(J27=9,RANDBETWEEN(4,6)&amp;"%",IF(J27=10,RANDBETWEEN(2,4)&amp;"%","")))))))))))</f>
        <v>2%</v>
      </c>
      <c r="Q27" s="123" t="e">
        <f ca="1">IFERROR(L27*(M27+N27)*O27*P27,RANDBETWEEN(1,2)%*L27*(M27+N27)*O27)</f>
        <v>#N/A</v>
      </c>
      <c r="R27" s="125">
        <f>VLOOKUP(D:D,ranking!W:X,2,0)</f>
        <v>0.3</v>
      </c>
      <c r="S27" s="126" t="e">
        <f ca="1">R27*Q27</f>
        <v>#N/A</v>
      </c>
      <c r="T27" s="123">
        <v>6.2489217613010259</v>
      </c>
    </row>
    <row r="28" spans="1:21" x14ac:dyDescent="0.25">
      <c r="A28" s="98" t="s">
        <v>2005</v>
      </c>
      <c r="B28" s="98" t="s">
        <v>85</v>
      </c>
      <c r="C28" s="46" t="s">
        <v>123</v>
      </c>
      <c r="D28" s="46" t="s">
        <v>1013</v>
      </c>
      <c r="E28" s="46" t="s">
        <v>211</v>
      </c>
      <c r="F28" s="46" t="s">
        <v>213</v>
      </c>
      <c r="G28" s="46" t="s">
        <v>2062</v>
      </c>
      <c r="H28" s="46" t="s">
        <v>28</v>
      </c>
      <c r="I28" s="53">
        <v>46177</v>
      </c>
      <c r="J28" s="98"/>
      <c r="K28" s="46" t="s">
        <v>171</v>
      </c>
      <c r="L28" s="123">
        <f>VLOOKUP($C28&amp;$E28,'Updated SES'!A:N,14,0)</f>
        <v>55.459200000000003</v>
      </c>
      <c r="M28" s="124">
        <f>VLOOKUP($K28,'Genre Penetration'!A:B,2,0)*VLOOKUP($C28&amp;$E28,'Updated SES'!A:I,9,0)</f>
        <v>0.26950000000000002</v>
      </c>
      <c r="N28" s="124">
        <f>VLOOKUP(K:K,'Genre Penetration'!A:C,3,0)*VLOOKUP($C28&amp;$E28,'Updated SES'!A:J,10,0)</f>
        <v>0.22950000000000001</v>
      </c>
      <c r="O28" s="124">
        <f>VLOOKUP($B28,'Language Penetration'!$B$1:$BE$14,MATCH('Compile data Working'!$H23,'Language Penetration'!$B$1:$BE$1,0),0)</f>
        <v>0.6</v>
      </c>
      <c r="P28" s="124" t="str">
        <f ca="1">IF(ISBLANK(J28),RANDBETWEEN(1,2)&amp;"%",IF(J28=1,RANDBETWEEN(35,40)&amp;"%",IF(J28=2,RANDBETWEEN(30,35)&amp;"%",IF(J28=3,RANDBETWEEN(25,30)&amp;"%",IF(J28=4,RANDBETWEEN(20,25)&amp;"%",IF(J28=5,RANDBETWEEN(15,20)&amp;"%",IF(J28=6,RANDBETWEEN(10,15)&amp;"%",IF(J28=7,RANDBETWEEN(8,10)&amp;"%",IF(J28=8,RANDBETWEEN(6,8)&amp;"%",IF(J28=9,RANDBETWEEN(4,6)&amp;"%",IF(J28=10,RANDBETWEEN(2,4)&amp;"%","")))))))))))</f>
        <v>2%</v>
      </c>
      <c r="Q28" s="123">
        <f ca="1">IFERROR(L28*(M28+N28)*O28*P28,RANDBETWEEN(1,2)%*L28*(M28+N28)*O28)</f>
        <v>0.33208968960000002</v>
      </c>
      <c r="R28" s="125">
        <f>VLOOKUP(D:D,ranking!W:X,2,0)</f>
        <v>0.8</v>
      </c>
      <c r="S28" s="126">
        <f ca="1">R28*Q28</f>
        <v>0.26567175168000001</v>
      </c>
      <c r="T28" s="123">
        <v>6.1769501716387341</v>
      </c>
      <c r="U28">
        <v>6.1769501716387341</v>
      </c>
    </row>
    <row r="29" spans="1:21" x14ac:dyDescent="0.25">
      <c r="A29" s="98" t="s">
        <v>2005</v>
      </c>
      <c r="B29" s="98" t="s">
        <v>85</v>
      </c>
      <c r="C29" s="98" t="s">
        <v>123</v>
      </c>
      <c r="D29" s="98" t="s">
        <v>1013</v>
      </c>
      <c r="E29" s="46" t="s">
        <v>211</v>
      </c>
      <c r="F29" s="46" t="s">
        <v>213</v>
      </c>
      <c r="G29" s="46" t="s">
        <v>2061</v>
      </c>
      <c r="H29" s="46" t="s">
        <v>21</v>
      </c>
      <c r="I29" s="53">
        <v>46177</v>
      </c>
      <c r="J29" s="98"/>
      <c r="K29" s="46" t="s">
        <v>158</v>
      </c>
      <c r="L29" s="123">
        <f>VLOOKUP($C29&amp;$E29,'Updated SES'!A:N,14,0)</f>
        <v>55.459200000000003</v>
      </c>
      <c r="M29" s="124">
        <f>VLOOKUP($K29,'Genre Penetration'!A:B,2,0)*VLOOKUP($C29&amp;$E29,'Updated SES'!A:I,9,0)</f>
        <v>0.2205</v>
      </c>
      <c r="N29" s="124">
        <f>VLOOKUP(K:K,'Genre Penetration'!A:C,3,0)*VLOOKUP($C29&amp;$E29,'Updated SES'!A:J,10,0)</f>
        <v>0.28050000000000003</v>
      </c>
      <c r="O29" s="124">
        <f>VLOOKUP($B29,'Language Penetration'!$B$1:$BE$14,MATCH('Compile data Working'!$H27,'Language Penetration'!$B$1:$BE$1,0),0)</f>
        <v>0.6</v>
      </c>
      <c r="P29" s="124" t="str">
        <f ca="1">IF(ISBLANK(J29),RANDBETWEEN(1,2)&amp;"%",IF(J29=1,RANDBETWEEN(35,40)&amp;"%",IF(J29=2,RANDBETWEEN(30,35)&amp;"%",IF(J29=3,RANDBETWEEN(25,30)&amp;"%",IF(J29=4,RANDBETWEEN(20,25)&amp;"%",IF(J29=5,RANDBETWEEN(15,20)&amp;"%",IF(J29=6,RANDBETWEEN(10,15)&amp;"%",IF(J29=7,RANDBETWEEN(8,10)&amp;"%",IF(J29=8,RANDBETWEEN(6,8)&amp;"%",IF(J29=9,RANDBETWEEN(4,6)&amp;"%",IF(J29=10,RANDBETWEEN(2,4)&amp;"%","")))))))))))</f>
        <v>2%</v>
      </c>
      <c r="Q29" s="123">
        <f ca="1">IFERROR(L29*(M29+N29)*O29*P29,RANDBETWEEN(1,2)%*L29*(M29+N29)*O29)</f>
        <v>0.33342071039999999</v>
      </c>
      <c r="R29" s="125">
        <f>VLOOKUP(D:D,ranking!W:X,2,0)</f>
        <v>0.8</v>
      </c>
      <c r="S29" s="126">
        <f ca="1">R29*Q29</f>
        <v>0.26673656831999998</v>
      </c>
      <c r="T29" s="123">
        <v>6.1649492050722792</v>
      </c>
      <c r="U29">
        <v>6.1649492050722792</v>
      </c>
    </row>
    <row r="30" spans="1:21" x14ac:dyDescent="0.25">
      <c r="A30" s="98" t="s">
        <v>1057</v>
      </c>
      <c r="B30" s="98" t="s">
        <v>85</v>
      </c>
      <c r="C30" s="98" t="s">
        <v>64</v>
      </c>
      <c r="D30" s="98" t="s">
        <v>431</v>
      </c>
      <c r="E30" s="98" t="s">
        <v>211</v>
      </c>
      <c r="F30" s="46" t="s">
        <v>215</v>
      </c>
      <c r="G30" s="120" t="s">
        <v>1841</v>
      </c>
      <c r="H30" s="119" t="s">
        <v>1432</v>
      </c>
      <c r="I30" s="106">
        <v>46120</v>
      </c>
      <c r="J30" s="119">
        <v>7</v>
      </c>
      <c r="K30" s="98" t="s">
        <v>78</v>
      </c>
      <c r="L30" s="123">
        <f>VLOOKUP($C30&amp;$E30,'Updated SES'!A:N,14,0)</f>
        <v>36.498239999999996</v>
      </c>
      <c r="M30" s="124">
        <f>VLOOKUP($K30,'Genre Penetration'!A:B,2,0)*VLOOKUP($C30&amp;$E30,'Updated SES'!A:I,9,0)</f>
        <v>0.24959999999999999</v>
      </c>
      <c r="N30" s="124">
        <f>VLOOKUP(K:K,'Genre Penetration'!A:C,3,0)*VLOOKUP($C30&amp;$E30,'Updated SES'!A:J,10,0)</f>
        <v>0.24959999999999999</v>
      </c>
      <c r="O30" s="124">
        <f>VLOOKUP($B30,'Language Penetration'!$B$1:$BE$14,MATCH('Compile data Working'!$H198,'Language Penetration'!$B$1:$BE$1,0),0)</f>
        <v>0.6</v>
      </c>
      <c r="P30" s="124" t="str">
        <f ca="1">IF(ISBLANK(J30),RANDBETWEEN(1,2)&amp;"%",IF(J30=1,RANDBETWEEN(35,40)&amp;"%",IF(J30=2,RANDBETWEEN(30,35)&amp;"%",IF(J30=3,RANDBETWEEN(25,30)&amp;"%",IF(J30=4,RANDBETWEEN(20,25)&amp;"%",IF(J30=5,RANDBETWEEN(15,20)&amp;"%",IF(J30=6,RANDBETWEEN(10,15)&amp;"%",IF(J30=7,RANDBETWEEN(8,10)&amp;"%",IF(J30=8,RANDBETWEEN(6,8)&amp;"%",IF(J30=9,RANDBETWEEN(4,6)&amp;"%",IF(J30=10,RANDBETWEEN(2,4)&amp;"%","")))))))))))</f>
        <v>10%</v>
      </c>
      <c r="Q30" s="123">
        <f ca="1">IFERROR(L30*(M30+N30)*O30*P30,RANDBETWEEN(1,2)%*L30*(M30+N30)*O30)</f>
        <v>1.0931952844799999</v>
      </c>
      <c r="R30" s="125">
        <f>VLOOKUP(D:D,ranking!W:X,2,0)</f>
        <v>0.6</v>
      </c>
      <c r="S30" s="126">
        <f ca="1">R30*Q30</f>
        <v>0.65591717068799993</v>
      </c>
      <c r="T30" s="123">
        <v>6.1108385485201504</v>
      </c>
    </row>
    <row r="31" spans="1:21" x14ac:dyDescent="0.25">
      <c r="A31" s="98" t="s">
        <v>2005</v>
      </c>
      <c r="B31" s="98" t="s">
        <v>85</v>
      </c>
      <c r="C31" s="98" t="s">
        <v>150</v>
      </c>
      <c r="D31" s="98" t="s">
        <v>1012</v>
      </c>
      <c r="E31" s="46" t="s">
        <v>211</v>
      </c>
      <c r="F31" s="46" t="s">
        <v>215</v>
      </c>
      <c r="G31" s="46" t="s">
        <v>2069</v>
      </c>
      <c r="H31" s="46" t="s">
        <v>19</v>
      </c>
      <c r="I31" s="53">
        <v>46178</v>
      </c>
      <c r="J31" s="98">
        <v>2</v>
      </c>
      <c r="K31" s="46" t="s">
        <v>202</v>
      </c>
      <c r="L31" s="123">
        <f>VLOOKUP($C31&amp;$E31,'Updated SES'!A:N,14,0)</f>
        <v>60.152000000000001</v>
      </c>
      <c r="M31" s="124">
        <f>VLOOKUP($K31,'Genre Penetration'!A:B,2,0)*VLOOKUP($C31&amp;$E31,'Updated SES'!A:I,9,0)</f>
        <v>0.46799999999999997</v>
      </c>
      <c r="N31" s="124">
        <f>VLOOKUP(K:K,'Genre Penetration'!A:C,3,0)*VLOOKUP($C31&amp;$E31,'Updated SES'!A:J,10,0)</f>
        <v>9.8000000000000004E-2</v>
      </c>
      <c r="O31" s="124">
        <f>VLOOKUP($B31,'Language Penetration'!$B$1:$BE$14,MATCH('Compile data Working'!$H218,'Language Penetration'!$B$1:$BE$1,0),0)</f>
        <v>0.6</v>
      </c>
      <c r="P31" s="124" t="str">
        <f ca="1">IF(ISBLANK(J31),RANDBETWEEN(1,2)&amp;"%",IF(J31=1,RANDBETWEEN(35,40)&amp;"%",IF(J31=2,RANDBETWEEN(30,35)&amp;"%",IF(J31=3,RANDBETWEEN(25,30)&amp;"%",IF(J31=4,RANDBETWEEN(20,25)&amp;"%",IF(J31=5,RANDBETWEEN(15,20)&amp;"%",IF(J31=6,RANDBETWEEN(10,15)&amp;"%",IF(J31=7,RANDBETWEEN(8,10)&amp;"%",IF(J31=8,RANDBETWEEN(6,8)&amp;"%",IF(J31=9,RANDBETWEEN(4,6)&amp;"%",IF(J31=10,RANDBETWEEN(2,4)&amp;"%","")))))))))))</f>
        <v>34%</v>
      </c>
      <c r="Q31" s="123">
        <f ca="1">IFERROR(L31*(M31+N31)*O31*P31,RANDBETWEEN(1,2)%*L31*(M31+N31)*O31)</f>
        <v>6.9453905279999999</v>
      </c>
      <c r="R31" s="125">
        <f>VLOOKUP(D:D,ranking!W:X,2,0)</f>
        <v>0.6</v>
      </c>
      <c r="S31" s="126">
        <f ca="1">R31*Q31</f>
        <v>4.1672343168000001</v>
      </c>
      <c r="T31" s="123">
        <v>5.9959235478974122</v>
      </c>
      <c r="U31">
        <v>5.9959235478974122</v>
      </c>
    </row>
    <row r="32" spans="1:21" x14ac:dyDescent="0.25">
      <c r="A32" s="98" t="s">
        <v>2005</v>
      </c>
      <c r="B32" s="98" t="s">
        <v>85</v>
      </c>
      <c r="C32" s="98" t="s">
        <v>906</v>
      </c>
      <c r="D32" s="98" t="s">
        <v>434</v>
      </c>
      <c r="E32" s="46" t="s">
        <v>211</v>
      </c>
      <c r="F32" s="46" t="s">
        <v>213</v>
      </c>
      <c r="G32" s="46" t="s">
        <v>2057</v>
      </c>
      <c r="H32" s="46" t="s">
        <v>28</v>
      </c>
      <c r="I32" s="53">
        <v>46177</v>
      </c>
      <c r="J32" s="98"/>
      <c r="K32" s="46" t="s">
        <v>162</v>
      </c>
      <c r="L32" s="123">
        <f>VLOOKUP($C32&amp;$E32,'Updated SES'!A:N,14,0)</f>
        <v>127.11702000000001</v>
      </c>
      <c r="M32" s="124">
        <f>VLOOKUP($K32,'Genre Penetration'!A:B,2,0)*VLOOKUP($C32&amp;$E32,'Updated SES'!A:I,9,0)</f>
        <v>0.46899999999999992</v>
      </c>
      <c r="N32" s="124">
        <f>VLOOKUP(K:K,'Genre Penetration'!A:C,3,0)*VLOOKUP($C32&amp;$E32,'Updated SES'!A:J,10,0)</f>
        <v>9.8999999999999991E-2</v>
      </c>
      <c r="O32" s="124" t="e">
        <f>VLOOKUP($B32,'Language Penetration'!$B$1:$BE$14,MATCH('Compile data Working'!#REF!,'Language Penetration'!$B$1:$BE$1,0),0)</f>
        <v>#REF!</v>
      </c>
      <c r="P32" s="124" t="str">
        <f ca="1">IF(ISBLANK(J32),RANDBETWEEN(1,2)&amp;"%",IF(J32=1,RANDBETWEEN(35,40)&amp;"%",IF(J32=2,RANDBETWEEN(30,35)&amp;"%",IF(J32=3,RANDBETWEEN(25,30)&amp;"%",IF(J32=4,RANDBETWEEN(20,25)&amp;"%",IF(J32=5,RANDBETWEEN(15,20)&amp;"%",IF(J32=6,RANDBETWEEN(10,15)&amp;"%",IF(J32=7,RANDBETWEEN(8,10)&amp;"%",IF(J32=8,RANDBETWEEN(6,8)&amp;"%",IF(J32=9,RANDBETWEEN(4,6)&amp;"%",IF(J32=10,RANDBETWEEN(2,4)&amp;"%","")))))))))))</f>
        <v>1%</v>
      </c>
      <c r="Q32" s="123" t="e">
        <f ca="1">IFERROR(L32*(M32+N32)*O32*P32,RANDBETWEEN(1,2)%*L32*(M32+N32)*O32)</f>
        <v>#REF!</v>
      </c>
      <c r="R32" s="125">
        <f>VLOOKUP(D:D,ranking!W:X,2,0)</f>
        <v>0.7</v>
      </c>
      <c r="S32" s="126" t="e">
        <f ca="1">R32*Q32</f>
        <v>#REF!</v>
      </c>
      <c r="T32" s="123">
        <v>5.9749394153872437</v>
      </c>
      <c r="U32">
        <v>5.9749394153872437</v>
      </c>
    </row>
    <row r="33" spans="1:21" x14ac:dyDescent="0.25">
      <c r="A33" s="98" t="s">
        <v>2005</v>
      </c>
      <c r="B33" s="98" t="s">
        <v>85</v>
      </c>
      <c r="C33" s="98" t="s">
        <v>123</v>
      </c>
      <c r="D33" s="98" t="s">
        <v>434</v>
      </c>
      <c r="E33" s="46" t="s">
        <v>211</v>
      </c>
      <c r="F33" s="46" t="s">
        <v>213</v>
      </c>
      <c r="G33" s="46" t="s">
        <v>2065</v>
      </c>
      <c r="H33" s="46" t="s">
        <v>21</v>
      </c>
      <c r="I33" s="53">
        <v>46177</v>
      </c>
      <c r="J33" s="98"/>
      <c r="K33" s="46" t="s">
        <v>172</v>
      </c>
      <c r="L33" s="123">
        <f>VLOOKUP($C33&amp;$E33,'Updated SES'!A:N,14,0)</f>
        <v>55.459200000000003</v>
      </c>
      <c r="M33" s="124">
        <f>VLOOKUP($K33,'Genre Penetration'!A:B,2,0)*VLOOKUP($C33&amp;$E33,'Updated SES'!A:I,9,0)</f>
        <v>0.19600000000000001</v>
      </c>
      <c r="N33" s="124">
        <f>VLOOKUP(K:K,'Genre Penetration'!A:C,3,0)*VLOOKUP($C33&amp;$E33,'Updated SES'!A:J,10,0)</f>
        <v>0.30599999999999999</v>
      </c>
      <c r="O33" s="124">
        <f>VLOOKUP($B33,'Language Penetration'!$B$1:$BE$14,MATCH('Compile data Working'!$H200,'Language Penetration'!$B$1:$BE$1,0),0)</f>
        <v>0.6</v>
      </c>
      <c r="P33" s="124" t="str">
        <f ca="1">IF(ISBLANK(J33),RANDBETWEEN(1,2)&amp;"%",IF(J33=1,RANDBETWEEN(35,40)&amp;"%",IF(J33=2,RANDBETWEEN(30,35)&amp;"%",IF(J33=3,RANDBETWEEN(25,30)&amp;"%",IF(J33=4,RANDBETWEEN(20,25)&amp;"%",IF(J33=5,RANDBETWEEN(15,20)&amp;"%",IF(J33=6,RANDBETWEEN(10,15)&amp;"%",IF(J33=7,RANDBETWEEN(8,10)&amp;"%",IF(J33=8,RANDBETWEEN(6,8)&amp;"%",IF(J33=9,RANDBETWEEN(4,6)&amp;"%",IF(J33=10,RANDBETWEEN(2,4)&amp;"%","")))))))))))</f>
        <v>2%</v>
      </c>
      <c r="Q33" s="123">
        <f ca="1">IFERROR(L33*(M33+N33)*O33*P33,RANDBETWEEN(1,2)%*L33*(M33+N33)*O33)</f>
        <v>0.3340862208</v>
      </c>
      <c r="R33" s="125">
        <f>VLOOKUP(D:D,ranking!W:X,2,0)</f>
        <v>0.7</v>
      </c>
      <c r="S33" s="126">
        <f ca="1">R33*Q33</f>
        <v>0.23386035455999998</v>
      </c>
      <c r="T33" s="123">
        <v>5.8878517799368968</v>
      </c>
      <c r="U33">
        <v>5.8878517799368968</v>
      </c>
    </row>
    <row r="34" spans="1:21" x14ac:dyDescent="0.25">
      <c r="A34" s="98" t="s">
        <v>1057</v>
      </c>
      <c r="B34" s="98" t="s">
        <v>85</v>
      </c>
      <c r="C34" s="98" t="s">
        <v>132</v>
      </c>
      <c r="D34" s="98" t="s">
        <v>456</v>
      </c>
      <c r="E34" s="98" t="s">
        <v>219</v>
      </c>
      <c r="F34" s="46" t="s">
        <v>1917</v>
      </c>
      <c r="G34" s="98" t="s">
        <v>1515</v>
      </c>
      <c r="H34" s="119" t="s">
        <v>19</v>
      </c>
      <c r="I34" s="106">
        <v>45948</v>
      </c>
      <c r="J34" s="119">
        <v>4</v>
      </c>
      <c r="K34" s="98" t="s">
        <v>1852</v>
      </c>
      <c r="L34" s="123">
        <f>VLOOKUP($C34&amp;$E34,'Updated SES'!A:N,14,0)</f>
        <v>5.2679999999999998</v>
      </c>
      <c r="M34" s="124">
        <f>VLOOKUP($K34,'Genre Penetration'!A:B,2,0)*VLOOKUP($C34&amp;$E34,'Updated SES'!A:I,9,0)</f>
        <v>0.26400000000000001</v>
      </c>
      <c r="N34" s="124">
        <f>VLOOKUP(K:K,'Genre Penetration'!A:C,3,0)*VLOOKUP($C34&amp;$E34,'Updated SES'!A:J,10,0)</f>
        <v>0.20400000000000001</v>
      </c>
      <c r="O34" s="124" t="e">
        <f>VLOOKUP($B34,'Language Penetration'!$B$1:$BE$14,MATCH('Compile data Working'!#REF!,'Language Penetration'!$B$1:$BE$1,0),0)</f>
        <v>#REF!</v>
      </c>
      <c r="P34" s="124" t="str">
        <f ca="1">IF(ISBLANK(J34),RANDBETWEEN(1,2)&amp;"%",IF(J34=1,RANDBETWEEN(35,40)&amp;"%",IF(J34=2,RANDBETWEEN(30,35)&amp;"%",IF(J34=3,RANDBETWEEN(25,30)&amp;"%",IF(J34=4,RANDBETWEEN(20,25)&amp;"%",IF(J34=5,RANDBETWEEN(15,20)&amp;"%",IF(J34=6,RANDBETWEEN(10,15)&amp;"%",IF(J34=7,RANDBETWEEN(8,10)&amp;"%",IF(J34=8,RANDBETWEEN(6,8)&amp;"%",IF(J34=9,RANDBETWEEN(4,6)&amp;"%",IF(J34=10,RANDBETWEEN(2,4)&amp;"%","")))))))))))</f>
        <v>25%</v>
      </c>
      <c r="Q34" s="123" t="e">
        <f ca="1">IFERROR(L34*(M34+N34)*O34*P34,RANDBETWEEN(1,2)%*L34*(M34+N34)*O34)</f>
        <v>#REF!</v>
      </c>
      <c r="R34" s="125">
        <f>VLOOKUP(D:D,ranking!W:X,2,0)</f>
        <v>0.3</v>
      </c>
      <c r="S34" s="126" t="e">
        <f ca="1">R34*Q34</f>
        <v>#REF!</v>
      </c>
      <c r="T34" s="123">
        <v>5.798151199755325</v>
      </c>
    </row>
    <row r="35" spans="1:21" x14ac:dyDescent="0.25">
      <c r="A35" s="98" t="s">
        <v>1057</v>
      </c>
      <c r="B35" s="98" t="s">
        <v>85</v>
      </c>
      <c r="C35" s="98" t="s">
        <v>406</v>
      </c>
      <c r="D35" s="98" t="s">
        <v>431</v>
      </c>
      <c r="E35" s="98" t="s">
        <v>211</v>
      </c>
      <c r="F35" s="46" t="s">
        <v>215</v>
      </c>
      <c r="G35" s="98" t="s">
        <v>1909</v>
      </c>
      <c r="H35" s="119" t="s">
        <v>20</v>
      </c>
      <c r="I35" s="106">
        <v>46162</v>
      </c>
      <c r="J35" s="119">
        <v>7</v>
      </c>
      <c r="K35" s="120" t="s">
        <v>176</v>
      </c>
      <c r="L35" s="123">
        <f>VLOOKUP($C35&amp;$E35,'Updated SES'!A:N,14,0)</f>
        <v>1.669</v>
      </c>
      <c r="M35" s="124">
        <f>VLOOKUP($K35,'Genre Penetration'!A:B,2,0)*VLOOKUP($C35&amp;$E35,'Updated SES'!A:I,9,0)</f>
        <v>0.372</v>
      </c>
      <c r="N35" s="124">
        <f>VLOOKUP(K:K,'Genre Penetration'!A:C,3,0)*VLOOKUP($C35&amp;$E35,'Updated SES'!A:J,10,0)</f>
        <v>0.15200000000000002</v>
      </c>
      <c r="O35" s="124" t="e">
        <f>VLOOKUP($B35,'Language Penetration'!$B$1:$BE$14,MATCH('Compile data Working'!$H41,'Language Penetration'!$B$1:$BE$1,0),0)</f>
        <v>#N/A</v>
      </c>
      <c r="P35" s="124" t="str">
        <f ca="1">IF(ISBLANK(J35),RANDBETWEEN(1,2)&amp;"%",IF(J35=1,RANDBETWEEN(35,40)&amp;"%",IF(J35=2,RANDBETWEEN(30,35)&amp;"%",IF(J35=3,RANDBETWEEN(25,30)&amp;"%",IF(J35=4,RANDBETWEEN(20,25)&amp;"%",IF(J35=5,RANDBETWEEN(15,20)&amp;"%",IF(J35=6,RANDBETWEEN(10,15)&amp;"%",IF(J35=7,RANDBETWEEN(8,10)&amp;"%",IF(J35=8,RANDBETWEEN(6,8)&amp;"%",IF(J35=9,RANDBETWEEN(4,6)&amp;"%",IF(J35=10,RANDBETWEEN(2,4)&amp;"%","")))))))))))</f>
        <v>9%</v>
      </c>
      <c r="Q35" s="123" t="e">
        <f ca="1">IFERROR(L35*(M35+N35)*O35*P35,RANDBETWEEN(1,2)%*L35*(M35+N35)*O35)</f>
        <v>#N/A</v>
      </c>
      <c r="R35" s="125">
        <f>VLOOKUP(D:D,ranking!W:X,2,0)</f>
        <v>0.6</v>
      </c>
      <c r="S35" s="126" t="e">
        <f ca="1">R35*Q35</f>
        <v>#N/A</v>
      </c>
      <c r="T35" s="123">
        <v>5.7234718117987269</v>
      </c>
    </row>
    <row r="36" spans="1:21" x14ac:dyDescent="0.25">
      <c r="A36" s="98" t="s">
        <v>2005</v>
      </c>
      <c r="B36" s="98" t="s">
        <v>85</v>
      </c>
      <c r="C36" s="98" t="s">
        <v>879</v>
      </c>
      <c r="D36" s="98" t="s">
        <v>434</v>
      </c>
      <c r="E36" s="46" t="s">
        <v>219</v>
      </c>
      <c r="F36" s="46" t="s">
        <v>213</v>
      </c>
      <c r="G36" s="46" t="s">
        <v>2083</v>
      </c>
      <c r="H36" s="46" t="s">
        <v>22</v>
      </c>
      <c r="I36" s="53">
        <v>46178</v>
      </c>
      <c r="J36" s="98"/>
      <c r="K36" s="46" t="s">
        <v>143</v>
      </c>
      <c r="L36" s="123">
        <f>VLOOKUP($C36&amp;$E36,'Updated SES'!A:N,14,0)</f>
        <v>78.939870000000013</v>
      </c>
      <c r="M36" s="124">
        <f>VLOOKUP($K36,'Genre Penetration'!A:B,2,0)*VLOOKUP($C36&amp;$E36,'Updated SES'!A:I,9,0)</f>
        <v>0.43200000000000005</v>
      </c>
      <c r="N36" s="124">
        <f>VLOOKUP(K:K,'Genre Penetration'!A:C,3,0)*VLOOKUP($C36&amp;$E36,'Updated SES'!A:J,10,0)</f>
        <v>9.2000000000000012E-2</v>
      </c>
      <c r="O36" s="124">
        <f>VLOOKUP($B36,'Language Penetration'!$B$1:$BE$14,MATCH('Compile data Working'!$H55,'Language Penetration'!$B$1:$BE$1,0),0)</f>
        <v>0.6</v>
      </c>
      <c r="P36" s="124" t="str">
        <f ca="1">IF(ISBLANK(J36),RANDBETWEEN(1,2)&amp;"%",IF(J36=1,RANDBETWEEN(35,40)&amp;"%",IF(J36=2,RANDBETWEEN(30,35)&amp;"%",IF(J36=3,RANDBETWEEN(25,30)&amp;"%",IF(J36=4,RANDBETWEEN(20,25)&amp;"%",IF(J36=5,RANDBETWEEN(15,20)&amp;"%",IF(J36=6,RANDBETWEEN(10,15)&amp;"%",IF(J36=7,RANDBETWEEN(8,10)&amp;"%",IF(J36=8,RANDBETWEEN(6,8)&amp;"%",IF(J36=9,RANDBETWEEN(4,6)&amp;"%",IF(J36=10,RANDBETWEEN(2,4)&amp;"%","")))))))))))</f>
        <v>1%</v>
      </c>
      <c r="Q36" s="123">
        <f ca="1">IFERROR(L36*(M36+N36)*O36*P36,RANDBETWEEN(1,2)%*L36*(M36+N36)*O36)</f>
        <v>0.24818695128000007</v>
      </c>
      <c r="R36" s="125">
        <f>VLOOKUP(D:D,ranking!W:X,2,0)</f>
        <v>0.7</v>
      </c>
      <c r="S36" s="126">
        <f ca="1">R36*Q36</f>
        <v>0.17373086589600004</v>
      </c>
      <c r="T36" s="123">
        <v>5.339804505005735</v>
      </c>
      <c r="U36">
        <v>5.339804505005735</v>
      </c>
    </row>
    <row r="37" spans="1:21" x14ac:dyDescent="0.25">
      <c r="A37" s="98" t="s">
        <v>1057</v>
      </c>
      <c r="B37" s="98" t="s">
        <v>85</v>
      </c>
      <c r="C37" s="98" t="s">
        <v>150</v>
      </c>
      <c r="D37" s="98" t="s">
        <v>433</v>
      </c>
      <c r="E37" s="98" t="s">
        <v>219</v>
      </c>
      <c r="F37" s="46" t="s">
        <v>215</v>
      </c>
      <c r="G37" s="98" t="s">
        <v>1887</v>
      </c>
      <c r="H37" s="98" t="s">
        <v>19</v>
      </c>
      <c r="I37" s="106">
        <v>46157</v>
      </c>
      <c r="J37" s="98">
        <v>4</v>
      </c>
      <c r="K37" s="98" t="s">
        <v>171</v>
      </c>
      <c r="L37" s="123">
        <f>VLOOKUP($C37&amp;$E37,'Updated SES'!A:N,14,0)</f>
        <v>24.425800000000002</v>
      </c>
      <c r="M37" s="124">
        <f>VLOOKUP($K37,'Genre Penetration'!A:B,2,0)*VLOOKUP($C37&amp;$E37,'Updated SES'!A:I,9,0)</f>
        <v>0.37400000000000005</v>
      </c>
      <c r="N37" s="124">
        <f>VLOOKUP(K:K,'Genre Penetration'!A:C,3,0)*VLOOKUP($C37&amp;$E37,'Updated SES'!A:J,10,0)</f>
        <v>0.14400000000000002</v>
      </c>
      <c r="O37" s="124" t="e">
        <f>VLOOKUP($B37,'Language Penetration'!$B$1:$BE$14,MATCH('Compile data Working'!#REF!,'Language Penetration'!$B$1:$BE$1,0),0)</f>
        <v>#REF!</v>
      </c>
      <c r="P37" s="124" t="str">
        <f ca="1">IF(ISBLANK(J37),RANDBETWEEN(1,2)&amp;"%",IF(J37=1,RANDBETWEEN(35,40)&amp;"%",IF(J37=2,RANDBETWEEN(30,35)&amp;"%",IF(J37=3,RANDBETWEEN(25,30)&amp;"%",IF(J37=4,RANDBETWEEN(20,25)&amp;"%",IF(J37=5,RANDBETWEEN(15,20)&amp;"%",IF(J37=6,RANDBETWEEN(10,15)&amp;"%",IF(J37=7,RANDBETWEEN(8,10)&amp;"%",IF(J37=8,RANDBETWEEN(6,8)&amp;"%",IF(J37=9,RANDBETWEEN(4,6)&amp;"%",IF(J37=10,RANDBETWEEN(2,4)&amp;"%","")))))))))))</f>
        <v>24%</v>
      </c>
      <c r="Q37" s="123" t="e">
        <f ca="1">IFERROR(L37*(M37+N37)*O37*P37,RANDBETWEEN(1,2)%*L37*(M37+N37)*O37)</f>
        <v>#REF!</v>
      </c>
      <c r="R37" s="125">
        <f>VLOOKUP(D:D,ranking!W:X,2,0)</f>
        <v>0.6</v>
      </c>
      <c r="S37" s="126" t="e">
        <f ca="1">R37*Q37</f>
        <v>#REF!</v>
      </c>
      <c r="T37" s="123">
        <v>5.126562540412726</v>
      </c>
    </row>
    <row r="38" spans="1:21" x14ac:dyDescent="0.25">
      <c r="A38" s="98" t="s">
        <v>1057</v>
      </c>
      <c r="B38" s="98" t="s">
        <v>85</v>
      </c>
      <c r="C38" s="98" t="s">
        <v>64</v>
      </c>
      <c r="D38" s="98" t="s">
        <v>432</v>
      </c>
      <c r="E38" s="119" t="s">
        <v>211</v>
      </c>
      <c r="F38" s="46" t="s">
        <v>213</v>
      </c>
      <c r="G38" s="98" t="s">
        <v>1911</v>
      </c>
      <c r="H38" s="98" t="s">
        <v>40</v>
      </c>
      <c r="I38" s="106">
        <v>46164</v>
      </c>
      <c r="J38" s="119">
        <v>2</v>
      </c>
      <c r="K38" s="98" t="s">
        <v>980</v>
      </c>
      <c r="L38" s="123">
        <f>VLOOKUP($C38&amp;$E38,'Updated SES'!A:N,14,0)</f>
        <v>36.498239999999996</v>
      </c>
      <c r="M38" s="124">
        <f>VLOOKUP($K38,'Genre Penetration'!A:B,2,0)*VLOOKUP($C38&amp;$E38,'Updated SES'!A:I,9,0)</f>
        <v>0.312</v>
      </c>
      <c r="N38" s="124">
        <f>VLOOKUP(K:K,'Genre Penetration'!A:C,3,0)*VLOOKUP($C38&amp;$E38,'Updated SES'!A:J,10,0)</f>
        <v>0.192</v>
      </c>
      <c r="O38" s="124">
        <f>VLOOKUP($B38,'Language Penetration'!$B$1:$BE$14,MATCH('Compile data Working'!$H103,'Language Penetration'!$B$1:$BE$1,0),0)</f>
        <v>0.09</v>
      </c>
      <c r="P38" s="124" t="str">
        <f ca="1">IF(ISBLANK(J38),RANDBETWEEN(1,2)&amp;"%",IF(J38=1,RANDBETWEEN(35,40)&amp;"%",IF(J38=2,RANDBETWEEN(30,35)&amp;"%",IF(J38=3,RANDBETWEEN(25,30)&amp;"%",IF(J38=4,RANDBETWEEN(20,25)&amp;"%",IF(J38=5,RANDBETWEEN(15,20)&amp;"%",IF(J38=6,RANDBETWEEN(10,15)&amp;"%",IF(J38=7,RANDBETWEEN(8,10)&amp;"%",IF(J38=8,RANDBETWEEN(6,8)&amp;"%",IF(J38=9,RANDBETWEEN(4,6)&amp;"%",IF(J38=10,RANDBETWEEN(2,4)&amp;"%","")))))))))))</f>
        <v>33%</v>
      </c>
      <c r="Q38" s="123">
        <f ca="1">IFERROR(L38*(M38+N38)*O38*P38,RANDBETWEEN(1,2)%*L38*(M38+N38)*O38)</f>
        <v>0.54633485491199996</v>
      </c>
      <c r="R38" s="125">
        <f>VLOOKUP(D:D,ranking!W:X,2,0)</f>
        <v>0.8</v>
      </c>
      <c r="S38" s="126">
        <f ca="1">R38*Q38</f>
        <v>0.4370678839296</v>
      </c>
      <c r="T38" s="123">
        <v>5.1048458972070199</v>
      </c>
    </row>
    <row r="39" spans="1:21" x14ac:dyDescent="0.25">
      <c r="A39" s="98" t="s">
        <v>2005</v>
      </c>
      <c r="B39" s="98" t="s">
        <v>85</v>
      </c>
      <c r="C39" s="46" t="s">
        <v>906</v>
      </c>
      <c r="D39" s="46" t="s">
        <v>1012</v>
      </c>
      <c r="E39" s="46" t="s">
        <v>211</v>
      </c>
      <c r="F39" s="46" t="s">
        <v>215</v>
      </c>
      <c r="G39" s="46" t="s">
        <v>2012</v>
      </c>
      <c r="H39" s="46" t="s">
        <v>20</v>
      </c>
      <c r="I39" s="53">
        <v>46173</v>
      </c>
      <c r="J39" s="98"/>
      <c r="K39" s="46" t="s">
        <v>2096</v>
      </c>
      <c r="L39" s="123">
        <f>VLOOKUP($C39&amp;$E39,'Updated SES'!A:N,14,0)</f>
        <v>127.11702000000001</v>
      </c>
      <c r="M39" s="124" t="e">
        <f>VLOOKUP($K39,'Genre Penetration'!A:B,2,0)*VLOOKUP($C39&amp;$E39,'Updated SES'!A:I,9,0)</f>
        <v>#N/A</v>
      </c>
      <c r="N39" s="124" t="e">
        <f>VLOOKUP(K:K,'Genre Penetration'!A:C,3,0)*VLOOKUP($C39&amp;$E39,'Updated SES'!A:J,10,0)</f>
        <v>#N/A</v>
      </c>
      <c r="O39" s="124">
        <f>VLOOKUP($B39,'Language Penetration'!$B$1:$BE$14,MATCH('Compile data Working'!$H226,'Language Penetration'!$B$1:$BE$1,0),0)</f>
        <v>0.6</v>
      </c>
      <c r="P39" s="124" t="str">
        <f ca="1">IF(ISBLANK(J39),RANDBETWEEN(1,2)&amp;"%",IF(J39=1,RANDBETWEEN(35,40)&amp;"%",IF(J39=2,RANDBETWEEN(30,35)&amp;"%",IF(J39=3,RANDBETWEEN(25,30)&amp;"%",IF(J39=4,RANDBETWEEN(20,25)&amp;"%",IF(J39=5,RANDBETWEEN(15,20)&amp;"%",IF(J39=6,RANDBETWEEN(10,15)&amp;"%",IF(J39=7,RANDBETWEEN(8,10)&amp;"%",IF(J39=8,RANDBETWEEN(6,8)&amp;"%",IF(J39=9,RANDBETWEEN(4,6)&amp;"%",IF(J39=10,RANDBETWEEN(2,4)&amp;"%","")))))))))))</f>
        <v>2%</v>
      </c>
      <c r="Q39" s="123" t="e">
        <f ca="1">IFERROR(L39*(M39+N39)*O39*P39,RANDBETWEEN(1,2)%*L39*(M39+N39)*O39)</f>
        <v>#N/A</v>
      </c>
      <c r="R39" s="125">
        <f>VLOOKUP(D:D,ranking!W:X,2,0)</f>
        <v>0.6</v>
      </c>
      <c r="S39" s="126" t="e">
        <f ca="1">R39*Q39</f>
        <v>#N/A</v>
      </c>
      <c r="T39" s="123">
        <v>5.0588902346064559</v>
      </c>
    </row>
    <row r="40" spans="1:21" x14ac:dyDescent="0.25">
      <c r="A40" s="98" t="s">
        <v>2005</v>
      </c>
      <c r="B40" s="98" t="s">
        <v>85</v>
      </c>
      <c r="C40" s="46" t="s">
        <v>906</v>
      </c>
      <c r="D40" s="98" t="s">
        <v>1012</v>
      </c>
      <c r="E40" s="46" t="s">
        <v>211</v>
      </c>
      <c r="F40" s="46" t="s">
        <v>215</v>
      </c>
      <c r="G40" s="46" t="s">
        <v>2028</v>
      </c>
      <c r="H40" s="46" t="s">
        <v>20</v>
      </c>
      <c r="I40" s="53">
        <v>46174</v>
      </c>
      <c r="J40" s="98"/>
      <c r="K40" s="46" t="s">
        <v>124</v>
      </c>
      <c r="L40" s="123">
        <f>VLOOKUP($C40&amp;$E40,'Updated SES'!A:N,14,0)</f>
        <v>127.11702000000001</v>
      </c>
      <c r="M40" s="124">
        <f>VLOOKUP($K40,'Genre Penetration'!A:B,2,0)*VLOOKUP($C40&amp;$E40,'Updated SES'!A:I,9,0)</f>
        <v>0.30149999999999999</v>
      </c>
      <c r="N40" s="124">
        <f>VLOOKUP(K:K,'Genre Penetration'!A:C,3,0)*VLOOKUP($C40&amp;$E40,'Updated SES'!A:J,10,0)</f>
        <v>0.18149999999999999</v>
      </c>
      <c r="O40" s="124">
        <f>VLOOKUP($B40,'Language Penetration'!$B$1:$BE$14,MATCH('Compile data Working'!$H235,'Language Penetration'!$B$1:$BE$1,0),0)</f>
        <v>0.6</v>
      </c>
      <c r="P40" s="124" t="str">
        <f ca="1">IF(ISBLANK(J40),RANDBETWEEN(1,2)&amp;"%",IF(J40=1,RANDBETWEEN(35,40)&amp;"%",IF(J40=2,RANDBETWEEN(30,35)&amp;"%",IF(J40=3,RANDBETWEEN(25,30)&amp;"%",IF(J40=4,RANDBETWEEN(20,25)&amp;"%",IF(J40=5,RANDBETWEEN(15,20)&amp;"%",IF(J40=6,RANDBETWEEN(10,15)&amp;"%",IF(J40=7,RANDBETWEEN(8,10)&amp;"%",IF(J40=8,RANDBETWEEN(6,8)&amp;"%",IF(J40=9,RANDBETWEEN(4,6)&amp;"%",IF(J40=10,RANDBETWEEN(2,4)&amp;"%","")))))))))))</f>
        <v>1%</v>
      </c>
      <c r="Q40" s="123">
        <f ca="1">IFERROR(L40*(M40+N40)*O40*P40,RANDBETWEEN(1,2)%*L40*(M40+N40)*O40)</f>
        <v>0.36838512396</v>
      </c>
      <c r="R40" s="125">
        <f>VLOOKUP(D:D,ranking!W:X,2,0)</f>
        <v>0.6</v>
      </c>
      <c r="S40" s="126">
        <f ca="1">R40*Q40</f>
        <v>0.221031074376</v>
      </c>
      <c r="T40" s="123">
        <v>4.9604708200232688</v>
      </c>
    </row>
    <row r="41" spans="1:21" x14ac:dyDescent="0.25">
      <c r="A41" s="98" t="s">
        <v>2005</v>
      </c>
      <c r="B41" s="98" t="s">
        <v>85</v>
      </c>
      <c r="C41" s="46" t="s">
        <v>906</v>
      </c>
      <c r="D41" s="98" t="s">
        <v>434</v>
      </c>
      <c r="E41" s="46" t="s">
        <v>211</v>
      </c>
      <c r="F41" s="46" t="s">
        <v>213</v>
      </c>
      <c r="G41" s="46" t="s">
        <v>2022</v>
      </c>
      <c r="H41" s="46" t="s">
        <v>21</v>
      </c>
      <c r="I41" s="53">
        <v>46174</v>
      </c>
      <c r="J41" s="98"/>
      <c r="K41" s="46" t="s">
        <v>2098</v>
      </c>
      <c r="L41" s="123">
        <f>VLOOKUP($C41&amp;$E41,'Updated SES'!A:N,14,0)</f>
        <v>127.11702000000001</v>
      </c>
      <c r="M41" s="124" t="e">
        <f>VLOOKUP($K41,'Genre Penetration'!A:B,2,0)*VLOOKUP($C41&amp;$E41,'Updated SES'!A:I,9,0)</f>
        <v>#N/A</v>
      </c>
      <c r="N41" s="124" t="e">
        <f>VLOOKUP(K:K,'Genre Penetration'!A:C,3,0)*VLOOKUP($C41&amp;$E41,'Updated SES'!A:J,10,0)</f>
        <v>#N/A</v>
      </c>
      <c r="O41" s="124">
        <v>7.0000000000000001E-3</v>
      </c>
      <c r="P41" s="124" t="str">
        <f ca="1">IF(ISBLANK(J41),RANDBETWEEN(1,2)&amp;"%",IF(J41=1,RANDBETWEEN(35,40)&amp;"%",IF(J41=2,RANDBETWEEN(30,35)&amp;"%",IF(J41=3,RANDBETWEEN(25,30)&amp;"%",IF(J41=4,RANDBETWEEN(20,25)&amp;"%",IF(J41=5,RANDBETWEEN(15,20)&amp;"%",IF(J41=6,RANDBETWEEN(10,15)&amp;"%",IF(J41=7,RANDBETWEEN(8,10)&amp;"%",IF(J41=8,RANDBETWEEN(6,8)&amp;"%",IF(J41=9,RANDBETWEEN(4,6)&amp;"%",IF(J41=10,RANDBETWEEN(2,4)&amp;"%","")))))))))))</f>
        <v>1%</v>
      </c>
      <c r="Q41" s="123" t="e">
        <f ca="1">IFERROR(L41*(M41+N41)*O41*P41,RANDBETWEEN(1,2)%*L41*(M41+N41)*O41)</f>
        <v>#N/A</v>
      </c>
      <c r="R41" s="125">
        <f>VLOOKUP(D:D,ranking!W:X,2,0)</f>
        <v>0.7</v>
      </c>
      <c r="S41" s="126" t="e">
        <f ca="1">R41*Q41</f>
        <v>#N/A</v>
      </c>
      <c r="T41" s="123">
        <v>4.9499170371824022</v>
      </c>
    </row>
    <row r="42" spans="1:21" x14ac:dyDescent="0.25">
      <c r="A42" s="98" t="s">
        <v>2005</v>
      </c>
      <c r="B42" s="98" t="s">
        <v>85</v>
      </c>
      <c r="C42" s="46" t="s">
        <v>123</v>
      </c>
      <c r="D42" s="98" t="s">
        <v>434</v>
      </c>
      <c r="E42" s="46" t="s">
        <v>211</v>
      </c>
      <c r="F42" s="46" t="s">
        <v>213</v>
      </c>
      <c r="G42" s="46" t="s">
        <v>2063</v>
      </c>
      <c r="H42" s="46" t="s">
        <v>21</v>
      </c>
      <c r="I42" s="53">
        <v>46177</v>
      </c>
      <c r="J42" s="98">
        <v>7</v>
      </c>
      <c r="K42" s="46" t="s">
        <v>420</v>
      </c>
      <c r="L42" s="123">
        <f>VLOOKUP($C42&amp;$E42,'Updated SES'!A:N,14,0)</f>
        <v>55.459200000000003</v>
      </c>
      <c r="M42" s="124">
        <f>VLOOKUP($K42,'Genre Penetration'!A:B,2,0)*VLOOKUP($C42&amp;$E42,'Updated SES'!A:I,9,0)</f>
        <v>0.30380000000000001</v>
      </c>
      <c r="N42" s="124">
        <f>VLOOKUP(K:K,'Genre Penetration'!A:C,3,0)*VLOOKUP($C42&amp;$E42,'Updated SES'!A:J,10,0)</f>
        <v>0.1938</v>
      </c>
      <c r="O42" s="124">
        <f>VLOOKUP($B42,'Language Penetration'!$B$1:$BE$14,MATCH('Compile data Working'!$H125,'Language Penetration'!$B$1:$BE$1,0),0)</f>
        <v>0.1</v>
      </c>
      <c r="P42" s="124" t="str">
        <f ca="1">IF(ISBLANK(J42),RANDBETWEEN(1,2)&amp;"%",IF(J42=1,RANDBETWEEN(35,40)&amp;"%",IF(J42=2,RANDBETWEEN(30,35)&amp;"%",IF(J42=3,RANDBETWEEN(25,30)&amp;"%",IF(J42=4,RANDBETWEEN(20,25)&amp;"%",IF(J42=5,RANDBETWEEN(15,20)&amp;"%",IF(J42=6,RANDBETWEEN(10,15)&amp;"%",IF(J42=7,RANDBETWEEN(8,10)&amp;"%",IF(J42=8,RANDBETWEEN(6,8)&amp;"%",IF(J42=9,RANDBETWEEN(4,6)&amp;"%",IF(J42=10,RANDBETWEEN(2,4)&amp;"%","")))))))))))</f>
        <v>9%</v>
      </c>
      <c r="Q42" s="123">
        <f ca="1">IFERROR(L42*(M42+N42)*O42*P42,RANDBETWEEN(1,2)%*L42*(M42+N42)*O42)</f>
        <v>0.24836848128000005</v>
      </c>
      <c r="R42" s="125">
        <f>VLOOKUP(D:D,ranking!W:X,2,0)</f>
        <v>0.7</v>
      </c>
      <c r="S42" s="126">
        <f ca="1">R42*Q42</f>
        <v>0.17385793689600001</v>
      </c>
      <c r="T42" s="123">
        <v>4.9446146840621674</v>
      </c>
      <c r="U42">
        <v>4.9446146840621674</v>
      </c>
    </row>
    <row r="43" spans="1:21" x14ac:dyDescent="0.25">
      <c r="A43" s="98" t="s">
        <v>1057</v>
      </c>
      <c r="B43" s="98" t="s">
        <v>85</v>
      </c>
      <c r="C43" s="46" t="s">
        <v>123</v>
      </c>
      <c r="D43" s="46" t="s">
        <v>1013</v>
      </c>
      <c r="E43" s="46" t="s">
        <v>211</v>
      </c>
      <c r="F43" s="46" t="s">
        <v>213</v>
      </c>
      <c r="G43" s="46" t="s">
        <v>1862</v>
      </c>
      <c r="H43" s="46" t="s">
        <v>28</v>
      </c>
      <c r="I43" s="53">
        <v>46157</v>
      </c>
      <c r="J43" s="119">
        <v>9</v>
      </c>
      <c r="K43" s="46" t="s">
        <v>28</v>
      </c>
      <c r="L43" s="123">
        <f>VLOOKUP($C43&amp;$E43,'Updated SES'!A:N,14,0)</f>
        <v>55.459200000000003</v>
      </c>
      <c r="M43" s="124" t="e">
        <f>VLOOKUP($K43,'Genre Penetration'!A:B,2,0)*VLOOKUP($C43&amp;$E43,'Updated SES'!A:I,9,0)</f>
        <v>#N/A</v>
      </c>
      <c r="N43" s="124" t="e">
        <f>VLOOKUP(K:K,'Genre Penetration'!A:C,3,0)*VLOOKUP($C43&amp;$E43,'Updated SES'!A:J,10,0)</f>
        <v>#N/A</v>
      </c>
      <c r="O43" s="124" t="e">
        <f>VLOOKUP($B43,'Language Penetration'!$B$1:$BE$14,MATCH('Compile data Working'!$H10,'Language Penetration'!$B$1:$BE$1,0),0)</f>
        <v>#N/A</v>
      </c>
      <c r="P43" s="124" t="str">
        <f ca="1">IF(ISBLANK(J43),RANDBETWEEN(1,2)&amp;"%",IF(J43=1,RANDBETWEEN(35,40)&amp;"%",IF(J43=2,RANDBETWEEN(30,35)&amp;"%",IF(J43=3,RANDBETWEEN(25,30)&amp;"%",IF(J43=4,RANDBETWEEN(20,25)&amp;"%",IF(J43=5,RANDBETWEEN(15,20)&amp;"%",IF(J43=6,RANDBETWEEN(10,15)&amp;"%",IF(J43=7,RANDBETWEEN(8,10)&amp;"%",IF(J43=8,RANDBETWEEN(6,8)&amp;"%",IF(J43=9,RANDBETWEEN(4,6)&amp;"%",IF(J43=10,RANDBETWEEN(2,4)&amp;"%","")))))))))))</f>
        <v>4%</v>
      </c>
      <c r="Q43" s="123" t="e">
        <f ca="1">IFERROR(L43*(M43+N43)*O43*P43,RANDBETWEEN(1,2)%*L43*(M43+N43)*O43)</f>
        <v>#N/A</v>
      </c>
      <c r="R43" s="125">
        <f>VLOOKUP(D:D,ranking!W:X,2,0)</f>
        <v>0.8</v>
      </c>
      <c r="S43" s="126" t="e">
        <f ca="1">R43*Q43</f>
        <v>#N/A</v>
      </c>
      <c r="T43" s="123">
        <v>4.9361259027116997</v>
      </c>
    </row>
    <row r="44" spans="1:21" x14ac:dyDescent="0.25">
      <c r="A44" s="98" t="s">
        <v>2005</v>
      </c>
      <c r="B44" s="98" t="s">
        <v>85</v>
      </c>
      <c r="C44" s="46" t="s">
        <v>906</v>
      </c>
      <c r="D44" s="98" t="s">
        <v>434</v>
      </c>
      <c r="E44" s="46" t="s">
        <v>211</v>
      </c>
      <c r="F44" s="46" t="s">
        <v>213</v>
      </c>
      <c r="G44" s="46" t="s">
        <v>2031</v>
      </c>
      <c r="H44" s="46" t="s">
        <v>21</v>
      </c>
      <c r="I44" s="53">
        <v>46174</v>
      </c>
      <c r="J44" s="98"/>
      <c r="K44" s="46" t="s">
        <v>449</v>
      </c>
      <c r="L44" s="123">
        <f>VLOOKUP($C44&amp;$E44,'Updated SES'!A:N,14,0)</f>
        <v>127.11702000000001</v>
      </c>
      <c r="M44" s="124">
        <f>VLOOKUP($K44,'Genre Penetration'!A:B,2,0)*VLOOKUP($C44&amp;$E44,'Updated SES'!A:I,9,0)</f>
        <v>0.38189999999999991</v>
      </c>
      <c r="N44" s="124">
        <f>VLOOKUP(K:K,'Genre Penetration'!A:C,3,0)*VLOOKUP($C44&amp;$E44,'Updated SES'!A:J,10,0)</f>
        <v>0.1419</v>
      </c>
      <c r="O44" s="124" t="e">
        <f>VLOOKUP($B44,'Language Penetration'!$B$1:$BE$14,MATCH('Compile data Working'!$H77,'Language Penetration'!$B$1:$BE$1,0),0)</f>
        <v>#N/A</v>
      </c>
      <c r="P44" s="124" t="str">
        <f ca="1">IF(ISBLANK(J44),RANDBETWEEN(1,2)&amp;"%",IF(J44=1,RANDBETWEEN(35,40)&amp;"%",IF(J44=2,RANDBETWEEN(30,35)&amp;"%",IF(J44=3,RANDBETWEEN(25,30)&amp;"%",IF(J44=4,RANDBETWEEN(20,25)&amp;"%",IF(J44=5,RANDBETWEEN(15,20)&amp;"%",IF(J44=6,RANDBETWEEN(10,15)&amp;"%",IF(J44=7,RANDBETWEEN(8,10)&amp;"%",IF(J44=8,RANDBETWEEN(6,8)&amp;"%",IF(J44=9,RANDBETWEEN(4,6)&amp;"%",IF(J44=10,RANDBETWEEN(2,4)&amp;"%","")))))))))))</f>
        <v>2%</v>
      </c>
      <c r="Q44" s="123" t="e">
        <f ca="1">IFERROR(L44*(M44+N44)*O44*P44,RANDBETWEEN(1,2)%*L44*(M44+N44)*O44)</f>
        <v>#N/A</v>
      </c>
      <c r="R44" s="125">
        <f>VLOOKUP(D:D,ranking!W:X,2,0)</f>
        <v>0.7</v>
      </c>
      <c r="S44" s="126" t="e">
        <f ca="1">R44*Q44</f>
        <v>#N/A</v>
      </c>
      <c r="T44" s="123">
        <v>4.9300837944905593</v>
      </c>
    </row>
    <row r="45" spans="1:21" x14ac:dyDescent="0.25">
      <c r="A45" s="98" t="s">
        <v>1057</v>
      </c>
      <c r="B45" s="98" t="s">
        <v>85</v>
      </c>
      <c r="C45" s="46" t="s">
        <v>123</v>
      </c>
      <c r="D45" s="46" t="s">
        <v>431</v>
      </c>
      <c r="E45" s="46" t="s">
        <v>211</v>
      </c>
      <c r="F45" s="46" t="s">
        <v>215</v>
      </c>
      <c r="G45" s="46" t="s">
        <v>1881</v>
      </c>
      <c r="H45" s="46" t="s">
        <v>40</v>
      </c>
      <c r="I45" s="53">
        <v>46143</v>
      </c>
      <c r="J45" s="119">
        <v>7</v>
      </c>
      <c r="K45" s="46" t="s">
        <v>97</v>
      </c>
      <c r="L45" s="123">
        <f>VLOOKUP($C45&amp;$E45,'Updated SES'!A:N,14,0)</f>
        <v>55.459200000000003</v>
      </c>
      <c r="M45" s="124">
        <f>VLOOKUP($K45,'Genre Penetration'!A:B,2,0)*VLOOKUP($C45&amp;$E45,'Updated SES'!A:I,9,0)</f>
        <v>0.3332</v>
      </c>
      <c r="N45" s="124">
        <f>VLOOKUP(K:K,'Genre Penetration'!A:C,3,0)*VLOOKUP($C45&amp;$E45,'Updated SES'!A:J,10,0)</f>
        <v>0.16320000000000001</v>
      </c>
      <c r="O45" s="124" t="e">
        <f>VLOOKUP($B45,'Language Penetration'!$B$1:$BE$14,MATCH('Compile data Working'!$H33,'Language Penetration'!$B$1:$BE$1,0),0)</f>
        <v>#N/A</v>
      </c>
      <c r="P45" s="124" t="str">
        <f ca="1">IF(ISBLANK(J45),RANDBETWEEN(1,2)&amp;"%",IF(J45=1,RANDBETWEEN(35,40)&amp;"%",IF(J45=2,RANDBETWEEN(30,35)&amp;"%",IF(J45=3,RANDBETWEEN(25,30)&amp;"%",IF(J45=4,RANDBETWEEN(20,25)&amp;"%",IF(J45=5,RANDBETWEEN(15,20)&amp;"%",IF(J45=6,RANDBETWEEN(10,15)&amp;"%",IF(J45=7,RANDBETWEEN(8,10)&amp;"%",IF(J45=8,RANDBETWEEN(6,8)&amp;"%",IF(J45=9,RANDBETWEEN(4,6)&amp;"%",IF(J45=10,RANDBETWEEN(2,4)&amp;"%","")))))))))))</f>
        <v>9%</v>
      </c>
      <c r="Q45" s="123" t="e">
        <f ca="1">IFERROR(L45*(M45+N45)*O45*P45,RANDBETWEEN(1,2)%*L45*(M45+N45)*O45)</f>
        <v>#N/A</v>
      </c>
      <c r="R45" s="125">
        <f>VLOOKUP(D:D,ranking!W:X,2,0)</f>
        <v>0.6</v>
      </c>
      <c r="S45" s="126" t="e">
        <f ca="1">R45*Q45</f>
        <v>#N/A</v>
      </c>
      <c r="T45" s="123">
        <v>4.8711287177470464</v>
      </c>
    </row>
    <row r="46" spans="1:21" x14ac:dyDescent="0.25">
      <c r="A46" s="98" t="s">
        <v>2005</v>
      </c>
      <c r="B46" s="98" t="s">
        <v>85</v>
      </c>
      <c r="C46" s="46" t="s">
        <v>123</v>
      </c>
      <c r="D46" s="98" t="s">
        <v>434</v>
      </c>
      <c r="E46" s="46" t="s">
        <v>211</v>
      </c>
      <c r="F46" s="46" t="s">
        <v>213</v>
      </c>
      <c r="G46" s="46" t="s">
        <v>2050</v>
      </c>
      <c r="H46" s="46" t="s">
        <v>2092</v>
      </c>
      <c r="I46" s="53">
        <v>46176</v>
      </c>
      <c r="J46" s="98"/>
      <c r="K46" s="46" t="s">
        <v>52</v>
      </c>
      <c r="L46" s="123">
        <f>VLOOKUP($C46&amp;$E46,'Updated SES'!A:N,14,0)</f>
        <v>55.459200000000003</v>
      </c>
      <c r="M46" s="124">
        <f>VLOOKUP($K46,'Genre Penetration'!A:B,2,0)*VLOOKUP($C46&amp;$E46,'Updated SES'!A:I,9,0)</f>
        <v>0.29399999999999998</v>
      </c>
      <c r="N46" s="124">
        <f>VLOOKUP(K:K,'Genre Penetration'!A:C,3,0)*VLOOKUP($C46&amp;$E46,'Updated SES'!A:J,10,0)</f>
        <v>0.20400000000000001</v>
      </c>
      <c r="O46" s="124" t="e">
        <f>VLOOKUP($B46,'Language Penetration'!$B$1:$BE$14,MATCH('Compile data Working'!$H192,'Language Penetration'!$B$1:$BE$1,0),0)</f>
        <v>#N/A</v>
      </c>
      <c r="P46" s="124" t="str">
        <f ca="1">IF(ISBLANK(J46),RANDBETWEEN(1,2)&amp;"%",IF(J46=1,RANDBETWEEN(35,40)&amp;"%",IF(J46=2,RANDBETWEEN(30,35)&amp;"%",IF(J46=3,RANDBETWEEN(25,30)&amp;"%",IF(J46=4,RANDBETWEEN(20,25)&amp;"%",IF(J46=5,RANDBETWEEN(15,20)&amp;"%",IF(J46=6,RANDBETWEEN(10,15)&amp;"%",IF(J46=7,RANDBETWEEN(8,10)&amp;"%",IF(J46=8,RANDBETWEEN(6,8)&amp;"%",IF(J46=9,RANDBETWEEN(4,6)&amp;"%",IF(J46=10,RANDBETWEEN(2,4)&amp;"%","")))))))))))</f>
        <v>2%</v>
      </c>
      <c r="Q46" s="123" t="e">
        <f ca="1">IFERROR(L46*(M46+N46)*O46*P46,RANDBETWEEN(1,2)%*L46*(M46+N46)*O46)</f>
        <v>#N/A</v>
      </c>
      <c r="R46" s="125">
        <f>VLOOKUP(D:D,ranking!W:X,2,0)</f>
        <v>0.7</v>
      </c>
      <c r="S46" s="126" t="e">
        <f ca="1">R46*Q46</f>
        <v>#N/A</v>
      </c>
      <c r="T46" s="123">
        <v>4.8350416718262244</v>
      </c>
    </row>
    <row r="47" spans="1:21" x14ac:dyDescent="0.25">
      <c r="A47" s="98" t="s">
        <v>1057</v>
      </c>
      <c r="B47" s="98" t="s">
        <v>85</v>
      </c>
      <c r="C47" s="98" t="s">
        <v>906</v>
      </c>
      <c r="D47" s="98" t="s">
        <v>434</v>
      </c>
      <c r="E47" s="46" t="s">
        <v>211</v>
      </c>
      <c r="F47" s="46" t="s">
        <v>213</v>
      </c>
      <c r="G47" s="46" t="s">
        <v>1910</v>
      </c>
      <c r="H47" s="46" t="s">
        <v>40</v>
      </c>
      <c r="I47" s="53">
        <v>46164</v>
      </c>
      <c r="J47" s="119">
        <v>2</v>
      </c>
      <c r="K47" s="46" t="s">
        <v>87</v>
      </c>
      <c r="L47" s="123">
        <f>VLOOKUP($C47&amp;$E47,'Updated SES'!A:N,14,0)</f>
        <v>127.11702000000001</v>
      </c>
      <c r="M47" s="124">
        <f>VLOOKUP($K47,'Genre Penetration'!A:B,2,0)*VLOOKUP($C47&amp;$E47,'Updated SES'!A:I,9,0)</f>
        <v>0.40869999999999995</v>
      </c>
      <c r="N47" s="124">
        <f>VLOOKUP(K:K,'Genre Penetration'!A:C,3,0)*VLOOKUP($C47&amp;$E47,'Updated SES'!A:J,10,0)</f>
        <v>0.12869999999999998</v>
      </c>
      <c r="O47" s="124">
        <f>VLOOKUP($B47,'Language Penetration'!$B$1:$BE$14,MATCH('Compile data Working'!$H224,'Language Penetration'!$B$1:$BE$1,0),0)</f>
        <v>0.6</v>
      </c>
      <c r="P47" s="124" t="str">
        <f ca="1">IF(ISBLANK(J47),RANDBETWEEN(1,2)&amp;"%",IF(J47=1,RANDBETWEEN(35,40)&amp;"%",IF(J47=2,RANDBETWEEN(30,35)&amp;"%",IF(J47=3,RANDBETWEEN(25,30)&amp;"%",IF(J47=4,RANDBETWEEN(20,25)&amp;"%",IF(J47=5,RANDBETWEEN(15,20)&amp;"%",IF(J47=6,RANDBETWEEN(10,15)&amp;"%",IF(J47=7,RANDBETWEEN(8,10)&amp;"%",IF(J47=8,RANDBETWEEN(6,8)&amp;"%",IF(J47=9,RANDBETWEEN(4,6)&amp;"%",IF(J47=10,RANDBETWEEN(2,4)&amp;"%","")))))))))))</f>
        <v>35%</v>
      </c>
      <c r="Q47" s="123">
        <f ca="1">IFERROR(L47*(M47+N47)*O47*P47,RANDBETWEEN(1,2)%*L47*(M47+N47)*O47)</f>
        <v>14.345664175079996</v>
      </c>
      <c r="R47" s="125">
        <f>VLOOKUP(D:D,ranking!W:X,2,0)</f>
        <v>0.7</v>
      </c>
      <c r="S47" s="126">
        <f ca="1">R47*Q47</f>
        <v>10.041964922555996</v>
      </c>
      <c r="T47" s="123">
        <v>4.7707311710912101</v>
      </c>
    </row>
    <row r="48" spans="1:21" x14ac:dyDescent="0.25">
      <c r="A48" s="98" t="s">
        <v>2005</v>
      </c>
      <c r="B48" s="98" t="s">
        <v>85</v>
      </c>
      <c r="C48" s="46" t="s">
        <v>906</v>
      </c>
      <c r="D48" s="98" t="s">
        <v>1012</v>
      </c>
      <c r="E48" s="46" t="s">
        <v>211</v>
      </c>
      <c r="F48" s="46" t="s">
        <v>215</v>
      </c>
      <c r="G48" s="46" t="s">
        <v>2014</v>
      </c>
      <c r="H48" s="46" t="s">
        <v>20</v>
      </c>
      <c r="I48" s="53">
        <v>46173</v>
      </c>
      <c r="J48" s="98"/>
      <c r="K48" s="46" t="s">
        <v>1852</v>
      </c>
      <c r="L48" s="123">
        <f>VLOOKUP($C48&amp;$E48,'Updated SES'!A:N,14,0)</f>
        <v>127.11702000000001</v>
      </c>
      <c r="M48" s="124">
        <f>VLOOKUP($K48,'Genre Penetration'!A:B,2,0)*VLOOKUP($C48&amp;$E48,'Updated SES'!A:I,9,0)</f>
        <v>0.26799999999999996</v>
      </c>
      <c r="N48" s="124">
        <f>VLOOKUP(K:K,'Genre Penetration'!A:C,3,0)*VLOOKUP($C48&amp;$E48,'Updated SES'!A:J,10,0)</f>
        <v>0.19799999999999998</v>
      </c>
      <c r="O48" s="124">
        <v>8.0000000000000002E-3</v>
      </c>
      <c r="P48" s="124" t="str">
        <f ca="1">IF(ISBLANK(J48),RANDBETWEEN(1,2)&amp;"%",IF(J48=1,RANDBETWEEN(35,40)&amp;"%",IF(J48=2,RANDBETWEEN(30,35)&amp;"%",IF(J48=3,RANDBETWEEN(25,30)&amp;"%",IF(J48=4,RANDBETWEEN(20,25)&amp;"%",IF(J48=5,RANDBETWEEN(15,20)&amp;"%",IF(J48=6,RANDBETWEEN(10,15)&amp;"%",IF(J48=7,RANDBETWEEN(8,10)&amp;"%",IF(J48=8,RANDBETWEEN(6,8)&amp;"%",IF(J48=9,RANDBETWEEN(4,6)&amp;"%",IF(J48=10,RANDBETWEEN(2,4)&amp;"%","")))))))))))</f>
        <v>2%</v>
      </c>
      <c r="Q48" s="123">
        <f ca="1">IFERROR(L48*(M48+N48)*O48*P48,RANDBETWEEN(1,2)%*L48*(M48+N48)*O48)</f>
        <v>9.4778450112000014E-3</v>
      </c>
      <c r="R48" s="125">
        <f>VLOOKUP(D:D,ranking!W:X,2,0)</f>
        <v>0.6</v>
      </c>
      <c r="S48" s="126">
        <f ca="1">R48*Q48</f>
        <v>5.6867070067200005E-3</v>
      </c>
      <c r="T48" s="123">
        <v>4.7471107760791744</v>
      </c>
    </row>
    <row r="49" spans="1:21" x14ac:dyDescent="0.25">
      <c r="A49" s="98" t="s">
        <v>2005</v>
      </c>
      <c r="B49" s="98" t="s">
        <v>85</v>
      </c>
      <c r="C49" s="46" t="s">
        <v>64</v>
      </c>
      <c r="D49" s="98" t="s">
        <v>434</v>
      </c>
      <c r="E49" s="46" t="s">
        <v>211</v>
      </c>
      <c r="F49" s="46" t="s">
        <v>213</v>
      </c>
      <c r="G49" s="46" t="s">
        <v>2052</v>
      </c>
      <c r="H49" s="46" t="s">
        <v>20</v>
      </c>
      <c r="I49" s="53">
        <v>46176</v>
      </c>
      <c r="J49" s="98"/>
      <c r="K49" s="46" t="s">
        <v>168</v>
      </c>
      <c r="L49" s="123">
        <f>VLOOKUP($C49&amp;$E49,'Updated SES'!A:N,14,0)</f>
        <v>36.498239999999996</v>
      </c>
      <c r="M49" s="124">
        <f>VLOOKUP($K49,'Genre Penetration'!A:B,2,0)*VLOOKUP($C49&amp;$E49,'Updated SES'!A:I,9,0)</f>
        <v>0.33280000000000004</v>
      </c>
      <c r="N49" s="124">
        <f>VLOOKUP(K:K,'Genre Penetration'!A:C,3,0)*VLOOKUP($C49&amp;$E49,'Updated SES'!A:J,10,0)</f>
        <v>0.17279999999999998</v>
      </c>
      <c r="O49" s="124" t="e">
        <f>VLOOKUP($B49,'Language Penetration'!$B$1:$BE$14,MATCH('Compile data Working'!$H117,'Language Penetration'!$B$1:$BE$1,0),0)</f>
        <v>#N/A</v>
      </c>
      <c r="P49" s="124" t="str">
        <f ca="1">IF(ISBLANK(J49),RANDBETWEEN(1,2)&amp;"%",IF(J49=1,RANDBETWEEN(35,40)&amp;"%",IF(J49=2,RANDBETWEEN(30,35)&amp;"%",IF(J49=3,RANDBETWEEN(25,30)&amp;"%",IF(J49=4,RANDBETWEEN(20,25)&amp;"%",IF(J49=5,RANDBETWEEN(15,20)&amp;"%",IF(J49=6,RANDBETWEEN(10,15)&amp;"%",IF(J49=7,RANDBETWEEN(8,10)&amp;"%",IF(J49=8,RANDBETWEEN(6,8)&amp;"%",IF(J49=9,RANDBETWEEN(4,6)&amp;"%",IF(J49=10,RANDBETWEEN(2,4)&amp;"%","")))))))))))</f>
        <v>1%</v>
      </c>
      <c r="Q49" s="123" t="e">
        <f ca="1">IFERROR(L49*(M49+N49)*O49*P49,RANDBETWEEN(1,2)%*L49*(M49+N49)*O49)</f>
        <v>#N/A</v>
      </c>
      <c r="R49" s="125">
        <f>VLOOKUP(D:D,ranking!W:X,2,0)</f>
        <v>0.7</v>
      </c>
      <c r="S49" s="126" t="e">
        <f ca="1">R49*Q49</f>
        <v>#N/A</v>
      </c>
      <c r="T49" s="123">
        <v>4.6207120718110506</v>
      </c>
    </row>
    <row r="50" spans="1:21" x14ac:dyDescent="0.25">
      <c r="A50" s="98" t="s">
        <v>2005</v>
      </c>
      <c r="B50" s="98" t="s">
        <v>85</v>
      </c>
      <c r="C50" s="46" t="s">
        <v>123</v>
      </c>
      <c r="D50" s="98" t="s">
        <v>434</v>
      </c>
      <c r="E50" s="46" t="s">
        <v>211</v>
      </c>
      <c r="F50" s="46" t="s">
        <v>213</v>
      </c>
      <c r="G50" s="46" t="s">
        <v>2006</v>
      </c>
      <c r="H50" s="46" t="s">
        <v>21</v>
      </c>
      <c r="I50" s="53">
        <v>46172</v>
      </c>
      <c r="J50" s="98"/>
      <c r="K50" s="46" t="s">
        <v>1256</v>
      </c>
      <c r="L50" s="123">
        <f>VLOOKUP($C50&amp;$E50,'Updated SES'!A:N,14,0)</f>
        <v>55.459200000000003</v>
      </c>
      <c r="M50" s="124">
        <f>VLOOKUP($K50,'Genre Penetration'!A:B,2,0)*VLOOKUP($C50&amp;$E50,'Updated SES'!A:I,9,0)</f>
        <v>0.23519999999999999</v>
      </c>
      <c r="N50" s="124">
        <f>VLOOKUP(K:K,'Genre Penetration'!A:C,3,0)*VLOOKUP($C50&amp;$E50,'Updated SES'!A:J,10,0)</f>
        <v>0.26519999999999999</v>
      </c>
      <c r="O50" s="124" t="e">
        <f>VLOOKUP($B50,'Language Penetration'!$B$1:$BE$14,MATCH('Compile data Working'!#REF!,'Language Penetration'!$B$1:$BE$1,0),0)</f>
        <v>#REF!</v>
      </c>
      <c r="P50" s="124" t="str">
        <f ca="1">IF(ISBLANK(J50),RANDBETWEEN(1,2)&amp;"%",IF(J50=1,RANDBETWEEN(35,40)&amp;"%",IF(J50=2,RANDBETWEEN(30,35)&amp;"%",IF(J50=3,RANDBETWEEN(25,30)&amp;"%",IF(J50=4,RANDBETWEEN(20,25)&amp;"%",IF(J50=5,RANDBETWEEN(15,20)&amp;"%",IF(J50=6,RANDBETWEEN(10,15)&amp;"%",IF(J50=7,RANDBETWEEN(8,10)&amp;"%",IF(J50=8,RANDBETWEEN(6,8)&amp;"%",IF(J50=9,RANDBETWEEN(4,6)&amp;"%",IF(J50=10,RANDBETWEEN(2,4)&amp;"%","")))))))))))</f>
        <v>1%</v>
      </c>
      <c r="Q50" s="123" t="e">
        <f ca="1">IFERROR(L50*(M50+N50)*O50*P50,RANDBETWEEN(1,2)%*L50*(M50+N50)*O50)</f>
        <v>#REF!</v>
      </c>
      <c r="R50" s="125">
        <f>VLOOKUP(D:D,ranking!W:X,2,0)</f>
        <v>0.7</v>
      </c>
      <c r="S50" s="126" t="e">
        <f ca="1">R50*Q50</f>
        <v>#REF!</v>
      </c>
      <c r="T50" s="123">
        <v>4.5756132413814044</v>
      </c>
    </row>
    <row r="51" spans="1:21" x14ac:dyDescent="0.25">
      <c r="A51" s="98" t="s">
        <v>2005</v>
      </c>
      <c r="B51" s="98" t="s">
        <v>85</v>
      </c>
      <c r="C51" s="98" t="s">
        <v>64</v>
      </c>
      <c r="D51" s="98" t="s">
        <v>434</v>
      </c>
      <c r="E51" s="46" t="s">
        <v>211</v>
      </c>
      <c r="F51" s="46" t="s">
        <v>213</v>
      </c>
      <c r="G51" s="53" t="s">
        <v>2085</v>
      </c>
      <c r="H51" s="46" t="s">
        <v>22</v>
      </c>
      <c r="I51" s="53">
        <v>46178</v>
      </c>
      <c r="J51" s="98"/>
      <c r="K51" s="46" t="s">
        <v>216</v>
      </c>
      <c r="L51" s="123">
        <f>VLOOKUP($C51&amp;$E51,'Updated SES'!A:N,14,0)</f>
        <v>36.498239999999996</v>
      </c>
      <c r="M51" s="124">
        <f>VLOOKUP($K51,'Genre Penetration'!A:B,2,0)*VLOOKUP($C51&amp;$E51,'Updated SES'!A:I,9,0)</f>
        <v>0.26</v>
      </c>
      <c r="N51" s="124">
        <f>VLOOKUP(K:K,'Genre Penetration'!A:C,3,0)*VLOOKUP($C51&amp;$E51,'Updated SES'!A:J,10,0)</f>
        <v>0.24</v>
      </c>
      <c r="O51" s="124" t="e">
        <f>VLOOKUP($B51,'Language Penetration'!$B$1:$BE$14,MATCH('Compile data Working'!#REF!,'Language Penetration'!$B$1:$BE$1,0),0)</f>
        <v>#REF!</v>
      </c>
      <c r="P51" s="124" t="str">
        <f ca="1">IF(ISBLANK(J51),RANDBETWEEN(1,2)&amp;"%",IF(J51=1,RANDBETWEEN(35,40)&amp;"%",IF(J51=2,RANDBETWEEN(30,35)&amp;"%",IF(J51=3,RANDBETWEEN(25,30)&amp;"%",IF(J51=4,RANDBETWEEN(20,25)&amp;"%",IF(J51=5,RANDBETWEEN(15,20)&amp;"%",IF(J51=6,RANDBETWEEN(10,15)&amp;"%",IF(J51=7,RANDBETWEEN(8,10)&amp;"%",IF(J51=8,RANDBETWEEN(6,8)&amp;"%",IF(J51=9,RANDBETWEEN(4,6)&amp;"%",IF(J51=10,RANDBETWEEN(2,4)&amp;"%","")))))))))))</f>
        <v>2%</v>
      </c>
      <c r="Q51" s="123" t="e">
        <f ca="1">IFERROR(L51*(M51+N51)*O51*P51,RANDBETWEEN(1,2)%*L51*(M51+N51)*O51)</f>
        <v>#REF!</v>
      </c>
      <c r="R51" s="125">
        <f>VLOOKUP(D:D,ranking!W:X,2,0)</f>
        <v>0.7</v>
      </c>
      <c r="S51" s="126" t="e">
        <f ca="1">R51*Q51</f>
        <v>#REF!</v>
      </c>
      <c r="T51" s="123">
        <v>4.5725441162202998</v>
      </c>
      <c r="U51">
        <v>4.5725441162202998</v>
      </c>
    </row>
    <row r="52" spans="1:21" x14ac:dyDescent="0.25">
      <c r="A52" s="98" t="s">
        <v>2005</v>
      </c>
      <c r="B52" s="98" t="s">
        <v>85</v>
      </c>
      <c r="C52" s="46" t="s">
        <v>906</v>
      </c>
      <c r="D52" s="46" t="s">
        <v>1012</v>
      </c>
      <c r="E52" s="46" t="s">
        <v>211</v>
      </c>
      <c r="F52" s="46" t="s">
        <v>215</v>
      </c>
      <c r="G52" s="46" t="s">
        <v>2010</v>
      </c>
      <c r="H52" s="46" t="s">
        <v>20</v>
      </c>
      <c r="I52" s="53">
        <v>46173</v>
      </c>
      <c r="J52" s="98"/>
      <c r="K52" s="46" t="s">
        <v>1852</v>
      </c>
      <c r="L52" s="123">
        <f>VLOOKUP($C52&amp;$E52,'Updated SES'!A:N,14,0)</f>
        <v>127.11702000000001</v>
      </c>
      <c r="M52" s="124">
        <f>VLOOKUP($K52,'Genre Penetration'!A:B,2,0)*VLOOKUP($C52&amp;$E52,'Updated SES'!A:I,9,0)</f>
        <v>0.26799999999999996</v>
      </c>
      <c r="N52" s="124">
        <f>VLOOKUP(K:K,'Genre Penetration'!A:C,3,0)*VLOOKUP($C52&amp;$E52,'Updated SES'!A:J,10,0)</f>
        <v>0.19799999999999998</v>
      </c>
      <c r="O52" s="124">
        <f>VLOOKUP($B52,'Language Penetration'!$B$1:$BE$14,MATCH('Compile data Working'!$H146,'Language Penetration'!$B$1:$BE$1,0),0)</f>
        <v>0.2</v>
      </c>
      <c r="P52" s="124" t="str">
        <f ca="1">IF(ISBLANK(J52),RANDBETWEEN(1,2)&amp;"%",IF(J52=1,RANDBETWEEN(35,40)&amp;"%",IF(J52=2,RANDBETWEEN(30,35)&amp;"%",IF(J52=3,RANDBETWEEN(25,30)&amp;"%",IF(J52=4,RANDBETWEEN(20,25)&amp;"%",IF(J52=5,RANDBETWEEN(15,20)&amp;"%",IF(J52=6,RANDBETWEEN(10,15)&amp;"%",IF(J52=7,RANDBETWEEN(8,10)&amp;"%",IF(J52=8,RANDBETWEEN(6,8)&amp;"%",IF(J52=9,RANDBETWEEN(4,6)&amp;"%",IF(J52=10,RANDBETWEEN(2,4)&amp;"%","")))))))))))</f>
        <v>2%</v>
      </c>
      <c r="Q52" s="123">
        <f ca="1">IFERROR(L52*(M52+N52)*O52*P52,RANDBETWEEN(1,2)%*L52*(M52+N52)*O52)</f>
        <v>0.23694612528000003</v>
      </c>
      <c r="R52" s="125">
        <f>VLOOKUP(D:D,ranking!W:X,2,0)</f>
        <v>0.6</v>
      </c>
      <c r="S52" s="126">
        <f ca="1">R52*Q52</f>
        <v>0.14216767516800002</v>
      </c>
      <c r="T52" s="123">
        <v>4.5633932140570836</v>
      </c>
    </row>
    <row r="53" spans="1:21" x14ac:dyDescent="0.25">
      <c r="A53" s="98" t="s">
        <v>2005</v>
      </c>
      <c r="B53" s="98" t="s">
        <v>85</v>
      </c>
      <c r="C53" s="46" t="s">
        <v>906</v>
      </c>
      <c r="D53" s="46" t="s">
        <v>1012</v>
      </c>
      <c r="E53" s="46" t="s">
        <v>211</v>
      </c>
      <c r="F53" s="46" t="s">
        <v>215</v>
      </c>
      <c r="G53" s="46" t="s">
        <v>2033</v>
      </c>
      <c r="H53" s="46" t="s">
        <v>28</v>
      </c>
      <c r="I53" s="53">
        <v>46174</v>
      </c>
      <c r="J53" s="98"/>
      <c r="K53" s="46" t="s">
        <v>1852</v>
      </c>
      <c r="L53" s="123">
        <f>VLOOKUP($C53&amp;$E53,'Updated SES'!A:N,14,0)</f>
        <v>127.11702000000001</v>
      </c>
      <c r="M53" s="124">
        <f>VLOOKUP($K53,'Genre Penetration'!A:B,2,0)*VLOOKUP($C53&amp;$E53,'Updated SES'!A:I,9,0)</f>
        <v>0.26799999999999996</v>
      </c>
      <c r="N53" s="124">
        <f>VLOOKUP(K:K,'Genre Penetration'!A:C,3,0)*VLOOKUP($C53&amp;$E53,'Updated SES'!A:J,10,0)</f>
        <v>0.19799999999999998</v>
      </c>
      <c r="O53" s="124">
        <f>VLOOKUP($B53,'Language Penetration'!$B$1:$BE$14,MATCH('Compile data Working'!$H195,'Language Penetration'!$B$1:$BE$1,0),0)</f>
        <v>0.6</v>
      </c>
      <c r="P53" s="124" t="str">
        <f ca="1">IF(ISBLANK(J53),RANDBETWEEN(1,2)&amp;"%",IF(J53=1,RANDBETWEEN(35,40)&amp;"%",IF(J53=2,RANDBETWEEN(30,35)&amp;"%",IF(J53=3,RANDBETWEEN(25,30)&amp;"%",IF(J53=4,RANDBETWEEN(20,25)&amp;"%",IF(J53=5,RANDBETWEEN(15,20)&amp;"%",IF(J53=6,RANDBETWEEN(10,15)&amp;"%",IF(J53=7,RANDBETWEEN(8,10)&amp;"%",IF(J53=8,RANDBETWEEN(6,8)&amp;"%",IF(J53=9,RANDBETWEEN(4,6)&amp;"%",IF(J53=10,RANDBETWEEN(2,4)&amp;"%","")))))))))))</f>
        <v>1%</v>
      </c>
      <c r="Q53" s="123">
        <f ca="1">IFERROR(L53*(M53+N53)*O53*P53,RANDBETWEEN(1,2)%*L53*(M53+N53)*O53)</f>
        <v>0.35541918792000005</v>
      </c>
      <c r="R53" s="125">
        <f>VLOOKUP(D:D,ranking!W:X,2,0)</f>
        <v>0.6</v>
      </c>
      <c r="S53" s="126">
        <f ca="1">R53*Q53</f>
        <v>0.21325151275200002</v>
      </c>
      <c r="T53" s="123">
        <v>4.5589008112799405</v>
      </c>
    </row>
    <row r="54" spans="1:21" x14ac:dyDescent="0.25">
      <c r="A54" s="98" t="s">
        <v>2005</v>
      </c>
      <c r="B54" s="98" t="s">
        <v>85</v>
      </c>
      <c r="C54" s="46" t="s">
        <v>123</v>
      </c>
      <c r="D54" s="46" t="s">
        <v>1012</v>
      </c>
      <c r="E54" s="46" t="s">
        <v>211</v>
      </c>
      <c r="F54" s="46" t="s">
        <v>215</v>
      </c>
      <c r="G54" s="46" t="s">
        <v>2025</v>
      </c>
      <c r="H54" s="46" t="s">
        <v>21</v>
      </c>
      <c r="I54" s="53">
        <v>46174</v>
      </c>
      <c r="J54" s="98"/>
      <c r="K54" s="46" t="s">
        <v>935</v>
      </c>
      <c r="L54" s="123">
        <f>VLOOKUP($C54&amp;$E54,'Updated SES'!A:N,14,0)</f>
        <v>55.459200000000003</v>
      </c>
      <c r="M54" s="124">
        <f>VLOOKUP($K54,'Genre Penetration'!A:B,2,0)*VLOOKUP($C54&amp;$E54,'Updated SES'!A:I,9,0)</f>
        <v>0.26950000000000002</v>
      </c>
      <c r="N54" s="124">
        <f>VLOOKUP(K:K,'Genre Penetration'!A:C,3,0)*VLOOKUP($C54&amp;$E54,'Updated SES'!A:J,10,0)</f>
        <v>0.22950000000000001</v>
      </c>
      <c r="O54" s="124" t="e">
        <f>VLOOKUP($B54,'Language Penetration'!$B$1:$BE$14,MATCH('Compile data Working'!#REF!,'Language Penetration'!$B$1:$BE$1,0),0)</f>
        <v>#REF!</v>
      </c>
      <c r="P54" s="124" t="str">
        <f ca="1">IF(ISBLANK(J54),RANDBETWEEN(1,2)&amp;"%",IF(J54=1,RANDBETWEEN(35,40)&amp;"%",IF(J54=2,RANDBETWEEN(30,35)&amp;"%",IF(J54=3,RANDBETWEEN(25,30)&amp;"%",IF(J54=4,RANDBETWEEN(20,25)&amp;"%",IF(J54=5,RANDBETWEEN(15,20)&amp;"%",IF(J54=6,RANDBETWEEN(10,15)&amp;"%",IF(J54=7,RANDBETWEEN(8,10)&amp;"%",IF(J54=8,RANDBETWEEN(6,8)&amp;"%",IF(J54=9,RANDBETWEEN(4,6)&amp;"%",IF(J54=10,RANDBETWEEN(2,4)&amp;"%","")))))))))))</f>
        <v>1%</v>
      </c>
      <c r="Q54" s="123" t="e">
        <f ca="1">IFERROR(L54*(M54+N54)*O54*P54,RANDBETWEEN(1,2)%*L54*(M54+N54)*O54)</f>
        <v>#REF!</v>
      </c>
      <c r="R54" s="125">
        <f>VLOOKUP(D:D,ranking!W:X,2,0)</f>
        <v>0.6</v>
      </c>
      <c r="S54" s="126" t="e">
        <f ca="1">R54*Q54</f>
        <v>#REF!</v>
      </c>
      <c r="T54" s="123">
        <v>4.5352330535209537</v>
      </c>
    </row>
    <row r="55" spans="1:21" x14ac:dyDescent="0.25">
      <c r="A55" s="98" t="s">
        <v>2005</v>
      </c>
      <c r="B55" s="98" t="s">
        <v>85</v>
      </c>
      <c r="C55" s="98" t="s">
        <v>64</v>
      </c>
      <c r="D55" s="98" t="s">
        <v>434</v>
      </c>
      <c r="E55" s="46" t="s">
        <v>211</v>
      </c>
      <c r="F55" s="46" t="s">
        <v>213</v>
      </c>
      <c r="G55" s="46" t="s">
        <v>2071</v>
      </c>
      <c r="H55" s="46" t="s">
        <v>19</v>
      </c>
      <c r="I55" s="53">
        <v>46178</v>
      </c>
      <c r="J55" s="98">
        <v>1</v>
      </c>
      <c r="K55" s="46" t="s">
        <v>97</v>
      </c>
      <c r="L55" s="123">
        <f>VLOOKUP($C55&amp;$E55,'Updated SES'!A:N,14,0)</f>
        <v>36.498239999999996</v>
      </c>
      <c r="M55" s="124">
        <f>VLOOKUP($K55,'Genre Penetration'!A:B,2,0)*VLOOKUP($C55&amp;$E55,'Updated SES'!A:I,9,0)</f>
        <v>0.35360000000000003</v>
      </c>
      <c r="N55" s="124">
        <f>VLOOKUP(K:K,'Genre Penetration'!A:C,3,0)*VLOOKUP($C55&amp;$E55,'Updated SES'!A:J,10,0)</f>
        <v>0.15359999999999999</v>
      </c>
      <c r="O55" s="124">
        <f>VLOOKUP($B55,'Language Penetration'!$B$1:$BE$14,MATCH('Compile data Working'!$H255,'Language Penetration'!$B$1:$BE$1,0),0)</f>
        <v>0.6</v>
      </c>
      <c r="P55" s="124" t="str">
        <f ca="1">IF(ISBLANK(J55),RANDBETWEEN(1,2)&amp;"%",IF(J55=1,RANDBETWEEN(35,40)&amp;"%",IF(J55=2,RANDBETWEEN(30,35)&amp;"%",IF(J55=3,RANDBETWEEN(25,30)&amp;"%",IF(J55=4,RANDBETWEEN(20,25)&amp;"%",IF(J55=5,RANDBETWEEN(15,20)&amp;"%",IF(J55=6,RANDBETWEEN(10,15)&amp;"%",IF(J55=7,RANDBETWEEN(8,10)&amp;"%",IF(J55=8,RANDBETWEEN(6,8)&amp;"%",IF(J55=9,RANDBETWEEN(4,6)&amp;"%",IF(J55=10,RANDBETWEEN(2,4)&amp;"%","")))))))))))</f>
        <v>37%</v>
      </c>
      <c r="Q55" s="123">
        <f ca="1">IFERROR(L55*(M55+N55)*O55*P55,RANDBETWEEN(1,2)%*L55*(M55+N55)*O55)</f>
        <v>4.1096434268159987</v>
      </c>
      <c r="R55" s="125">
        <f>VLOOKUP(D:D,ranking!W:X,2,0)</f>
        <v>0.7</v>
      </c>
      <c r="S55" s="126">
        <f ca="1">R55*Q55</f>
        <v>2.8767503987711991</v>
      </c>
      <c r="T55" s="123">
        <v>4.5303448361125112</v>
      </c>
      <c r="U55">
        <v>4.5303448361125112</v>
      </c>
    </row>
    <row r="56" spans="1:21" x14ac:dyDescent="0.25">
      <c r="A56" s="98" t="s">
        <v>2005</v>
      </c>
      <c r="B56" s="98" t="s">
        <v>85</v>
      </c>
      <c r="C56" s="46" t="s">
        <v>906</v>
      </c>
      <c r="D56" s="98" t="s">
        <v>434</v>
      </c>
      <c r="E56" s="46" t="s">
        <v>211</v>
      </c>
      <c r="F56" s="46" t="s">
        <v>213</v>
      </c>
      <c r="G56" s="46" t="s">
        <v>2030</v>
      </c>
      <c r="H56" s="46" t="s">
        <v>20</v>
      </c>
      <c r="I56" s="53">
        <v>46174</v>
      </c>
      <c r="J56" s="98"/>
      <c r="K56" s="46" t="s">
        <v>158</v>
      </c>
      <c r="L56" s="123">
        <f>VLOOKUP($C56&amp;$E56,'Updated SES'!A:N,14,0)</f>
        <v>127.11702000000001</v>
      </c>
      <c r="M56" s="124">
        <f>VLOOKUP($K56,'Genre Penetration'!A:B,2,0)*VLOOKUP($C56&amp;$E56,'Updated SES'!A:I,9,0)</f>
        <v>0.30149999999999999</v>
      </c>
      <c r="N56" s="124">
        <f>VLOOKUP(K:K,'Genre Penetration'!A:C,3,0)*VLOOKUP($C56&amp;$E56,'Updated SES'!A:J,10,0)</f>
        <v>0.18149999999999999</v>
      </c>
      <c r="O56" s="124" t="e">
        <f>VLOOKUP($B56,'Language Penetration'!$B$1:$BE$14,MATCH('Compile data Working'!$H119,'Language Penetration'!$B$1:$BE$1,0),0)</f>
        <v>#N/A</v>
      </c>
      <c r="P56" s="124" t="str">
        <f ca="1">IF(ISBLANK(J56),RANDBETWEEN(1,2)&amp;"%",IF(J56=1,RANDBETWEEN(35,40)&amp;"%",IF(J56=2,RANDBETWEEN(30,35)&amp;"%",IF(J56=3,RANDBETWEEN(25,30)&amp;"%",IF(J56=4,RANDBETWEEN(20,25)&amp;"%",IF(J56=5,RANDBETWEEN(15,20)&amp;"%",IF(J56=6,RANDBETWEEN(10,15)&amp;"%",IF(J56=7,RANDBETWEEN(8,10)&amp;"%",IF(J56=8,RANDBETWEEN(6,8)&amp;"%",IF(J56=9,RANDBETWEEN(4,6)&amp;"%",IF(J56=10,RANDBETWEEN(2,4)&amp;"%","")))))))))))</f>
        <v>2%</v>
      </c>
      <c r="Q56" s="123" t="e">
        <f ca="1">IFERROR(L56*(M56+N56)*O56*P56,RANDBETWEEN(1,2)%*L56*(M56+N56)*O56)</f>
        <v>#N/A</v>
      </c>
      <c r="R56" s="125">
        <f>VLOOKUP(D:D,ranking!W:X,2,0)</f>
        <v>0.7</v>
      </c>
      <c r="S56" s="126" t="e">
        <f ca="1">R56*Q56</f>
        <v>#N/A</v>
      </c>
      <c r="T56" s="123">
        <v>4.5214003488968908</v>
      </c>
    </row>
    <row r="57" spans="1:21" x14ac:dyDescent="0.25">
      <c r="A57" s="98" t="s">
        <v>2005</v>
      </c>
      <c r="B57" s="98" t="s">
        <v>85</v>
      </c>
      <c r="C57" s="46" t="s">
        <v>906</v>
      </c>
      <c r="D57" s="46" t="s">
        <v>1012</v>
      </c>
      <c r="E57" s="46" t="s">
        <v>211</v>
      </c>
      <c r="F57" s="46" t="s">
        <v>215</v>
      </c>
      <c r="G57" s="46" t="s">
        <v>2017</v>
      </c>
      <c r="H57" s="46" t="s">
        <v>20</v>
      </c>
      <c r="I57" s="53">
        <v>46174</v>
      </c>
      <c r="J57" s="98"/>
      <c r="K57" s="46" t="s">
        <v>158</v>
      </c>
      <c r="L57" s="123">
        <f>VLOOKUP($C57&amp;$E57,'Updated SES'!A:N,14,0)</f>
        <v>127.11702000000001</v>
      </c>
      <c r="M57" s="124">
        <f>VLOOKUP($K57,'Genre Penetration'!A:B,2,0)*VLOOKUP($C57&amp;$E57,'Updated SES'!A:I,9,0)</f>
        <v>0.30149999999999999</v>
      </c>
      <c r="N57" s="124">
        <f>VLOOKUP(K:K,'Genre Penetration'!A:C,3,0)*VLOOKUP($C57&amp;$E57,'Updated SES'!A:J,10,0)</f>
        <v>0.18149999999999999</v>
      </c>
      <c r="O57" s="124">
        <f>VLOOKUP($B57,'Language Penetration'!$B$1:$BE$14,MATCH('Compile data Working'!$H248,'Language Penetration'!$B$1:$BE$1,0),0)</f>
        <v>0.12</v>
      </c>
      <c r="P57" s="124" t="str">
        <f ca="1">IF(ISBLANK(J57),RANDBETWEEN(1,2)&amp;"%",IF(J57=1,RANDBETWEEN(35,40)&amp;"%",IF(J57=2,RANDBETWEEN(30,35)&amp;"%",IF(J57=3,RANDBETWEEN(25,30)&amp;"%",IF(J57=4,RANDBETWEEN(20,25)&amp;"%",IF(J57=5,RANDBETWEEN(15,20)&amp;"%",IF(J57=6,RANDBETWEEN(10,15)&amp;"%",IF(J57=7,RANDBETWEEN(8,10)&amp;"%",IF(J57=8,RANDBETWEEN(6,8)&amp;"%",IF(J57=9,RANDBETWEEN(4,6)&amp;"%",IF(J57=10,RANDBETWEEN(2,4)&amp;"%","")))))))))))</f>
        <v>1%</v>
      </c>
      <c r="Q57" s="123">
        <f ca="1">IFERROR(L57*(M57+N57)*O57*P57,RANDBETWEEN(1,2)%*L57*(M57+N57)*O57)</f>
        <v>7.3677024792000001E-2</v>
      </c>
      <c r="R57" s="125">
        <f>VLOOKUP(D:D,ranking!W:X,2,0)</f>
        <v>0.6</v>
      </c>
      <c r="S57" s="126">
        <f ca="1">R57*Q57</f>
        <v>4.4206214875199996E-2</v>
      </c>
      <c r="T57" s="123">
        <v>4.5204090009866089</v>
      </c>
    </row>
    <row r="58" spans="1:21" x14ac:dyDescent="0.25">
      <c r="A58" s="98" t="s">
        <v>2005</v>
      </c>
      <c r="B58" s="98" t="s">
        <v>85</v>
      </c>
      <c r="C58" s="46" t="s">
        <v>906</v>
      </c>
      <c r="D58" s="98" t="s">
        <v>434</v>
      </c>
      <c r="E58" s="46" t="s">
        <v>211</v>
      </c>
      <c r="F58" s="46" t="s">
        <v>213</v>
      </c>
      <c r="G58" s="46" t="s">
        <v>1533</v>
      </c>
      <c r="H58" s="46" t="s">
        <v>28</v>
      </c>
      <c r="I58" s="53">
        <v>46174</v>
      </c>
      <c r="J58" s="98"/>
      <c r="K58" s="46" t="s">
        <v>162</v>
      </c>
      <c r="L58" s="123">
        <f>VLOOKUP($C58&amp;$E58,'Updated SES'!A:N,14,0)</f>
        <v>127.11702000000001</v>
      </c>
      <c r="M58" s="124">
        <f>VLOOKUP($K58,'Genre Penetration'!A:B,2,0)*VLOOKUP($C58&amp;$E58,'Updated SES'!A:I,9,0)</f>
        <v>0.46899999999999992</v>
      </c>
      <c r="N58" s="124">
        <f>VLOOKUP(K:K,'Genre Penetration'!A:C,3,0)*VLOOKUP($C58&amp;$E58,'Updated SES'!A:J,10,0)</f>
        <v>9.8999999999999991E-2</v>
      </c>
      <c r="O58" s="124">
        <f>VLOOKUP($B58,'Language Penetration'!$B$1:$BE$14,MATCH('Compile data Working'!$H11,'Language Penetration'!$B$1:$BE$1,0),0)</f>
        <v>0.6</v>
      </c>
      <c r="P58" s="124" t="str">
        <f ca="1">IF(ISBLANK(J58),RANDBETWEEN(1,2)&amp;"%",IF(J58=1,RANDBETWEEN(35,40)&amp;"%",IF(J58=2,RANDBETWEEN(30,35)&amp;"%",IF(J58=3,RANDBETWEEN(25,30)&amp;"%",IF(J58=4,RANDBETWEEN(20,25)&amp;"%",IF(J58=5,RANDBETWEEN(15,20)&amp;"%",IF(J58=6,RANDBETWEEN(10,15)&amp;"%",IF(J58=7,RANDBETWEEN(8,10)&amp;"%",IF(J58=8,RANDBETWEEN(6,8)&amp;"%",IF(J58=9,RANDBETWEEN(4,6)&amp;"%",IF(J58=10,RANDBETWEEN(2,4)&amp;"%","")))))))))))</f>
        <v>2%</v>
      </c>
      <c r="Q58" s="123">
        <f ca="1">IFERROR(L58*(M58+N58)*O58*P58,RANDBETWEEN(1,2)%*L58*(M58+N58)*O58)</f>
        <v>0.86642960832000004</v>
      </c>
      <c r="R58" s="125">
        <f>VLOOKUP(D:D,ranking!W:X,2,0)</f>
        <v>0.7</v>
      </c>
      <c r="S58" s="126">
        <f ca="1">R58*Q58</f>
        <v>0.60650072582399994</v>
      </c>
      <c r="T58" s="123">
        <v>4.4853583698680684</v>
      </c>
    </row>
    <row r="59" spans="1:21" x14ac:dyDescent="0.25">
      <c r="A59" s="98" t="s">
        <v>2005</v>
      </c>
      <c r="B59" s="98" t="s">
        <v>85</v>
      </c>
      <c r="C59" s="46" t="s">
        <v>906</v>
      </c>
      <c r="D59" s="98" t="s">
        <v>434</v>
      </c>
      <c r="E59" s="46" t="s">
        <v>211</v>
      </c>
      <c r="F59" s="46" t="s">
        <v>213</v>
      </c>
      <c r="G59" s="46" t="s">
        <v>2007</v>
      </c>
      <c r="H59" s="46" t="s">
        <v>19</v>
      </c>
      <c r="I59" s="53">
        <v>46172</v>
      </c>
      <c r="J59" s="98"/>
      <c r="K59" s="46" t="s">
        <v>156</v>
      </c>
      <c r="L59" s="123">
        <f>VLOOKUP($C59&amp;$E59,'Updated SES'!A:N,14,0)</f>
        <v>127.11702000000001</v>
      </c>
      <c r="M59" s="124">
        <f>VLOOKUP($K59,'Genre Penetration'!A:B,2,0)*VLOOKUP($C59&amp;$E59,'Updated SES'!A:I,9,0)</f>
        <v>0.44219999999999998</v>
      </c>
      <c r="N59" s="124">
        <f>VLOOKUP(K:K,'Genre Penetration'!A:C,3,0)*VLOOKUP($C59&amp;$E59,'Updated SES'!A:J,10,0)</f>
        <v>0.11219999999999999</v>
      </c>
      <c r="O59" s="124" t="e">
        <f>VLOOKUP($B59,'Language Penetration'!$B$1:$BE$14,MATCH('Compile data Working'!#REF!,'Language Penetration'!$B$1:$BE$1,0),0)</f>
        <v>#REF!</v>
      </c>
      <c r="P59" s="124" t="str">
        <f ca="1">IF(ISBLANK(J59),RANDBETWEEN(1,2)&amp;"%",IF(J59=1,RANDBETWEEN(35,40)&amp;"%",IF(J59=2,RANDBETWEEN(30,35)&amp;"%",IF(J59=3,RANDBETWEEN(25,30)&amp;"%",IF(J59=4,RANDBETWEEN(20,25)&amp;"%",IF(J59=5,RANDBETWEEN(15,20)&amp;"%",IF(J59=6,RANDBETWEEN(10,15)&amp;"%",IF(J59=7,RANDBETWEEN(8,10)&amp;"%",IF(J59=8,RANDBETWEEN(6,8)&amp;"%",IF(J59=9,RANDBETWEEN(4,6)&amp;"%",IF(J59=10,RANDBETWEEN(2,4)&amp;"%","")))))))))))</f>
        <v>1%</v>
      </c>
      <c r="Q59" s="123" t="e">
        <f ca="1">IFERROR(L59*(M59+N59)*O59*P59,RANDBETWEEN(1,2)%*L59*(M59+N59)*O59)</f>
        <v>#REF!</v>
      </c>
      <c r="R59" s="125">
        <f>VLOOKUP(D:D,ranking!W:X,2,0)</f>
        <v>0.7</v>
      </c>
      <c r="S59" s="126" t="e">
        <f ca="1">R59*Q59</f>
        <v>#REF!</v>
      </c>
      <c r="T59" s="123">
        <v>4.4782400826709088</v>
      </c>
    </row>
    <row r="60" spans="1:21" x14ac:dyDescent="0.25">
      <c r="A60" s="98" t="s">
        <v>1057</v>
      </c>
      <c r="B60" s="98" t="s">
        <v>85</v>
      </c>
      <c r="C60" s="98" t="s">
        <v>64</v>
      </c>
      <c r="D60" s="98" t="s">
        <v>434</v>
      </c>
      <c r="E60" s="119" t="s">
        <v>211</v>
      </c>
      <c r="F60" s="46" t="s">
        <v>213</v>
      </c>
      <c r="G60" s="98" t="s">
        <v>1997</v>
      </c>
      <c r="H60" s="98" t="s">
        <v>1059</v>
      </c>
      <c r="I60" s="106">
        <v>46171</v>
      </c>
      <c r="J60" s="119">
        <v>6</v>
      </c>
      <c r="K60" s="46" t="s">
        <v>87</v>
      </c>
      <c r="L60" s="123">
        <f>VLOOKUP($C60&amp;$E60,'Updated SES'!A:N,14,0)</f>
        <v>36.498239999999996</v>
      </c>
      <c r="M60" s="124">
        <f>VLOOKUP($K60,'Genre Penetration'!A:B,2,0)*VLOOKUP($C60&amp;$E60,'Updated SES'!A:I,9,0)</f>
        <v>0.31719999999999998</v>
      </c>
      <c r="N60" s="124">
        <f>VLOOKUP(K:K,'Genre Penetration'!A:C,3,0)*VLOOKUP($C60&amp;$E60,'Updated SES'!A:J,10,0)</f>
        <v>0.18720000000000001</v>
      </c>
      <c r="O60" s="124">
        <f>VLOOKUP($B60,'Language Penetration'!$B$1:$BE$14,MATCH('Compile data Working'!$H216,'Language Penetration'!$B$1:$BE$1,0),0)</f>
        <v>0.2</v>
      </c>
      <c r="P60" s="124" t="str">
        <f ca="1">IF(ISBLANK(J60),RANDBETWEEN(1,2)&amp;"%",IF(J60=1,RANDBETWEEN(35,40)&amp;"%",IF(J60=2,RANDBETWEEN(30,35)&amp;"%",IF(J60=3,RANDBETWEEN(25,30)&amp;"%",IF(J60=4,RANDBETWEEN(20,25)&amp;"%",IF(J60=5,RANDBETWEEN(15,20)&amp;"%",IF(J60=6,RANDBETWEEN(10,15)&amp;"%",IF(J60=7,RANDBETWEEN(8,10)&amp;"%",IF(J60=8,RANDBETWEEN(6,8)&amp;"%",IF(J60=9,RANDBETWEEN(4,6)&amp;"%",IF(J60=10,RANDBETWEEN(2,4)&amp;"%","")))))))))))</f>
        <v>11%</v>
      </c>
      <c r="Q60" s="123">
        <f ca="1">IFERROR(L60*(M60+N60)*O60*P60,RANDBETWEEN(1,2)%*L60*(M60+N60)*O60)</f>
        <v>0.40501366963199992</v>
      </c>
      <c r="R60" s="125">
        <f>VLOOKUP(D:D,ranking!W:X,2,0)</f>
        <v>0.7</v>
      </c>
      <c r="S60" s="126">
        <f ca="1">R60*Q60</f>
        <v>0.28350956874239991</v>
      </c>
      <c r="T60" s="123">
        <v>4.4583699101803704</v>
      </c>
    </row>
    <row r="61" spans="1:21" x14ac:dyDescent="0.25">
      <c r="A61" s="98" t="s">
        <v>2005</v>
      </c>
      <c r="B61" s="98" t="s">
        <v>85</v>
      </c>
      <c r="C61" s="46" t="s">
        <v>906</v>
      </c>
      <c r="D61" s="46" t="s">
        <v>1012</v>
      </c>
      <c r="E61" s="46" t="s">
        <v>211</v>
      </c>
      <c r="F61" s="46" t="s">
        <v>215</v>
      </c>
      <c r="G61" s="46" t="s">
        <v>2013</v>
      </c>
      <c r="H61" s="46" t="s">
        <v>20</v>
      </c>
      <c r="I61" s="53">
        <v>46173</v>
      </c>
      <c r="J61" s="98"/>
      <c r="K61" s="46" t="s">
        <v>202</v>
      </c>
      <c r="L61" s="123">
        <f>VLOOKUP($C61&amp;$E61,'Updated SES'!A:N,14,0)</f>
        <v>127.11702000000001</v>
      </c>
      <c r="M61" s="124">
        <f>VLOOKUP($K61,'Genre Penetration'!A:B,2,0)*VLOOKUP($C61&amp;$E61,'Updated SES'!A:I,9,0)</f>
        <v>0.48239999999999994</v>
      </c>
      <c r="N61" s="124">
        <f>VLOOKUP(K:K,'Genre Penetration'!A:C,3,0)*VLOOKUP($C61&amp;$E61,'Updated SES'!A:J,10,0)</f>
        <v>9.2399999999999996E-2</v>
      </c>
      <c r="O61" s="124">
        <f>VLOOKUP($B61,'Language Penetration'!$B$1:$BE$14,MATCH('Compile data Working'!$H232,'Language Penetration'!$B$1:$BE$1,0),0)</f>
        <v>0.2</v>
      </c>
      <c r="P61" s="124" t="str">
        <f ca="1">IF(ISBLANK(J61),RANDBETWEEN(1,2)&amp;"%",IF(J61=1,RANDBETWEEN(35,40)&amp;"%",IF(J61=2,RANDBETWEEN(30,35)&amp;"%",IF(J61=3,RANDBETWEEN(25,30)&amp;"%",IF(J61=4,RANDBETWEEN(20,25)&amp;"%",IF(J61=5,RANDBETWEEN(15,20)&amp;"%",IF(J61=6,RANDBETWEEN(10,15)&amp;"%",IF(J61=7,RANDBETWEEN(8,10)&amp;"%",IF(J61=8,RANDBETWEEN(6,8)&amp;"%",IF(J61=9,RANDBETWEEN(4,6)&amp;"%",IF(J61=10,RANDBETWEEN(2,4)&amp;"%","")))))))))))</f>
        <v>2%</v>
      </c>
      <c r="Q61" s="123">
        <f ca="1">IFERROR(L61*(M61+N61)*O61*P61,RANDBETWEEN(1,2)%*L61*(M61+N61)*O61)</f>
        <v>0.29226745238400004</v>
      </c>
      <c r="R61" s="125">
        <f>VLOOKUP(D:D,ranking!W:X,2,0)</f>
        <v>0.6</v>
      </c>
      <c r="S61" s="126">
        <f ca="1">R61*Q61</f>
        <v>0.17536047143040001</v>
      </c>
      <c r="T61" s="123">
        <v>4.4243898924636262</v>
      </c>
    </row>
    <row r="62" spans="1:21" x14ac:dyDescent="0.25">
      <c r="A62" s="98" t="s">
        <v>2005</v>
      </c>
      <c r="B62" s="98" t="s">
        <v>85</v>
      </c>
      <c r="C62" s="98" t="s">
        <v>123</v>
      </c>
      <c r="D62" s="98" t="s">
        <v>434</v>
      </c>
      <c r="E62" s="46" t="s">
        <v>211</v>
      </c>
      <c r="F62" s="46" t="s">
        <v>213</v>
      </c>
      <c r="G62" s="46" t="s">
        <v>575</v>
      </c>
      <c r="H62" s="46" t="s">
        <v>21</v>
      </c>
      <c r="I62" s="53">
        <v>46177</v>
      </c>
      <c r="J62" s="98"/>
      <c r="K62" s="46" t="s">
        <v>293</v>
      </c>
      <c r="L62" s="123">
        <f>VLOOKUP($C62&amp;$E62,'Updated SES'!A:N,14,0)</f>
        <v>55.459200000000003</v>
      </c>
      <c r="M62" s="124">
        <f>VLOOKUP($K62,'Genre Penetration'!A:B,2,0)*VLOOKUP($C62&amp;$E62,'Updated SES'!A:I,9,0)</f>
        <v>0.26950000000000002</v>
      </c>
      <c r="N62" s="124">
        <f>VLOOKUP(K:K,'Genre Penetration'!A:C,3,0)*VLOOKUP($C62&amp;$E62,'Updated SES'!A:J,10,0)</f>
        <v>0.22949999999999998</v>
      </c>
      <c r="O62" s="124">
        <f>VLOOKUP($B62,'Language Penetration'!$B$1:$BE$14,MATCH('Compile data Working'!$H68,'Language Penetration'!$B$1:$BE$1,0),0)</f>
        <v>0.6</v>
      </c>
      <c r="P62" s="124" t="str">
        <f ca="1">IF(ISBLANK(J62),RANDBETWEEN(1,2)&amp;"%",IF(J62=1,RANDBETWEEN(35,40)&amp;"%",IF(J62=2,RANDBETWEEN(30,35)&amp;"%",IF(J62=3,RANDBETWEEN(25,30)&amp;"%",IF(J62=4,RANDBETWEEN(20,25)&amp;"%",IF(J62=5,RANDBETWEEN(15,20)&amp;"%",IF(J62=6,RANDBETWEEN(10,15)&amp;"%",IF(J62=7,RANDBETWEEN(8,10)&amp;"%",IF(J62=8,RANDBETWEEN(6,8)&amp;"%",IF(J62=9,RANDBETWEEN(4,6)&amp;"%",IF(J62=10,RANDBETWEEN(2,4)&amp;"%","")))))))))))</f>
        <v>2%</v>
      </c>
      <c r="Q62" s="123">
        <f ca="1">IFERROR(L62*(M62+N62)*O62*P62,RANDBETWEEN(1,2)%*L62*(M62+N62)*O62)</f>
        <v>0.33208968960000002</v>
      </c>
      <c r="R62" s="125">
        <f>VLOOKUP(D:D,ranking!W:X,2,0)</f>
        <v>0.7</v>
      </c>
      <c r="S62" s="126">
        <f ca="1">R62*Q62</f>
        <v>0.23246278271999998</v>
      </c>
      <c r="T62" s="123">
        <v>4.4134238698091854</v>
      </c>
      <c r="U62">
        <v>4.4134238698091854</v>
      </c>
    </row>
    <row r="63" spans="1:21" x14ac:dyDescent="0.25">
      <c r="A63" s="98" t="s">
        <v>1781</v>
      </c>
      <c r="B63" s="98" t="s">
        <v>85</v>
      </c>
      <c r="C63" s="46" t="s">
        <v>64</v>
      </c>
      <c r="D63" s="46" t="s">
        <v>1012</v>
      </c>
      <c r="E63" s="119" t="s">
        <v>211</v>
      </c>
      <c r="F63" s="46" t="s">
        <v>215</v>
      </c>
      <c r="G63" s="98" t="s">
        <v>1928</v>
      </c>
      <c r="H63" s="46" t="s">
        <v>19</v>
      </c>
      <c r="I63" s="129">
        <v>46099</v>
      </c>
      <c r="J63" s="98"/>
      <c r="K63" s="46" t="s">
        <v>1978</v>
      </c>
      <c r="L63" s="123">
        <f>VLOOKUP($C63&amp;$E63,'Updated SES'!A:N,14,0)</f>
        <v>36.498239999999996</v>
      </c>
      <c r="M63" s="124" t="e">
        <f>VLOOKUP($K63,'Genre Penetration'!A:B,2,0)*VLOOKUP($C63&amp;$E63,'Updated SES'!A:I,9,0)</f>
        <v>#N/A</v>
      </c>
      <c r="N63" s="124" t="e">
        <f>VLOOKUP(K:K,'Genre Penetration'!A:C,3,0)*VLOOKUP($C63&amp;$E63,'Updated SES'!A:J,10,0)</f>
        <v>#N/A</v>
      </c>
      <c r="O63" s="124">
        <f>VLOOKUP($B63,'Language Penetration'!$B$1:$BE$14,MATCH('Compile data Working'!$H79,'Language Penetration'!$B$1:$BE$1,0),0)</f>
        <v>0.6</v>
      </c>
      <c r="P63" s="124" t="str">
        <f ca="1">IF(ISBLANK(J63),RANDBETWEEN(1,2)&amp;"%",IF(J63=1,RANDBETWEEN(35,40)&amp;"%",IF(J63=2,RANDBETWEEN(30,35)&amp;"%",IF(J63=3,RANDBETWEEN(25,30)&amp;"%",IF(J63=4,RANDBETWEEN(20,25)&amp;"%",IF(J63=5,RANDBETWEEN(15,20)&amp;"%",IF(J63=6,RANDBETWEEN(10,15)&amp;"%",IF(J63=7,RANDBETWEEN(8,10)&amp;"%",IF(J63=8,RANDBETWEEN(6,8)&amp;"%",IF(J63=9,RANDBETWEEN(4,6)&amp;"%",IF(J63=10,RANDBETWEEN(2,4)&amp;"%","")))))))))))</f>
        <v>1%</v>
      </c>
      <c r="Q63" s="123" t="e">
        <f ca="1">IFERROR(L63*(M63+N63)*O63*P63,RANDBETWEEN(1,2)%*L63*(M63+N63)*O63)</f>
        <v>#N/A</v>
      </c>
      <c r="R63" s="125">
        <f>VLOOKUP(D:D,ranking!W:X,2,0)</f>
        <v>0.6</v>
      </c>
      <c r="S63" s="126" t="e">
        <f ca="1">R63*Q63</f>
        <v>#N/A</v>
      </c>
      <c r="T63" s="123">
        <v>4.3750134330558765</v>
      </c>
    </row>
    <row r="64" spans="1:21" x14ac:dyDescent="0.25">
      <c r="A64" s="98" t="s">
        <v>2005</v>
      </c>
      <c r="B64" s="98" t="s">
        <v>85</v>
      </c>
      <c r="C64" s="46" t="s">
        <v>906</v>
      </c>
      <c r="D64" s="98" t="s">
        <v>434</v>
      </c>
      <c r="E64" s="46" t="s">
        <v>211</v>
      </c>
      <c r="F64" s="46" t="s">
        <v>213</v>
      </c>
      <c r="G64" s="46" t="s">
        <v>2034</v>
      </c>
      <c r="H64" s="46" t="s">
        <v>20</v>
      </c>
      <c r="I64" s="53">
        <v>46174</v>
      </c>
      <c r="J64" s="98"/>
      <c r="K64" s="46" t="s">
        <v>154</v>
      </c>
      <c r="L64" s="123">
        <f>VLOOKUP($C64&amp;$E64,'Updated SES'!A:N,14,0)</f>
        <v>127.11702000000001</v>
      </c>
      <c r="M64" s="124">
        <f>VLOOKUP($K64,'Genre Penetration'!A:B,2,0)*VLOOKUP($C64&amp;$E64,'Updated SES'!A:I,9,0)</f>
        <v>0.20099999999999998</v>
      </c>
      <c r="N64" s="124">
        <f>VLOOKUP(K:K,'Genre Penetration'!A:C,3,0)*VLOOKUP($C64&amp;$E64,'Updated SES'!A:J,10,0)</f>
        <v>0.23099999999999996</v>
      </c>
      <c r="O64" s="124" t="e">
        <f>VLOOKUP($B64,'Language Penetration'!$B$1:$BE$14,MATCH('Compile data Working'!#REF!,'Language Penetration'!$B$1:$BE$1,0),0)</f>
        <v>#REF!</v>
      </c>
      <c r="P64" s="124" t="str">
        <f ca="1">IF(ISBLANK(J64),RANDBETWEEN(1,2)&amp;"%",IF(J64=1,RANDBETWEEN(35,40)&amp;"%",IF(J64=2,RANDBETWEEN(30,35)&amp;"%",IF(J64=3,RANDBETWEEN(25,30)&amp;"%",IF(J64=4,RANDBETWEEN(20,25)&amp;"%",IF(J64=5,RANDBETWEEN(15,20)&amp;"%",IF(J64=6,RANDBETWEEN(10,15)&amp;"%",IF(J64=7,RANDBETWEEN(8,10)&amp;"%",IF(J64=8,RANDBETWEEN(6,8)&amp;"%",IF(J64=9,RANDBETWEEN(4,6)&amp;"%",IF(J64=10,RANDBETWEEN(2,4)&amp;"%","")))))))))))</f>
        <v>2%</v>
      </c>
      <c r="Q64" s="123" t="e">
        <f ca="1">IFERROR(L64*(M64+N64)*O64*P64,RANDBETWEEN(1,2)%*L64*(M64+N64)*O64)</f>
        <v>#REF!</v>
      </c>
      <c r="R64" s="125">
        <f>VLOOKUP(D:D,ranking!W:X,2,0)</f>
        <v>0.7</v>
      </c>
      <c r="S64" s="126" t="e">
        <f ca="1">R64*Q64</f>
        <v>#REF!</v>
      </c>
      <c r="T64" s="123">
        <v>4.3724976230532526</v>
      </c>
    </row>
    <row r="65" spans="1:21" x14ac:dyDescent="0.25">
      <c r="A65" s="98" t="s">
        <v>2005</v>
      </c>
      <c r="B65" s="98" t="s">
        <v>85</v>
      </c>
      <c r="C65" s="46" t="s">
        <v>64</v>
      </c>
      <c r="D65" s="98" t="s">
        <v>434</v>
      </c>
      <c r="E65" s="46" t="s">
        <v>233</v>
      </c>
      <c r="F65" s="46" t="s">
        <v>213</v>
      </c>
      <c r="G65" s="46" t="s">
        <v>2041</v>
      </c>
      <c r="H65" s="46" t="s">
        <v>20</v>
      </c>
      <c r="I65" s="53">
        <v>46175</v>
      </c>
      <c r="J65" s="98"/>
      <c r="K65" s="46" t="s">
        <v>162</v>
      </c>
      <c r="L65" s="123">
        <f>VLOOKUP($C65&amp;$E65,'Updated SES'!A:N,14,0)</f>
        <v>4.6890000000000001</v>
      </c>
      <c r="M65" s="124">
        <f>VLOOKUP($K65,'Genre Penetration'!A:B,2,0)*VLOOKUP($C65&amp;$E65,'Updated SES'!A:I,9,0)</f>
        <v>0.47599999999999998</v>
      </c>
      <c r="N65" s="124">
        <f>VLOOKUP(K:K,'Genre Penetration'!A:C,3,0)*VLOOKUP($C65&amp;$E65,'Updated SES'!A:J,10,0)</f>
        <v>9.6000000000000002E-2</v>
      </c>
      <c r="O65" s="124" t="e">
        <f>VLOOKUP($B65,'Language Penetration'!$B$1:$BE$14,MATCH('Compile data Working'!$H246,'Language Penetration'!$B$1:$BE$1,0),0)</f>
        <v>#N/A</v>
      </c>
      <c r="P65" s="124" t="str">
        <f ca="1">IF(ISBLANK(J65),RANDBETWEEN(1,2)&amp;"%",IF(J65=1,RANDBETWEEN(35,40)&amp;"%",IF(J65=2,RANDBETWEEN(30,35)&amp;"%",IF(J65=3,RANDBETWEEN(25,30)&amp;"%",IF(J65=4,RANDBETWEEN(20,25)&amp;"%",IF(J65=5,RANDBETWEEN(15,20)&amp;"%",IF(J65=6,RANDBETWEEN(10,15)&amp;"%",IF(J65=7,RANDBETWEEN(8,10)&amp;"%",IF(J65=8,RANDBETWEEN(6,8)&amp;"%",IF(J65=9,RANDBETWEEN(4,6)&amp;"%",IF(J65=10,RANDBETWEEN(2,4)&amp;"%","")))))))))))</f>
        <v>2%</v>
      </c>
      <c r="Q65" s="123" t="e">
        <f ca="1">IFERROR(L65*(M65+N65)*O65*P65,RANDBETWEEN(1,2)%*L65*(M65+N65)*O65)</f>
        <v>#N/A</v>
      </c>
      <c r="R65" s="125">
        <f>VLOOKUP(D:D,ranking!W:X,2,0)</f>
        <v>0.7</v>
      </c>
      <c r="S65" s="126" t="e">
        <f ca="1">R65*Q65</f>
        <v>#N/A</v>
      </c>
      <c r="T65" s="123">
        <v>4.3691856901461419</v>
      </c>
    </row>
    <row r="66" spans="1:21" x14ac:dyDescent="0.25">
      <c r="A66" s="98" t="s">
        <v>2005</v>
      </c>
      <c r="B66" s="98" t="s">
        <v>85</v>
      </c>
      <c r="C66" s="46" t="s">
        <v>123</v>
      </c>
      <c r="D66" s="98" t="s">
        <v>434</v>
      </c>
      <c r="E66" s="46" t="s">
        <v>211</v>
      </c>
      <c r="F66" s="46" t="s">
        <v>213</v>
      </c>
      <c r="G66" s="46" t="s">
        <v>2032</v>
      </c>
      <c r="H66" s="46" t="s">
        <v>21</v>
      </c>
      <c r="I66" s="53">
        <v>46174</v>
      </c>
      <c r="J66" s="98"/>
      <c r="K66" s="46" t="s">
        <v>145</v>
      </c>
      <c r="L66" s="123">
        <f>VLOOKUP($C66&amp;$E66,'Updated SES'!A:N,14,0)</f>
        <v>55.459200000000003</v>
      </c>
      <c r="M66" s="124">
        <f>VLOOKUP($K66,'Genre Penetration'!A:B,2,0)*VLOOKUP($C66&amp;$E66,'Updated SES'!A:I,9,0)</f>
        <v>0.18129999999999999</v>
      </c>
      <c r="N66" s="124">
        <f>VLOOKUP(K:K,'Genre Penetration'!A:C,3,0)*VLOOKUP($C66&amp;$E66,'Updated SES'!A:J,10,0)</f>
        <v>0.32130000000000003</v>
      </c>
      <c r="O66" s="124" t="e">
        <f>VLOOKUP($B66,'Language Penetration'!$B$1:$BE$14,MATCH('Compile data Working'!$H24,'Language Penetration'!$B$1:$BE$1,0),0)</f>
        <v>#N/A</v>
      </c>
      <c r="P66" s="124" t="str">
        <f ca="1">IF(ISBLANK(J66),RANDBETWEEN(1,2)&amp;"%",IF(J66=1,RANDBETWEEN(35,40)&amp;"%",IF(J66=2,RANDBETWEEN(30,35)&amp;"%",IF(J66=3,RANDBETWEEN(25,30)&amp;"%",IF(J66=4,RANDBETWEEN(20,25)&amp;"%",IF(J66=5,RANDBETWEEN(15,20)&amp;"%",IF(J66=6,RANDBETWEEN(10,15)&amp;"%",IF(J66=7,RANDBETWEEN(8,10)&amp;"%",IF(J66=8,RANDBETWEEN(6,8)&amp;"%",IF(J66=9,RANDBETWEEN(4,6)&amp;"%",IF(J66=10,RANDBETWEEN(2,4)&amp;"%","")))))))))))</f>
        <v>2%</v>
      </c>
      <c r="Q66" s="123" t="e">
        <f ca="1">IFERROR(L66*(M66+N66)*O66*P66,RANDBETWEEN(1,2)%*L66*(M66+N66)*O66)</f>
        <v>#N/A</v>
      </c>
      <c r="R66" s="125">
        <f>VLOOKUP(D:D,ranking!W:X,2,0)</f>
        <v>0.7</v>
      </c>
      <c r="S66" s="126" t="e">
        <f ca="1">R66*Q66</f>
        <v>#N/A</v>
      </c>
      <c r="T66" s="123">
        <v>4.3269799007045</v>
      </c>
    </row>
    <row r="67" spans="1:21" x14ac:dyDescent="0.25">
      <c r="A67" s="98" t="s">
        <v>2005</v>
      </c>
      <c r="B67" s="98" t="s">
        <v>85</v>
      </c>
      <c r="C67" s="46" t="s">
        <v>123</v>
      </c>
      <c r="D67" s="46" t="s">
        <v>1013</v>
      </c>
      <c r="E67" s="46" t="s">
        <v>211</v>
      </c>
      <c r="F67" s="46" t="s">
        <v>213</v>
      </c>
      <c r="G67" s="46" t="s">
        <v>2086</v>
      </c>
      <c r="H67" s="46" t="s">
        <v>28</v>
      </c>
      <c r="I67" s="53">
        <v>46178</v>
      </c>
      <c r="J67" s="98"/>
      <c r="K67" s="46" t="s">
        <v>202</v>
      </c>
      <c r="L67" s="123">
        <f>VLOOKUP($C67&amp;$E67,'Updated SES'!A:N,14,0)</f>
        <v>55.459200000000003</v>
      </c>
      <c r="M67" s="124">
        <f>VLOOKUP($K67,'Genre Penetration'!A:B,2,0)*VLOOKUP($C67&amp;$E67,'Updated SES'!A:I,9,0)</f>
        <v>0.3528</v>
      </c>
      <c r="N67" s="124">
        <f>VLOOKUP(K:K,'Genre Penetration'!A:C,3,0)*VLOOKUP($C67&amp;$E67,'Updated SES'!A:J,10,0)</f>
        <v>0.14280000000000001</v>
      </c>
      <c r="O67" s="124">
        <f>VLOOKUP($B67,'Language Penetration'!$B$1:$BE$14,MATCH('Compile data Working'!$H127,'Language Penetration'!$B$1:$BE$1,0),0)</f>
        <v>0.6</v>
      </c>
      <c r="P67" s="124" t="str">
        <f ca="1">IF(ISBLANK(J67),RANDBETWEEN(1,2)&amp;"%",IF(J67=1,RANDBETWEEN(35,40)&amp;"%",IF(J67=2,RANDBETWEEN(30,35)&amp;"%",IF(J67=3,RANDBETWEEN(25,30)&amp;"%",IF(J67=4,RANDBETWEEN(20,25)&amp;"%",IF(J67=5,RANDBETWEEN(15,20)&amp;"%",IF(J67=6,RANDBETWEEN(10,15)&amp;"%",IF(J67=7,RANDBETWEEN(8,10)&amp;"%",IF(J67=8,RANDBETWEEN(6,8)&amp;"%",IF(J67=9,RANDBETWEEN(4,6)&amp;"%",IF(J67=10,RANDBETWEEN(2,4)&amp;"%","")))))))))))</f>
        <v>2%</v>
      </c>
      <c r="Q67" s="123">
        <f ca="1">IFERROR(L67*(M67+N67)*O67*P67,RANDBETWEEN(1,2)%*L67*(M67+N67)*O67)</f>
        <v>0.32982695424000008</v>
      </c>
      <c r="R67" s="125">
        <f>VLOOKUP(D:D,ranking!W:X,2,0)</f>
        <v>0.8</v>
      </c>
      <c r="S67" s="126">
        <f ca="1">R67*Q67</f>
        <v>0.26386156339200006</v>
      </c>
      <c r="T67" s="123">
        <v>4.323309669947113</v>
      </c>
      <c r="U67">
        <v>4.323309669947113</v>
      </c>
    </row>
    <row r="68" spans="1:21" x14ac:dyDescent="0.25">
      <c r="A68" s="98" t="s">
        <v>2005</v>
      </c>
      <c r="B68" s="98" t="s">
        <v>85</v>
      </c>
      <c r="C68" s="98" t="s">
        <v>64</v>
      </c>
      <c r="D68" s="98" t="s">
        <v>434</v>
      </c>
      <c r="E68" s="46" t="s">
        <v>211</v>
      </c>
      <c r="F68" s="46" t="s">
        <v>213</v>
      </c>
      <c r="G68" s="53" t="s">
        <v>2072</v>
      </c>
      <c r="H68" s="46" t="s">
        <v>19</v>
      </c>
      <c r="I68" s="53">
        <v>46178</v>
      </c>
      <c r="J68" s="98"/>
      <c r="K68" s="46" t="s">
        <v>145</v>
      </c>
      <c r="L68" s="123">
        <f>VLOOKUP($C68&amp;$E68,'Updated SES'!A:N,14,0)</f>
        <v>36.498239999999996</v>
      </c>
      <c r="M68" s="124">
        <f>VLOOKUP($K68,'Genre Penetration'!A:B,2,0)*VLOOKUP($C68&amp;$E68,'Updated SES'!A:I,9,0)</f>
        <v>0.19240000000000002</v>
      </c>
      <c r="N68" s="124">
        <f>VLOOKUP(K:K,'Genre Penetration'!A:C,3,0)*VLOOKUP($C68&amp;$E68,'Updated SES'!A:J,10,0)</f>
        <v>0.3024</v>
      </c>
      <c r="O68" s="124" t="e">
        <f>VLOOKUP($B68,'Language Penetration'!$B$1:$BE$14,MATCH('Compile data Working'!$H254,'Language Penetration'!$B$1:$BE$1,0),0)</f>
        <v>#N/A</v>
      </c>
      <c r="P68" s="124" t="str">
        <f ca="1">IF(ISBLANK(J68),RANDBETWEEN(1,2)&amp;"%",IF(J68=1,RANDBETWEEN(35,40)&amp;"%",IF(J68=2,RANDBETWEEN(30,35)&amp;"%",IF(J68=3,RANDBETWEEN(25,30)&amp;"%",IF(J68=4,RANDBETWEEN(20,25)&amp;"%",IF(J68=5,RANDBETWEEN(15,20)&amp;"%",IF(J68=6,RANDBETWEEN(10,15)&amp;"%",IF(J68=7,RANDBETWEEN(8,10)&amp;"%",IF(J68=8,RANDBETWEEN(6,8)&amp;"%",IF(J68=9,RANDBETWEEN(4,6)&amp;"%",IF(J68=10,RANDBETWEEN(2,4)&amp;"%","")))))))))))</f>
        <v>2%</v>
      </c>
      <c r="Q68" s="123" t="e">
        <f ca="1">IFERROR(L68*(M68+N68)*O68*P68,RANDBETWEEN(1,2)%*L68*(M68+N68)*O68)</f>
        <v>#N/A</v>
      </c>
      <c r="R68" s="125">
        <f>VLOOKUP(D:D,ranking!W:X,2,0)</f>
        <v>0.7</v>
      </c>
      <c r="S68" s="126" t="e">
        <f ca="1">R68*Q68</f>
        <v>#N/A</v>
      </c>
      <c r="T68" s="123">
        <v>4.2547224967117421</v>
      </c>
      <c r="U68">
        <v>4.2547224967117421</v>
      </c>
    </row>
    <row r="69" spans="1:21" x14ac:dyDescent="0.25">
      <c r="A69" s="98" t="s">
        <v>2005</v>
      </c>
      <c r="B69" s="98" t="s">
        <v>85</v>
      </c>
      <c r="C69" s="46" t="s">
        <v>64</v>
      </c>
      <c r="D69" s="98" t="s">
        <v>1012</v>
      </c>
      <c r="E69" s="46" t="s">
        <v>211</v>
      </c>
      <c r="F69" s="46" t="s">
        <v>215</v>
      </c>
      <c r="G69" s="46" t="s">
        <v>2045</v>
      </c>
      <c r="H69" s="46" t="s">
        <v>20</v>
      </c>
      <c r="I69" s="53">
        <v>46176</v>
      </c>
      <c r="J69" s="98"/>
      <c r="K69" s="46" t="s">
        <v>158</v>
      </c>
      <c r="L69" s="123">
        <f>VLOOKUP($C69&amp;$E69,'Updated SES'!A:N,14,0)</f>
        <v>36.498239999999996</v>
      </c>
      <c r="M69" s="124">
        <f>VLOOKUP($K69,'Genre Penetration'!A:B,2,0)*VLOOKUP($C69&amp;$E69,'Updated SES'!A:I,9,0)</f>
        <v>0.23400000000000001</v>
      </c>
      <c r="N69" s="124">
        <f>VLOOKUP(K:K,'Genre Penetration'!A:C,3,0)*VLOOKUP($C69&amp;$E69,'Updated SES'!A:J,10,0)</f>
        <v>0.26400000000000001</v>
      </c>
      <c r="O69" s="124" t="e">
        <f>VLOOKUP($B69,'Language Penetration'!$B$1:$BE$14,MATCH('Compile data Working'!#REF!,'Language Penetration'!$B$1:$BE$1,0),0)</f>
        <v>#REF!</v>
      </c>
      <c r="P69" s="124" t="str">
        <f ca="1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2%</v>
      </c>
      <c r="Q69" s="123" t="e">
        <f ca="1">IFERROR(L69*(M69+N69)*O69*P69,RANDBETWEEN(1,2)%*L69*(M69+N69)*O69)</f>
        <v>#REF!</v>
      </c>
      <c r="R69" s="125">
        <f>VLOOKUP(D:D,ranking!W:X,2,0)</f>
        <v>0.6</v>
      </c>
      <c r="S69" s="126" t="e">
        <f ca="1">R69*Q69</f>
        <v>#REF!</v>
      </c>
      <c r="T69" s="123">
        <v>4.2459518907464195</v>
      </c>
    </row>
    <row r="70" spans="1:21" x14ac:dyDescent="0.25">
      <c r="A70" s="98" t="s">
        <v>2005</v>
      </c>
      <c r="B70" s="98" t="s">
        <v>85</v>
      </c>
      <c r="C70" s="46" t="s">
        <v>123</v>
      </c>
      <c r="D70" s="98" t="s">
        <v>437</v>
      </c>
      <c r="E70" s="46" t="s">
        <v>211</v>
      </c>
      <c r="F70" s="46" t="s">
        <v>60</v>
      </c>
      <c r="G70" s="46" t="s">
        <v>2037</v>
      </c>
      <c r="H70" s="46" t="s">
        <v>28</v>
      </c>
      <c r="I70" s="53">
        <v>46174</v>
      </c>
      <c r="J70" s="98"/>
      <c r="K70" s="46" t="s">
        <v>46</v>
      </c>
      <c r="L70" s="123">
        <f>VLOOKUP($C70&amp;$E70,'Updated SES'!A:N,14,0)</f>
        <v>55.459200000000003</v>
      </c>
      <c r="M70" s="124">
        <f>VLOOKUP($K70,'Genre Penetration'!A:B,2,0)*VLOOKUP($C70&amp;$E70,'Updated SES'!A:I,9,0)</f>
        <v>0.34299999999999997</v>
      </c>
      <c r="N70" s="124">
        <f>VLOOKUP(K:K,'Genre Penetration'!A:C,3,0)*VLOOKUP($C70&amp;$E70,'Updated SES'!A:J,10,0)</f>
        <v>0.153</v>
      </c>
      <c r="O70" s="124">
        <f>VLOOKUP($B70,'Language Penetration'!$B$1:$BE$14,MATCH('Compile data Working'!$H253,'Language Penetration'!$B$1:$BE$1,0),0)</f>
        <v>0.6</v>
      </c>
      <c r="P70" s="124" t="str">
        <f ca="1">IF(ISBLANK(J70),RANDBETWEEN(1,2)&amp;"%",IF(J70=1,RANDBETWEEN(35,40)&amp;"%",IF(J70=2,RANDBETWEEN(30,35)&amp;"%",IF(J70=3,RANDBETWEEN(25,30)&amp;"%",IF(J70=4,RANDBETWEEN(20,25)&amp;"%",IF(J70=5,RANDBETWEEN(15,20)&amp;"%",IF(J70=6,RANDBETWEEN(10,15)&amp;"%",IF(J70=7,RANDBETWEEN(8,10)&amp;"%",IF(J70=8,RANDBETWEEN(6,8)&amp;"%",IF(J70=9,RANDBETWEEN(4,6)&amp;"%",IF(J70=10,RANDBETWEEN(2,4)&amp;"%","")))))))))))</f>
        <v>2%</v>
      </c>
      <c r="Q70" s="123">
        <f ca="1">IFERROR(L70*(M70+N70)*O70*P70,RANDBETWEEN(1,2)%*L70*(M70+N70)*O70)</f>
        <v>0.33009315839999998</v>
      </c>
      <c r="R70" s="125">
        <f>VLOOKUP(D:D,ranking!W:X,2,0)</f>
        <v>0.1</v>
      </c>
      <c r="S70" s="126">
        <f ca="1">R70*Q70</f>
        <v>3.3009315839999998E-2</v>
      </c>
      <c r="T70" s="123">
        <v>4.232601561312487</v>
      </c>
    </row>
    <row r="71" spans="1:21" x14ac:dyDescent="0.25">
      <c r="A71" s="98" t="s">
        <v>1057</v>
      </c>
      <c r="B71" s="98" t="s">
        <v>85</v>
      </c>
      <c r="C71" s="98" t="s">
        <v>132</v>
      </c>
      <c r="D71" s="98" t="s">
        <v>456</v>
      </c>
      <c r="E71" s="98" t="s">
        <v>219</v>
      </c>
      <c r="F71" s="46" t="s">
        <v>1917</v>
      </c>
      <c r="G71" s="98" t="s">
        <v>369</v>
      </c>
      <c r="H71" s="98" t="s">
        <v>19</v>
      </c>
      <c r="I71" s="98" t="s">
        <v>254</v>
      </c>
      <c r="J71" s="119">
        <v>9</v>
      </c>
      <c r="K71" s="98" t="s">
        <v>124</v>
      </c>
      <c r="L71" s="123">
        <f>VLOOKUP($C71&amp;$E71,'Updated SES'!A:N,14,0)</f>
        <v>5.2679999999999998</v>
      </c>
      <c r="M71" s="124">
        <f>VLOOKUP($K71,'Genre Penetration'!A:B,2,0)*VLOOKUP($C71&amp;$E71,'Updated SES'!A:I,9,0)</f>
        <v>0.29700000000000004</v>
      </c>
      <c r="N71" s="124">
        <f>VLOOKUP(K:K,'Genre Penetration'!A:C,3,0)*VLOOKUP($C71&amp;$E71,'Updated SES'!A:J,10,0)</f>
        <v>0.18700000000000003</v>
      </c>
      <c r="O71" s="124" t="e">
        <f>VLOOKUP($B71,'Language Penetration'!$B$1:$BE$14,MATCH('Compile data Working'!#REF!,'Language Penetration'!$B$1:$BE$1,0),0)</f>
        <v>#REF!</v>
      </c>
      <c r="P71" s="124" t="str">
        <f ca="1">IF(ISBLANK(J71),RANDBETWEEN(1,2)&amp;"%",IF(J71=1,RANDBETWEEN(35,40)&amp;"%",IF(J71=2,RANDBETWEEN(30,35)&amp;"%",IF(J71=3,RANDBETWEEN(25,30)&amp;"%",IF(J71=4,RANDBETWEEN(20,25)&amp;"%",IF(J71=5,RANDBETWEEN(15,20)&amp;"%",IF(J71=6,RANDBETWEEN(10,15)&amp;"%",IF(J71=7,RANDBETWEEN(8,10)&amp;"%",IF(J71=8,RANDBETWEEN(6,8)&amp;"%",IF(J71=9,RANDBETWEEN(4,6)&amp;"%",IF(J71=10,RANDBETWEEN(2,4)&amp;"%","")))))))))))</f>
        <v>4%</v>
      </c>
      <c r="Q71" s="123" t="e">
        <f ca="1">IFERROR(L71*(M71+N71)*O71*P71,RANDBETWEEN(1,2)%*L71*(M71+N71)*O71)</f>
        <v>#REF!</v>
      </c>
      <c r="R71" s="125">
        <f>VLOOKUP(D:D,ranking!W:X,2,0)</f>
        <v>0.3</v>
      </c>
      <c r="S71" s="126" t="e">
        <f ca="1">R71*Q71</f>
        <v>#REF!</v>
      </c>
      <c r="T71" s="123">
        <v>4.2173630832336499</v>
      </c>
    </row>
    <row r="72" spans="1:21" x14ac:dyDescent="0.25">
      <c r="A72" s="98" t="s">
        <v>2005</v>
      </c>
      <c r="B72" s="98" t="s">
        <v>85</v>
      </c>
      <c r="C72" s="46" t="s">
        <v>906</v>
      </c>
      <c r="D72" s="46" t="s">
        <v>1012</v>
      </c>
      <c r="E72" s="46" t="s">
        <v>211</v>
      </c>
      <c r="F72" s="46" t="s">
        <v>215</v>
      </c>
      <c r="G72" s="46" t="s">
        <v>2009</v>
      </c>
      <c r="H72" s="46" t="s">
        <v>20</v>
      </c>
      <c r="I72" s="53">
        <v>46173</v>
      </c>
      <c r="J72" s="98"/>
      <c r="K72" s="46" t="s">
        <v>138</v>
      </c>
      <c r="L72" s="123">
        <f>VLOOKUP($C72&amp;$E72,'Updated SES'!A:N,14,0)</f>
        <v>127.11702000000001</v>
      </c>
      <c r="M72" s="124">
        <f>VLOOKUP($K72,'Genre Penetration'!A:B,2,0)*VLOOKUP($C72&amp;$E72,'Updated SES'!A:I,9,0)</f>
        <v>0.31489999999999996</v>
      </c>
      <c r="N72" s="124">
        <f>VLOOKUP(K:K,'Genre Penetration'!A:C,3,0)*VLOOKUP($C72&amp;$E72,'Updated SES'!A:J,10,0)</f>
        <v>0.1749</v>
      </c>
      <c r="O72" s="124" t="e">
        <f>VLOOKUP($B72,'Language Penetration'!$B$1:$BE$14,MATCH('Compile data Working'!$H86,'Language Penetration'!$B$1:$BE$1,0),0)</f>
        <v>#N/A</v>
      </c>
      <c r="P72" s="124" t="str">
        <f ca="1">IF(ISBLANK(J72),RANDBETWEEN(1,2)&amp;"%",IF(J72=1,RANDBETWEEN(35,40)&amp;"%",IF(J72=2,RANDBETWEEN(30,35)&amp;"%",IF(J72=3,RANDBETWEEN(25,30)&amp;"%",IF(J72=4,RANDBETWEEN(20,25)&amp;"%",IF(J72=5,RANDBETWEEN(15,20)&amp;"%",IF(J72=6,RANDBETWEEN(10,15)&amp;"%",IF(J72=7,RANDBETWEEN(8,10)&amp;"%",IF(J72=8,RANDBETWEEN(6,8)&amp;"%",IF(J72=9,RANDBETWEEN(4,6)&amp;"%",IF(J72=10,RANDBETWEEN(2,4)&amp;"%","")))))))))))</f>
        <v>2%</v>
      </c>
      <c r="Q72" s="123" t="e">
        <f ca="1">IFERROR(L72*(M72+N72)*O72*P72,RANDBETWEEN(1,2)%*L72*(M72+N72)*O72)</f>
        <v>#N/A</v>
      </c>
      <c r="R72" s="125">
        <f>VLOOKUP(D:D,ranking!W:X,2,0)</f>
        <v>0.6</v>
      </c>
      <c r="S72" s="126" t="e">
        <f ca="1">R72*Q72</f>
        <v>#N/A</v>
      </c>
      <c r="T72" s="123">
        <v>4.1370906475174598</v>
      </c>
    </row>
    <row r="73" spans="1:21" x14ac:dyDescent="0.25">
      <c r="A73" s="98" t="s">
        <v>2005</v>
      </c>
      <c r="B73" s="98" t="s">
        <v>85</v>
      </c>
      <c r="C73" s="46" t="s">
        <v>64</v>
      </c>
      <c r="D73" s="46" t="s">
        <v>1012</v>
      </c>
      <c r="E73" s="46" t="s">
        <v>211</v>
      </c>
      <c r="F73" s="46" t="s">
        <v>215</v>
      </c>
      <c r="G73" s="53" t="s">
        <v>2053</v>
      </c>
      <c r="H73" s="46" t="s">
        <v>21</v>
      </c>
      <c r="I73" s="53">
        <v>46176</v>
      </c>
      <c r="J73" s="98"/>
      <c r="K73" s="46" t="s">
        <v>243</v>
      </c>
      <c r="L73" s="123">
        <f>VLOOKUP($C73&amp;$E73,'Updated SES'!A:N,14,0)</f>
        <v>36.498239999999996</v>
      </c>
      <c r="M73" s="124">
        <f>VLOOKUP($K73,'Genre Penetration'!A:B,2,0)*VLOOKUP($C73&amp;$E73,'Updated SES'!A:I,9,0)</f>
        <v>0.28080000000000005</v>
      </c>
      <c r="N73" s="124">
        <f>VLOOKUP(K:K,'Genre Penetration'!A:C,3,0)*VLOOKUP($C73&amp;$E73,'Updated SES'!A:J,10,0)</f>
        <v>0.22079999999999997</v>
      </c>
      <c r="O73" s="124">
        <f>VLOOKUP($B73,'Language Penetration'!$B$1:$BE$14,MATCH('Compile data Working'!$H180,'Language Penetration'!$B$1:$BE$1,0),0)</f>
        <v>0.6</v>
      </c>
      <c r="P73" s="124" t="str">
        <f ca="1">IF(ISBLANK(J73),RANDBETWEEN(1,2)&amp;"%",IF(J73=1,RANDBETWEEN(35,40)&amp;"%",IF(J73=2,RANDBETWEEN(30,35)&amp;"%",IF(J73=3,RANDBETWEEN(25,30)&amp;"%",IF(J73=4,RANDBETWEEN(20,25)&amp;"%",IF(J73=5,RANDBETWEEN(15,20)&amp;"%",IF(J73=6,RANDBETWEEN(10,15)&amp;"%",IF(J73=7,RANDBETWEEN(8,10)&amp;"%",IF(J73=8,RANDBETWEEN(6,8)&amp;"%",IF(J73=9,RANDBETWEEN(4,6)&amp;"%",IF(J73=10,RANDBETWEEN(2,4)&amp;"%","")))))))))))</f>
        <v>2%</v>
      </c>
      <c r="Q73" s="123">
        <f ca="1">IFERROR(L73*(M73+N73)*O73*P73,RANDBETWEEN(1,2)%*L73*(M73+N73)*O73)</f>
        <v>0.21969020620799998</v>
      </c>
      <c r="R73" s="125">
        <f>VLOOKUP(D:D,ranking!W:X,2,0)</f>
        <v>0.6</v>
      </c>
      <c r="S73" s="126">
        <f ca="1">R73*Q73</f>
        <v>0.13181412372479998</v>
      </c>
      <c r="T73" s="123">
        <v>4.1041566946194896</v>
      </c>
    </row>
    <row r="74" spans="1:21" x14ac:dyDescent="0.25">
      <c r="A74" s="98" t="s">
        <v>1057</v>
      </c>
      <c r="B74" s="98" t="s">
        <v>85</v>
      </c>
      <c r="C74" s="98" t="s">
        <v>906</v>
      </c>
      <c r="D74" s="46" t="s">
        <v>431</v>
      </c>
      <c r="E74" s="46" t="s">
        <v>211</v>
      </c>
      <c r="F74" s="46" t="s">
        <v>215</v>
      </c>
      <c r="G74" s="46" t="s">
        <v>1861</v>
      </c>
      <c r="H74" s="46" t="s">
        <v>1864</v>
      </c>
      <c r="I74" s="53">
        <v>46157</v>
      </c>
      <c r="J74" s="119">
        <v>5</v>
      </c>
      <c r="K74" s="46" t="s">
        <v>90</v>
      </c>
      <c r="L74" s="123">
        <f>VLOOKUP($C74&amp;$E74,'Updated SES'!A:N,14,0)</f>
        <v>127.11702000000001</v>
      </c>
      <c r="M74" s="124">
        <f>VLOOKUP($K74,'Genre Penetration'!A:B,2,0)*VLOOKUP($C74&amp;$E74,'Updated SES'!A:I,9,0)</f>
        <v>0.48239999999999994</v>
      </c>
      <c r="N74" s="124">
        <f>VLOOKUP(K:K,'Genre Penetration'!A:C,3,0)*VLOOKUP($C74&amp;$E74,'Updated SES'!A:J,10,0)</f>
        <v>9.2399999999999996E-2</v>
      </c>
      <c r="O74" s="124">
        <f>VLOOKUP($B74,'Language Penetration'!$B$1:$BE$14,MATCH('Compile data Working'!$H186,'Language Penetration'!$B$1:$BE$1,0),0)</f>
        <v>0.12</v>
      </c>
      <c r="P74" s="124" t="str">
        <f ca="1">IF(ISBLANK(J74),RANDBETWEEN(1,2)&amp;"%",IF(J74=1,RANDBETWEEN(35,40)&amp;"%",IF(J74=2,RANDBETWEEN(30,35)&amp;"%",IF(J74=3,RANDBETWEEN(25,30)&amp;"%",IF(J74=4,RANDBETWEEN(20,25)&amp;"%",IF(J74=5,RANDBETWEEN(15,20)&amp;"%",IF(J74=6,RANDBETWEEN(10,15)&amp;"%",IF(J74=7,RANDBETWEEN(8,10)&amp;"%",IF(J74=8,RANDBETWEEN(6,8)&amp;"%",IF(J74=9,RANDBETWEEN(4,6)&amp;"%",IF(J74=10,RANDBETWEEN(2,4)&amp;"%","")))))))))))</f>
        <v>16%</v>
      </c>
      <c r="Q74" s="123">
        <f ca="1">IFERROR(L74*(M74+N74)*O74*P74,RANDBETWEEN(1,2)%*L74*(M74+N74)*O74)</f>
        <v>1.4028837714432001</v>
      </c>
      <c r="R74" s="125">
        <f>VLOOKUP(D:D,ranking!W:X,2,0)</f>
        <v>0.6</v>
      </c>
      <c r="S74" s="126">
        <f ca="1">R74*Q74</f>
        <v>0.84173026286592001</v>
      </c>
      <c r="T74" s="123">
        <v>4.0748605907197399</v>
      </c>
    </row>
    <row r="75" spans="1:21" x14ac:dyDescent="0.25">
      <c r="A75" s="98" t="s">
        <v>2005</v>
      </c>
      <c r="B75" s="98" t="s">
        <v>85</v>
      </c>
      <c r="C75" s="46" t="s">
        <v>150</v>
      </c>
      <c r="D75" s="98" t="s">
        <v>434</v>
      </c>
      <c r="E75" s="46" t="s">
        <v>211</v>
      </c>
      <c r="F75" s="46" t="s">
        <v>213</v>
      </c>
      <c r="G75" s="46" t="s">
        <v>2079</v>
      </c>
      <c r="H75" s="46" t="s">
        <v>2094</v>
      </c>
      <c r="I75" s="53">
        <v>46178</v>
      </c>
      <c r="J75" s="98">
        <v>1</v>
      </c>
      <c r="K75" s="46" t="s">
        <v>355</v>
      </c>
      <c r="L75" s="123">
        <f>VLOOKUP($C75&amp;$E75,'Updated SES'!A:N,14,0)</f>
        <v>60.152000000000001</v>
      </c>
      <c r="M75" s="124">
        <f>VLOOKUP($K75,'Genre Penetration'!A:B,2,0)*VLOOKUP($C75&amp;$E75,'Updated SES'!A:I,9,0)</f>
        <v>0.377</v>
      </c>
      <c r="N75" s="124">
        <f>VLOOKUP(K:K,'Genre Penetration'!A:C,3,0)*VLOOKUP($C75&amp;$E75,'Updated SES'!A:J,10,0)</f>
        <v>0.14699999999999999</v>
      </c>
      <c r="O75" s="124">
        <v>0.6</v>
      </c>
      <c r="P75" s="124" t="str">
        <f ca="1">IF(ISBLANK(J75),RANDBETWEEN(1,2)&amp;"%",IF(J75=1,RANDBETWEEN(35,40)&amp;"%",IF(J75=2,RANDBETWEEN(30,35)&amp;"%",IF(J75=3,RANDBETWEEN(25,30)&amp;"%",IF(J75=4,RANDBETWEEN(20,25)&amp;"%",IF(J75=5,RANDBETWEEN(15,20)&amp;"%",IF(J75=6,RANDBETWEEN(10,15)&amp;"%",IF(J75=7,RANDBETWEEN(8,10)&amp;"%",IF(J75=8,RANDBETWEEN(6,8)&amp;"%",IF(J75=9,RANDBETWEEN(4,6)&amp;"%",IF(J75=10,RANDBETWEEN(2,4)&amp;"%","")))))))))))</f>
        <v>37%</v>
      </c>
      <c r="Q75" s="123">
        <f ca="1">IFERROR(L75*(M75+N75)*O75*P75,RANDBETWEEN(1,2)%*L75*(M75+N75)*O75)</f>
        <v>6.9973618560000004</v>
      </c>
      <c r="R75" s="125">
        <f>VLOOKUP(D:D,ranking!W:X,2,0)</f>
        <v>0.7</v>
      </c>
      <c r="S75" s="126">
        <f ca="1">R75*Q75</f>
        <v>4.8981532991999996</v>
      </c>
      <c r="T75" s="123">
        <v>4.0319164074008702</v>
      </c>
      <c r="U75">
        <v>4.0319164074008702</v>
      </c>
    </row>
    <row r="76" spans="1:21" x14ac:dyDescent="0.25">
      <c r="A76" s="98" t="s">
        <v>2005</v>
      </c>
      <c r="B76" s="98" t="s">
        <v>85</v>
      </c>
      <c r="C76" s="46" t="s">
        <v>71</v>
      </c>
      <c r="D76" s="46" t="s">
        <v>1012</v>
      </c>
      <c r="E76" s="46" t="s">
        <v>211</v>
      </c>
      <c r="F76" s="46" t="s">
        <v>215</v>
      </c>
      <c r="G76" s="46" t="s">
        <v>2011</v>
      </c>
      <c r="H76" s="46" t="s">
        <v>32</v>
      </c>
      <c r="I76" s="53">
        <v>46173</v>
      </c>
      <c r="J76" s="98"/>
      <c r="K76" s="46" t="s">
        <v>170</v>
      </c>
      <c r="L76" s="123">
        <f>VLOOKUP($C76&amp;$E76,'Updated SES'!A:N,14,0)</f>
        <v>4.1369999999999996</v>
      </c>
      <c r="M76" s="124">
        <f>VLOOKUP($K76,'Genre Penetration'!A:B,2,0)*VLOOKUP($C76&amp;$E76,'Updated SES'!A:I,9,0)</f>
        <v>0.43499999999999994</v>
      </c>
      <c r="N76" s="124">
        <f>VLOOKUP(K:K,'Genre Penetration'!A:C,3,0)*VLOOKUP($C76&amp;$E76,'Updated SES'!A:J,10,0)</f>
        <v>0.105</v>
      </c>
      <c r="O76" s="124" t="e">
        <f>VLOOKUP($B76,'Language Penetration'!$B$1:$BE$14,MATCH('Compile data Working'!#REF!,'Language Penetration'!$B$1:$BE$1,0),0)</f>
        <v>#REF!</v>
      </c>
      <c r="P76" s="124" t="str">
        <f ca="1">IF(ISBLANK(J76),RANDBETWEEN(1,2)&amp;"%",IF(J76=1,RANDBETWEEN(35,40)&amp;"%",IF(J76=2,RANDBETWEEN(30,35)&amp;"%",IF(J76=3,RANDBETWEEN(25,30)&amp;"%",IF(J76=4,RANDBETWEEN(20,25)&amp;"%",IF(J76=5,RANDBETWEEN(15,20)&amp;"%",IF(J76=6,RANDBETWEEN(10,15)&amp;"%",IF(J76=7,RANDBETWEEN(8,10)&amp;"%",IF(J76=8,RANDBETWEEN(6,8)&amp;"%",IF(J76=9,RANDBETWEEN(4,6)&amp;"%",IF(J76=10,RANDBETWEEN(2,4)&amp;"%","")))))))))))</f>
        <v>2%</v>
      </c>
      <c r="Q76" s="123" t="e">
        <f ca="1">IFERROR(L76*(M76+N76)*O76*P76,RANDBETWEEN(1,2)%*L76*(M76+N76)*O76)</f>
        <v>#REF!</v>
      </c>
      <c r="R76" s="125">
        <f>VLOOKUP(D:D,ranking!W:X,2,0)</f>
        <v>0.6</v>
      </c>
      <c r="S76" s="126" t="e">
        <f ca="1">R76*Q76</f>
        <v>#REF!</v>
      </c>
      <c r="T76" s="123">
        <v>3.9153535565828927</v>
      </c>
    </row>
    <row r="77" spans="1:21" x14ac:dyDescent="0.25">
      <c r="A77" s="98" t="s">
        <v>2005</v>
      </c>
      <c r="B77" s="98" t="s">
        <v>85</v>
      </c>
      <c r="C77" s="98" t="s">
        <v>123</v>
      </c>
      <c r="D77" s="98" t="s">
        <v>1012</v>
      </c>
      <c r="E77" s="46" t="s">
        <v>211</v>
      </c>
      <c r="F77" s="46" t="s">
        <v>215</v>
      </c>
      <c r="G77" s="46" t="s">
        <v>2084</v>
      </c>
      <c r="H77" s="46" t="s">
        <v>28</v>
      </c>
      <c r="I77" s="53">
        <v>46178</v>
      </c>
      <c r="J77" s="98">
        <v>1</v>
      </c>
      <c r="K77" s="46" t="s">
        <v>92</v>
      </c>
      <c r="L77" s="123">
        <f>VLOOKUP($C77&amp;$E77,'Updated SES'!A:N,14,0)</f>
        <v>55.459200000000003</v>
      </c>
      <c r="M77" s="124">
        <f>VLOOKUP($K77,'Genre Penetration'!A:B,2,0)*VLOOKUP($C77&amp;$E77,'Updated SES'!A:I,9,0)</f>
        <v>0.25969999999999999</v>
      </c>
      <c r="N77" s="124">
        <f>VLOOKUP(K:K,'Genre Penetration'!A:C,3,0)*VLOOKUP($C77&amp;$E77,'Updated SES'!A:J,10,0)</f>
        <v>0.2397</v>
      </c>
      <c r="O77" s="124">
        <f>VLOOKUP($B77,'Language Penetration'!$B$1:$BE$14,MATCH('Compile data Working'!$H94,'Language Penetration'!$B$1:$BE$1,0),0)</f>
        <v>0.2</v>
      </c>
      <c r="P77" s="124" t="str">
        <f ca="1">IF(ISBLANK(J77),RANDBETWEEN(1,2)&amp;"%",IF(J77=1,RANDBETWEEN(35,40)&amp;"%",IF(J77=2,RANDBETWEEN(30,35)&amp;"%",IF(J77=3,RANDBETWEEN(25,30)&amp;"%",IF(J77=4,RANDBETWEEN(20,25)&amp;"%",IF(J77=5,RANDBETWEEN(15,20)&amp;"%",IF(J77=6,RANDBETWEEN(10,15)&amp;"%",IF(J77=7,RANDBETWEEN(8,10)&amp;"%",IF(J77=8,RANDBETWEEN(6,8)&amp;"%",IF(J77=9,RANDBETWEEN(4,6)&amp;"%",IF(J77=10,RANDBETWEEN(2,4)&amp;"%","")))))))))))</f>
        <v>37%</v>
      </c>
      <c r="Q77" s="123">
        <f ca="1">IFERROR(L77*(M77+N77)*O77*P77,RANDBETWEEN(1,2)%*L77*(M77+N77)*O77)</f>
        <v>2.0495280115200001</v>
      </c>
      <c r="R77" s="125">
        <f>VLOOKUP(D:D,ranking!W:X,2,0)</f>
        <v>0.6</v>
      </c>
      <c r="S77" s="126">
        <f ca="1">R77*Q77</f>
        <v>1.2297168069119999</v>
      </c>
      <c r="T77" s="123">
        <v>3.9025599789866487</v>
      </c>
      <c r="U77">
        <v>3.9025599789866487</v>
      </c>
    </row>
    <row r="78" spans="1:21" x14ac:dyDescent="0.25">
      <c r="A78" s="98" t="s">
        <v>2005</v>
      </c>
      <c r="B78" s="98" t="s">
        <v>85</v>
      </c>
      <c r="C78" s="46" t="s">
        <v>906</v>
      </c>
      <c r="D78" s="98" t="s">
        <v>434</v>
      </c>
      <c r="E78" s="46" t="s">
        <v>211</v>
      </c>
      <c r="F78" s="46" t="s">
        <v>213</v>
      </c>
      <c r="G78" s="46" t="s">
        <v>2008</v>
      </c>
      <c r="H78" s="46" t="s">
        <v>20</v>
      </c>
      <c r="I78" s="53">
        <v>46172</v>
      </c>
      <c r="J78" s="98"/>
      <c r="K78" s="46" t="s">
        <v>1439</v>
      </c>
      <c r="L78" s="123">
        <f>VLOOKUP($C78&amp;$E78,'Updated SES'!A:N,14,0)</f>
        <v>127.11702000000001</v>
      </c>
      <c r="M78" s="124">
        <f>VLOOKUP($K78,'Genre Penetration'!A:B,2,0)*VLOOKUP($C78&amp;$E78,'Updated SES'!A:I,9,0)</f>
        <v>0.33499999999999996</v>
      </c>
      <c r="N78" s="124">
        <f>VLOOKUP(K:K,'Genre Penetration'!A:C,3,0)*VLOOKUP($C78&amp;$E78,'Updated SES'!A:J,10,0)</f>
        <v>0.16499999999999998</v>
      </c>
      <c r="O78" s="124">
        <f>VLOOKUP($B78,'Language Penetration'!$B$1:$BE$14,MATCH('Compile data Working'!$H25,'Language Penetration'!$B$1:$BE$1,0),0)</f>
        <v>0.2</v>
      </c>
      <c r="P78" s="124" t="str">
        <f ca="1">IF(ISBLANK(J78),RANDBETWEEN(1,2)&amp;"%",IF(J78=1,RANDBETWEEN(35,40)&amp;"%",IF(J78=2,RANDBETWEEN(30,35)&amp;"%",IF(J78=3,RANDBETWEEN(25,30)&amp;"%",IF(J78=4,RANDBETWEEN(20,25)&amp;"%",IF(J78=5,RANDBETWEEN(15,20)&amp;"%",IF(J78=6,RANDBETWEEN(10,15)&amp;"%",IF(J78=7,RANDBETWEEN(8,10)&amp;"%",IF(J78=8,RANDBETWEEN(6,8)&amp;"%",IF(J78=9,RANDBETWEEN(4,6)&amp;"%",IF(J78=10,RANDBETWEEN(2,4)&amp;"%","")))))))))))</f>
        <v>1%</v>
      </c>
      <c r="Q78" s="123">
        <f ca="1">IFERROR(L78*(M78+N78)*O78*P78,RANDBETWEEN(1,2)%*L78*(M78+N78)*O78)</f>
        <v>0.12711702</v>
      </c>
      <c r="R78" s="125">
        <f>VLOOKUP(D:D,ranking!W:X,2,0)</f>
        <v>0.7</v>
      </c>
      <c r="S78" s="126">
        <f ca="1">R78*Q78</f>
        <v>8.8981913999999995E-2</v>
      </c>
      <c r="T78" s="123">
        <v>3.8939924876235978</v>
      </c>
    </row>
    <row r="79" spans="1:21" x14ac:dyDescent="0.25">
      <c r="A79" s="98" t="s">
        <v>1057</v>
      </c>
      <c r="B79" s="98" t="s">
        <v>85</v>
      </c>
      <c r="C79" s="46" t="s">
        <v>1229</v>
      </c>
      <c r="D79" s="46" t="s">
        <v>433</v>
      </c>
      <c r="E79" s="46" t="s">
        <v>219</v>
      </c>
      <c r="F79" s="46" t="s">
        <v>215</v>
      </c>
      <c r="G79" s="46" t="s">
        <v>1865</v>
      </c>
      <c r="H79" s="46" t="s">
        <v>19</v>
      </c>
      <c r="I79" s="53">
        <v>46141</v>
      </c>
      <c r="J79" s="119">
        <v>4</v>
      </c>
      <c r="K79" s="46" t="s">
        <v>154</v>
      </c>
      <c r="L79" s="123">
        <f>VLOOKUP($C79&amp;$E79,'Updated SES'!A:N,14,0)</f>
        <v>78.939870000000013</v>
      </c>
      <c r="M79" s="124">
        <f>VLOOKUP($K79,'Genre Penetration'!A:B,2,0)*VLOOKUP($C79&amp;$E79,'Updated SES'!A:I,9,0)</f>
        <v>0.24</v>
      </c>
      <c r="N79" s="124">
        <f>VLOOKUP(K:K,'Genre Penetration'!A:C,3,0)*VLOOKUP($C79&amp;$E79,'Updated SES'!A:J,10,0)</f>
        <v>0.13999999999999999</v>
      </c>
      <c r="O79" s="124">
        <f>VLOOKUP($B79,'Language Penetration'!$B$1:$BE$14,MATCH('Compile data Working'!$H21,'Language Penetration'!$B$1:$BE$1,0),0)</f>
        <v>0.6</v>
      </c>
      <c r="P79" s="124" t="str">
        <f ca="1">IF(ISBLANK(J79),RANDBETWEEN(1,2)&amp;"%",IF(J79=1,RANDBETWEEN(35,40)&amp;"%",IF(J79=2,RANDBETWEEN(30,35)&amp;"%",IF(J79=3,RANDBETWEEN(25,30)&amp;"%",IF(J79=4,RANDBETWEEN(20,25)&amp;"%",IF(J79=5,RANDBETWEEN(15,20)&amp;"%",IF(J79=6,RANDBETWEEN(10,15)&amp;"%",IF(J79=7,RANDBETWEEN(8,10)&amp;"%",IF(J79=8,RANDBETWEEN(6,8)&amp;"%",IF(J79=9,RANDBETWEEN(4,6)&amp;"%",IF(J79=10,RANDBETWEEN(2,4)&amp;"%","")))))))))))</f>
        <v>23%</v>
      </c>
      <c r="Q79" s="123">
        <f ca="1">IFERROR(L79*(M79+N79)*O79*P79,RANDBETWEEN(1,2)%*L79*(M79+N79)*O79)</f>
        <v>4.1396067828000005</v>
      </c>
      <c r="R79" s="125">
        <f>VLOOKUP(D:D,ranking!W:X,2,0)</f>
        <v>0.6</v>
      </c>
      <c r="S79" s="126">
        <f ca="1">R79*Q79</f>
        <v>2.4837640696800003</v>
      </c>
      <c r="T79" s="123">
        <v>3.8833991950269708</v>
      </c>
    </row>
    <row r="80" spans="1:21" x14ac:dyDescent="0.25">
      <c r="A80" s="98" t="s">
        <v>2005</v>
      </c>
      <c r="B80" s="98" t="s">
        <v>85</v>
      </c>
      <c r="C80" s="46" t="s">
        <v>906</v>
      </c>
      <c r="D80" s="98" t="s">
        <v>434</v>
      </c>
      <c r="E80" s="46" t="s">
        <v>211</v>
      </c>
      <c r="F80" s="46" t="s">
        <v>213</v>
      </c>
      <c r="G80" s="53" t="s">
        <v>2015</v>
      </c>
      <c r="H80" s="46" t="s">
        <v>20</v>
      </c>
      <c r="I80" s="53">
        <v>46174</v>
      </c>
      <c r="J80" s="98"/>
      <c r="K80" s="46" t="s">
        <v>124</v>
      </c>
      <c r="L80" s="123">
        <f>VLOOKUP($C80&amp;$E80,'Updated SES'!A:N,14,0)</f>
        <v>127.11702000000001</v>
      </c>
      <c r="M80" s="124">
        <f>VLOOKUP($K80,'Genre Penetration'!A:B,2,0)*VLOOKUP($C80&amp;$E80,'Updated SES'!A:I,9,0)</f>
        <v>0.30149999999999999</v>
      </c>
      <c r="N80" s="124">
        <f>VLOOKUP(K:K,'Genre Penetration'!A:C,3,0)*VLOOKUP($C80&amp;$E80,'Updated SES'!A:J,10,0)</f>
        <v>0.18149999999999999</v>
      </c>
      <c r="O80" s="124">
        <f>VLOOKUP($B80,'Language Penetration'!$B$1:$BE$14,MATCH('Compile data Working'!$H76,'Language Penetration'!$B$1:$BE$1,0),0)</f>
        <v>0.09</v>
      </c>
      <c r="P80" s="124" t="str">
        <f ca="1">IF(ISBLANK(J80),RANDBETWEEN(1,2)&amp;"%",IF(J80=1,RANDBETWEEN(35,40)&amp;"%",IF(J80=2,RANDBETWEEN(30,35)&amp;"%",IF(J80=3,RANDBETWEEN(25,30)&amp;"%",IF(J80=4,RANDBETWEEN(20,25)&amp;"%",IF(J80=5,RANDBETWEEN(15,20)&amp;"%",IF(J80=6,RANDBETWEEN(10,15)&amp;"%",IF(J80=7,RANDBETWEEN(8,10)&amp;"%",IF(J80=8,RANDBETWEEN(6,8)&amp;"%",IF(J80=9,RANDBETWEEN(4,6)&amp;"%",IF(J80=10,RANDBETWEEN(2,4)&amp;"%","")))))))))))</f>
        <v>1%</v>
      </c>
      <c r="Q80" s="123">
        <f ca="1">IFERROR(L80*(M80+N80)*O80*P80,RANDBETWEEN(1,2)%*L80*(M80+N80)*O80)</f>
        <v>5.5257768594000008E-2</v>
      </c>
      <c r="R80" s="125">
        <f>VLOOKUP(D:D,ranking!W:X,2,0)</f>
        <v>0.7</v>
      </c>
      <c r="S80" s="126">
        <f ca="1">R80*Q80</f>
        <v>3.8680438015800005E-2</v>
      </c>
      <c r="T80" s="123">
        <v>3.7789872927502639</v>
      </c>
    </row>
    <row r="81" spans="1:21" x14ac:dyDescent="0.25">
      <c r="A81" s="98" t="s">
        <v>2005</v>
      </c>
      <c r="B81" s="98" t="s">
        <v>85</v>
      </c>
      <c r="C81" s="46" t="s">
        <v>64</v>
      </c>
      <c r="D81" s="98" t="s">
        <v>1012</v>
      </c>
      <c r="E81" s="46" t="s">
        <v>211</v>
      </c>
      <c r="F81" s="46" t="s">
        <v>215</v>
      </c>
      <c r="G81" s="46" t="s">
        <v>2026</v>
      </c>
      <c r="H81" s="46" t="s">
        <v>20</v>
      </c>
      <c r="I81" s="53">
        <v>46174</v>
      </c>
      <c r="J81" s="98"/>
      <c r="K81" s="46" t="s">
        <v>130</v>
      </c>
      <c r="L81" s="123">
        <f>VLOOKUP($C81&amp;$E81,'Updated SES'!A:N,14,0)</f>
        <v>36.498239999999996</v>
      </c>
      <c r="M81" s="124">
        <f>VLOOKUP($K81,'Genre Penetration'!A:B,2,0)*VLOOKUP($C81&amp;$E81,'Updated SES'!A:I,9,0)</f>
        <v>0.29120000000000001</v>
      </c>
      <c r="N81" s="124">
        <f>VLOOKUP(K:K,'Genre Penetration'!A:C,3,0)*VLOOKUP($C81&amp;$E81,'Updated SES'!A:J,10,0)</f>
        <v>0.2112</v>
      </c>
      <c r="O81" s="124" t="e">
        <f>VLOOKUP($B81,'Language Penetration'!$B$1:$BE$14,MATCH('Compile data Working'!$H29,'Language Penetration'!$B$1:$BE$1,0),0)</f>
        <v>#N/A</v>
      </c>
      <c r="P81" s="124" t="str">
        <f ca="1">IF(ISBLANK(J81),RANDBETWEEN(1,2)&amp;"%",IF(J81=1,RANDBETWEEN(35,40)&amp;"%",IF(J81=2,RANDBETWEEN(30,35)&amp;"%",IF(J81=3,RANDBETWEEN(25,30)&amp;"%",IF(J81=4,RANDBETWEEN(20,25)&amp;"%",IF(J81=5,RANDBETWEEN(15,20)&amp;"%",IF(J81=6,RANDBETWEEN(10,15)&amp;"%",IF(J81=7,RANDBETWEEN(8,10)&amp;"%",IF(J81=8,RANDBETWEEN(6,8)&amp;"%",IF(J81=9,RANDBETWEEN(4,6)&amp;"%",IF(J81=10,RANDBETWEEN(2,4)&amp;"%","")))))))))))</f>
        <v>2%</v>
      </c>
      <c r="Q81" s="123" t="e">
        <f ca="1">IFERROR(L81*(M81+N81)*O81*P81,RANDBETWEEN(1,2)%*L81*(M81+N81)*O81)</f>
        <v>#N/A</v>
      </c>
      <c r="R81" s="125">
        <f>VLOOKUP(D:D,ranking!W:X,2,0)</f>
        <v>0.6</v>
      </c>
      <c r="S81" s="126" t="e">
        <f ca="1">R81*Q81</f>
        <v>#N/A</v>
      </c>
      <c r="T81" s="123">
        <v>3.7500345065107683</v>
      </c>
    </row>
    <row r="82" spans="1:21" x14ac:dyDescent="0.25">
      <c r="A82" s="98" t="s">
        <v>2005</v>
      </c>
      <c r="B82" s="98" t="s">
        <v>85</v>
      </c>
      <c r="C82" s="46" t="s">
        <v>906</v>
      </c>
      <c r="D82" s="98" t="s">
        <v>434</v>
      </c>
      <c r="E82" s="46" t="s">
        <v>211</v>
      </c>
      <c r="F82" s="46" t="s">
        <v>213</v>
      </c>
      <c r="G82" s="46" t="s">
        <v>2020</v>
      </c>
      <c r="H82" s="46" t="s">
        <v>20</v>
      </c>
      <c r="I82" s="53">
        <v>46174</v>
      </c>
      <c r="J82" s="98"/>
      <c r="K82" s="46" t="s">
        <v>449</v>
      </c>
      <c r="L82" s="123">
        <f>VLOOKUP($C82&amp;$E82,'Updated SES'!A:N,14,0)</f>
        <v>127.11702000000001</v>
      </c>
      <c r="M82" s="124">
        <f>VLOOKUP($K82,'Genre Penetration'!A:B,2,0)*VLOOKUP($C82&amp;$E82,'Updated SES'!A:I,9,0)</f>
        <v>0.38189999999999991</v>
      </c>
      <c r="N82" s="124">
        <f>VLOOKUP(K:K,'Genre Penetration'!A:C,3,0)*VLOOKUP($C82&amp;$E82,'Updated SES'!A:J,10,0)</f>
        <v>0.1419</v>
      </c>
      <c r="O82" s="124" t="e">
        <f>VLOOKUP($B82,'Language Penetration'!$B$1:$BE$14,MATCH('Compile data Working'!#REF!,'Language Penetration'!$B$1:$BE$1,0),0)</f>
        <v>#REF!</v>
      </c>
      <c r="P82" s="124" t="str">
        <f ca="1">IF(ISBLANK(J82),RANDBETWEEN(1,2)&amp;"%",IF(J82=1,RANDBETWEEN(35,40)&amp;"%",IF(J82=2,RANDBETWEEN(30,35)&amp;"%",IF(J82=3,RANDBETWEEN(25,30)&amp;"%",IF(J82=4,RANDBETWEEN(20,25)&amp;"%",IF(J82=5,RANDBETWEEN(15,20)&amp;"%",IF(J82=6,RANDBETWEEN(10,15)&amp;"%",IF(J82=7,RANDBETWEEN(8,10)&amp;"%",IF(J82=8,RANDBETWEEN(6,8)&amp;"%",IF(J82=9,RANDBETWEEN(4,6)&amp;"%",IF(J82=10,RANDBETWEEN(2,4)&amp;"%","")))))))))))</f>
        <v>2%</v>
      </c>
      <c r="Q82" s="123" t="e">
        <f ca="1">IFERROR(L82*(M82+N82)*O82*P82,RANDBETWEEN(1,2)%*L82*(M82+N82)*O82)</f>
        <v>#REF!</v>
      </c>
      <c r="R82" s="125">
        <f>VLOOKUP(D:D,ranking!W:X,2,0)</f>
        <v>0.7</v>
      </c>
      <c r="S82" s="126" t="e">
        <f ca="1">R82*Q82</f>
        <v>#REF!</v>
      </c>
      <c r="T82" s="123">
        <v>3.7304757193882288</v>
      </c>
    </row>
    <row r="83" spans="1:21" x14ac:dyDescent="0.25">
      <c r="A83" s="98" t="s">
        <v>2005</v>
      </c>
      <c r="B83" s="98" t="s">
        <v>85</v>
      </c>
      <c r="C83" s="46" t="s">
        <v>123</v>
      </c>
      <c r="D83" s="98" t="s">
        <v>1012</v>
      </c>
      <c r="E83" s="46" t="s">
        <v>211</v>
      </c>
      <c r="F83" s="46" t="s">
        <v>215</v>
      </c>
      <c r="G83" s="46" t="s">
        <v>2023</v>
      </c>
      <c r="H83" s="46" t="s">
        <v>20</v>
      </c>
      <c r="I83" s="53">
        <v>46174</v>
      </c>
      <c r="J83" s="98"/>
      <c r="K83" s="46" t="s">
        <v>202</v>
      </c>
      <c r="L83" s="123">
        <f>VLOOKUP($C83&amp;$E83,'Updated SES'!A:N,14,0)</f>
        <v>55.459200000000003</v>
      </c>
      <c r="M83" s="124">
        <f>VLOOKUP($K83,'Genre Penetration'!A:B,2,0)*VLOOKUP($C83&amp;$E83,'Updated SES'!A:I,9,0)</f>
        <v>0.3528</v>
      </c>
      <c r="N83" s="124">
        <f>VLOOKUP(K:K,'Genre Penetration'!A:C,3,0)*VLOOKUP($C83&amp;$E83,'Updated SES'!A:J,10,0)</f>
        <v>0.14280000000000001</v>
      </c>
      <c r="O83" s="124" t="e">
        <f>VLOOKUP($B83,'Language Penetration'!$B$1:$BE$14,MATCH('Compile data Working'!#REF!,'Language Penetration'!$B$1:$BE$1,0),0)</f>
        <v>#REF!</v>
      </c>
      <c r="P83" s="124" t="str">
        <f ca="1">IF(ISBLANK(J83),RANDBETWEEN(1,2)&amp;"%",IF(J83=1,RANDBETWEEN(35,40)&amp;"%",IF(J83=2,RANDBETWEEN(30,35)&amp;"%",IF(J83=3,RANDBETWEEN(25,30)&amp;"%",IF(J83=4,RANDBETWEEN(20,25)&amp;"%",IF(J83=5,RANDBETWEEN(15,20)&amp;"%",IF(J83=6,RANDBETWEEN(10,15)&amp;"%",IF(J83=7,RANDBETWEEN(8,10)&amp;"%",IF(J83=8,RANDBETWEEN(6,8)&amp;"%",IF(J83=9,RANDBETWEEN(4,6)&amp;"%",IF(J83=10,RANDBETWEEN(2,4)&amp;"%","")))))))))))</f>
        <v>2%</v>
      </c>
      <c r="Q83" s="123" t="e">
        <f ca="1">IFERROR(L83*(M83+N83)*O83*P83,RANDBETWEEN(1,2)%*L83*(M83+N83)*O83)</f>
        <v>#REF!</v>
      </c>
      <c r="R83" s="125">
        <f>VLOOKUP(D:D,ranking!W:X,2,0)</f>
        <v>0.6</v>
      </c>
      <c r="S83" s="126" t="e">
        <f ca="1">R83*Q83</f>
        <v>#REF!</v>
      </c>
      <c r="T83" s="123">
        <v>3.6813899096381153</v>
      </c>
    </row>
    <row r="84" spans="1:21" x14ac:dyDescent="0.25">
      <c r="A84" s="98" t="s">
        <v>2005</v>
      </c>
      <c r="B84" s="98" t="s">
        <v>85</v>
      </c>
      <c r="C84" s="46" t="s">
        <v>906</v>
      </c>
      <c r="D84" s="98" t="s">
        <v>1012</v>
      </c>
      <c r="E84" s="46" t="s">
        <v>211</v>
      </c>
      <c r="F84" s="46" t="s">
        <v>215</v>
      </c>
      <c r="G84" s="46" t="s">
        <v>2018</v>
      </c>
      <c r="H84" s="46" t="s">
        <v>20</v>
      </c>
      <c r="I84" s="53">
        <v>46174</v>
      </c>
      <c r="J84" s="98"/>
      <c r="K84" s="46" t="s">
        <v>158</v>
      </c>
      <c r="L84" s="123">
        <f>VLOOKUP($C84&amp;$E84,'Updated SES'!A:N,14,0)</f>
        <v>127.11702000000001</v>
      </c>
      <c r="M84" s="124">
        <f>VLOOKUP($K84,'Genre Penetration'!A:B,2,0)*VLOOKUP($C84&amp;$E84,'Updated SES'!A:I,9,0)</f>
        <v>0.30149999999999999</v>
      </c>
      <c r="N84" s="124">
        <f>VLOOKUP(K:K,'Genre Penetration'!A:C,3,0)*VLOOKUP($C84&amp;$E84,'Updated SES'!A:J,10,0)</f>
        <v>0.18149999999999999</v>
      </c>
      <c r="O84" s="124">
        <v>8.0000000000000002E-3</v>
      </c>
      <c r="P84" s="124" t="str">
        <f ca="1">IF(ISBLANK(J84),RANDBETWEEN(1,2)&amp;"%",IF(J84=1,RANDBETWEEN(35,40)&amp;"%",IF(J84=2,RANDBETWEEN(30,35)&amp;"%",IF(J84=3,RANDBETWEEN(25,30)&amp;"%",IF(J84=4,RANDBETWEEN(20,25)&amp;"%",IF(J84=5,RANDBETWEEN(15,20)&amp;"%",IF(J84=6,RANDBETWEEN(10,15)&amp;"%",IF(J84=7,RANDBETWEEN(8,10)&amp;"%",IF(J84=8,RANDBETWEEN(6,8)&amp;"%",IF(J84=9,RANDBETWEEN(4,6)&amp;"%",IF(J84=10,RANDBETWEEN(2,4)&amp;"%","")))))))))))</f>
        <v>1%</v>
      </c>
      <c r="Q84" s="123">
        <f ca="1">IFERROR(L84*(M84+N84)*O84*P84,RANDBETWEEN(1,2)%*L84*(M84+N84)*O84)</f>
        <v>4.9118016528000002E-3</v>
      </c>
      <c r="R84" s="125">
        <f>VLOOKUP(D:D,ranking!W:X,2,0)</f>
        <v>0.6</v>
      </c>
      <c r="S84" s="126">
        <f ca="1">R84*Q84</f>
        <v>2.9470809916800002E-3</v>
      </c>
      <c r="T84" s="123">
        <v>3.6693736550508449</v>
      </c>
    </row>
    <row r="85" spans="1:21" x14ac:dyDescent="0.25">
      <c r="A85" s="98" t="s">
        <v>2005</v>
      </c>
      <c r="B85" s="98" t="s">
        <v>85</v>
      </c>
      <c r="C85" s="46" t="s">
        <v>123</v>
      </c>
      <c r="D85" s="98" t="s">
        <v>434</v>
      </c>
      <c r="E85" s="46" t="s">
        <v>211</v>
      </c>
      <c r="F85" s="46" t="s">
        <v>213</v>
      </c>
      <c r="G85" s="46" t="s">
        <v>2039</v>
      </c>
      <c r="H85" s="46" t="s">
        <v>21</v>
      </c>
      <c r="I85" s="53">
        <v>46175</v>
      </c>
      <c r="J85" s="98"/>
      <c r="K85" s="46" t="s">
        <v>165</v>
      </c>
      <c r="L85" s="123">
        <f>VLOOKUP($C85&amp;$E85,'Updated SES'!A:N,14,0)</f>
        <v>55.459200000000003</v>
      </c>
      <c r="M85" s="124">
        <f>VLOOKUP($K85,'Genre Penetration'!A:B,2,0)*VLOOKUP($C85&amp;$E85,'Updated SES'!A:I,9,0)</f>
        <v>0.23519999999999999</v>
      </c>
      <c r="N85" s="124">
        <f>VLOOKUP(K:K,'Genre Penetration'!A:C,3,0)*VLOOKUP($C85&amp;$E85,'Updated SES'!A:J,10,0)</f>
        <v>0.26519999999999999</v>
      </c>
      <c r="O85" s="124" t="e">
        <f>VLOOKUP($B85,'Language Penetration'!$B$1:$BE$14,MATCH('Compile data Working'!$H14,'Language Penetration'!$B$1:$BE$1,0),0)</f>
        <v>#N/A</v>
      </c>
      <c r="P85" s="124" t="str">
        <f ca="1">IF(ISBLANK(J85),RANDBETWEEN(1,2)&amp;"%",IF(J85=1,RANDBETWEEN(35,40)&amp;"%",IF(J85=2,RANDBETWEEN(30,35)&amp;"%",IF(J85=3,RANDBETWEEN(25,30)&amp;"%",IF(J85=4,RANDBETWEEN(20,25)&amp;"%",IF(J85=5,RANDBETWEEN(15,20)&amp;"%",IF(J85=6,RANDBETWEEN(10,15)&amp;"%",IF(J85=7,RANDBETWEEN(8,10)&amp;"%",IF(J85=8,RANDBETWEEN(6,8)&amp;"%",IF(J85=9,RANDBETWEEN(4,6)&amp;"%",IF(J85=10,RANDBETWEEN(2,4)&amp;"%","")))))))))))</f>
        <v>2%</v>
      </c>
      <c r="Q85" s="123" t="e">
        <f ca="1">IFERROR(L85*(M85+N85)*O85*P85,RANDBETWEEN(1,2)%*L85*(M85+N85)*O85)</f>
        <v>#N/A</v>
      </c>
      <c r="R85" s="125">
        <f>VLOOKUP(D:D,ranking!W:X,2,0)</f>
        <v>0.7</v>
      </c>
      <c r="S85" s="126" t="e">
        <f ca="1">R85*Q85</f>
        <v>#N/A</v>
      </c>
      <c r="T85" s="123">
        <v>3.6468396933564931</v>
      </c>
    </row>
    <row r="86" spans="1:21" x14ac:dyDescent="0.25">
      <c r="A86" s="98" t="s">
        <v>2005</v>
      </c>
      <c r="B86" s="98" t="s">
        <v>85</v>
      </c>
      <c r="C86" s="46" t="s">
        <v>123</v>
      </c>
      <c r="D86" s="98" t="s">
        <v>434</v>
      </c>
      <c r="E86" s="46" t="s">
        <v>211</v>
      </c>
      <c r="F86" s="46" t="s">
        <v>213</v>
      </c>
      <c r="G86" s="46" t="s">
        <v>2027</v>
      </c>
      <c r="H86" s="46" t="s">
        <v>21</v>
      </c>
      <c r="I86" s="53">
        <v>46174</v>
      </c>
      <c r="J86" s="98"/>
      <c r="K86" s="46" t="s">
        <v>124</v>
      </c>
      <c r="L86" s="123">
        <f>VLOOKUP($C86&amp;$E86,'Updated SES'!A:N,14,0)</f>
        <v>55.459200000000003</v>
      </c>
      <c r="M86" s="124">
        <f>VLOOKUP($K86,'Genre Penetration'!A:B,2,0)*VLOOKUP($C86&amp;$E86,'Updated SES'!A:I,9,0)</f>
        <v>0.2205</v>
      </c>
      <c r="N86" s="124">
        <f>VLOOKUP(K:K,'Genre Penetration'!A:C,3,0)*VLOOKUP($C86&amp;$E86,'Updated SES'!A:J,10,0)</f>
        <v>0.28050000000000003</v>
      </c>
      <c r="O86" s="124">
        <v>8.0000000000000002E-3</v>
      </c>
      <c r="P86" s="124" t="str">
        <f ca="1">IF(ISBLANK(J86),RANDBETWEEN(1,2)&amp;"%",IF(J86=1,RANDBETWEEN(35,40)&amp;"%",IF(J86=2,RANDBETWEEN(30,35)&amp;"%",IF(J86=3,RANDBETWEEN(25,30)&amp;"%",IF(J86=4,RANDBETWEEN(20,25)&amp;"%",IF(J86=5,RANDBETWEEN(15,20)&amp;"%",IF(J86=6,RANDBETWEEN(10,15)&amp;"%",IF(J86=7,RANDBETWEEN(8,10)&amp;"%",IF(J86=8,RANDBETWEEN(6,8)&amp;"%",IF(J86=9,RANDBETWEEN(4,6)&amp;"%",IF(J86=10,RANDBETWEEN(2,4)&amp;"%","")))))))))))</f>
        <v>1%</v>
      </c>
      <c r="Q86" s="123">
        <f ca="1">IFERROR(L86*(M86+N86)*O86*P86,RANDBETWEEN(1,2)%*L86*(M86+N86)*O86)</f>
        <v>2.2228047360000002E-3</v>
      </c>
      <c r="R86" s="125">
        <f>VLOOKUP(D:D,ranking!W:X,2,0)</f>
        <v>0.7</v>
      </c>
      <c r="S86" s="126">
        <f ca="1">R86*Q86</f>
        <v>1.5559633152E-3</v>
      </c>
      <c r="T86" s="123">
        <v>3.6347242363767753</v>
      </c>
    </row>
    <row r="87" spans="1:21" x14ac:dyDescent="0.25">
      <c r="A87" s="98" t="s">
        <v>2005</v>
      </c>
      <c r="B87" s="98" t="s">
        <v>85</v>
      </c>
      <c r="C87" s="46" t="s">
        <v>906</v>
      </c>
      <c r="D87" s="98" t="s">
        <v>434</v>
      </c>
      <c r="E87" s="46" t="s">
        <v>211</v>
      </c>
      <c r="F87" s="46" t="s">
        <v>213</v>
      </c>
      <c r="G87" s="46" t="s">
        <v>2036</v>
      </c>
      <c r="H87" s="46" t="s">
        <v>20</v>
      </c>
      <c r="I87" s="53">
        <v>46174</v>
      </c>
      <c r="J87" s="98"/>
      <c r="K87" s="46" t="s">
        <v>172</v>
      </c>
      <c r="L87" s="123">
        <f>VLOOKUP($C87&amp;$E87,'Updated SES'!A:N,14,0)</f>
        <v>127.11702000000001</v>
      </c>
      <c r="M87" s="124">
        <f>VLOOKUP($K87,'Genre Penetration'!A:B,2,0)*VLOOKUP($C87&amp;$E87,'Updated SES'!A:I,9,0)</f>
        <v>0.26799999999999996</v>
      </c>
      <c r="N87" s="124">
        <f>VLOOKUP(K:K,'Genre Penetration'!A:C,3,0)*VLOOKUP($C87&amp;$E87,'Updated SES'!A:J,10,0)</f>
        <v>0.19799999999999998</v>
      </c>
      <c r="O87" s="124" t="e">
        <f>VLOOKUP($B87,'Language Penetration'!$B$1:$BE$14,MATCH('Compile data Working'!#REF!,'Language Penetration'!$B$1:$BE$1,0),0)</f>
        <v>#REF!</v>
      </c>
      <c r="P87" s="124" t="str">
        <f ca="1">IF(ISBLANK(J87),RANDBETWEEN(1,2)&amp;"%",IF(J87=1,RANDBETWEEN(35,40)&amp;"%",IF(J87=2,RANDBETWEEN(30,35)&amp;"%",IF(J87=3,RANDBETWEEN(25,30)&amp;"%",IF(J87=4,RANDBETWEEN(20,25)&amp;"%",IF(J87=5,RANDBETWEEN(15,20)&amp;"%",IF(J87=6,RANDBETWEEN(10,15)&amp;"%",IF(J87=7,RANDBETWEEN(8,10)&amp;"%",IF(J87=8,RANDBETWEEN(6,8)&amp;"%",IF(J87=9,RANDBETWEEN(4,6)&amp;"%",IF(J87=10,RANDBETWEEN(2,4)&amp;"%","")))))))))))</f>
        <v>2%</v>
      </c>
      <c r="Q87" s="123" t="e">
        <f ca="1">IFERROR(L87*(M87+N87)*O87*P87,RANDBETWEEN(1,2)%*L87*(M87+N87)*O87)</f>
        <v>#REF!</v>
      </c>
      <c r="R87" s="125">
        <f>VLOOKUP(D:D,ranking!W:X,2,0)</f>
        <v>0.7</v>
      </c>
      <c r="S87" s="126" t="e">
        <f ca="1">R87*Q87</f>
        <v>#REF!</v>
      </c>
      <c r="T87" s="123">
        <v>3.6251496316507676</v>
      </c>
    </row>
    <row r="88" spans="1:21" x14ac:dyDescent="0.25">
      <c r="A88" s="98" t="s">
        <v>2005</v>
      </c>
      <c r="B88" s="98" t="s">
        <v>85</v>
      </c>
      <c r="C88" s="46" t="s">
        <v>123</v>
      </c>
      <c r="D88" s="46" t="s">
        <v>1012</v>
      </c>
      <c r="E88" s="46" t="s">
        <v>211</v>
      </c>
      <c r="F88" s="46" t="s">
        <v>215</v>
      </c>
      <c r="G88" s="46" t="s">
        <v>2038</v>
      </c>
      <c r="H88" s="46" t="s">
        <v>20</v>
      </c>
      <c r="I88" s="53">
        <v>46175</v>
      </c>
      <c r="J88" s="98"/>
      <c r="K88" s="46" t="s">
        <v>216</v>
      </c>
      <c r="L88" s="123">
        <f>VLOOKUP($C88&amp;$E88,'Updated SES'!A:N,14,0)</f>
        <v>55.459200000000003</v>
      </c>
      <c r="M88" s="124">
        <f>VLOOKUP($K88,'Genre Penetration'!A:B,2,0)*VLOOKUP($C88&amp;$E88,'Updated SES'!A:I,9,0)</f>
        <v>0.245</v>
      </c>
      <c r="N88" s="124">
        <f>VLOOKUP(K:K,'Genre Penetration'!A:C,3,0)*VLOOKUP($C88&amp;$E88,'Updated SES'!A:J,10,0)</f>
        <v>0.255</v>
      </c>
      <c r="O88" s="124" t="e">
        <f>VLOOKUP($B88,'Language Penetration'!$B$1:$BE$14,MATCH('Compile data Working'!$H9,'Language Penetration'!$B$1:$BE$1,0),0)</f>
        <v>#N/A</v>
      </c>
      <c r="P88" s="124" t="str">
        <f ca="1">IF(ISBLANK(J88),RANDBETWEEN(1,2)&amp;"%",IF(J88=1,RANDBETWEEN(35,40)&amp;"%",IF(J88=2,RANDBETWEEN(30,35)&amp;"%",IF(J88=3,RANDBETWEEN(25,30)&amp;"%",IF(J88=4,RANDBETWEEN(20,25)&amp;"%",IF(J88=5,RANDBETWEEN(15,20)&amp;"%",IF(J88=6,RANDBETWEEN(10,15)&amp;"%",IF(J88=7,RANDBETWEEN(8,10)&amp;"%",IF(J88=8,RANDBETWEEN(6,8)&amp;"%",IF(J88=9,RANDBETWEEN(4,6)&amp;"%",IF(J88=10,RANDBETWEEN(2,4)&amp;"%","")))))))))))</f>
        <v>2%</v>
      </c>
      <c r="Q88" s="123" t="e">
        <f ca="1">IFERROR(L88*(M88+N88)*O88*P88,RANDBETWEEN(1,2)%*L88*(M88+N88)*O88)</f>
        <v>#N/A</v>
      </c>
      <c r="R88" s="125">
        <f>VLOOKUP(D:D,ranking!W:X,2,0)</f>
        <v>0.6</v>
      </c>
      <c r="S88" s="126" t="e">
        <f ca="1">R88*Q88</f>
        <v>#N/A</v>
      </c>
      <c r="T88" s="123">
        <v>3.6127627191294205</v>
      </c>
    </row>
    <row r="89" spans="1:21" x14ac:dyDescent="0.25">
      <c r="A89" s="98" t="s">
        <v>2005</v>
      </c>
      <c r="B89" s="98" t="s">
        <v>85</v>
      </c>
      <c r="C89" s="46" t="s">
        <v>906</v>
      </c>
      <c r="D89" s="98" t="s">
        <v>434</v>
      </c>
      <c r="E89" s="46" t="s">
        <v>211</v>
      </c>
      <c r="F89" s="46" t="s">
        <v>213</v>
      </c>
      <c r="G89" s="53" t="s">
        <v>2029</v>
      </c>
      <c r="H89" s="46" t="s">
        <v>20</v>
      </c>
      <c r="I89" s="53">
        <v>46174</v>
      </c>
      <c r="J89" s="98"/>
      <c r="K89" s="46" t="s">
        <v>124</v>
      </c>
      <c r="L89" s="123">
        <f>VLOOKUP($C89&amp;$E89,'Updated SES'!A:N,14,0)</f>
        <v>127.11702000000001</v>
      </c>
      <c r="M89" s="124">
        <f>VLOOKUP($K89,'Genre Penetration'!A:B,2,0)*VLOOKUP($C89&amp;$E89,'Updated SES'!A:I,9,0)</f>
        <v>0.30149999999999999</v>
      </c>
      <c r="N89" s="124">
        <f>VLOOKUP(K:K,'Genre Penetration'!A:C,3,0)*VLOOKUP($C89&amp;$E89,'Updated SES'!A:J,10,0)</f>
        <v>0.18149999999999999</v>
      </c>
      <c r="O89" s="124" t="e">
        <f>VLOOKUP($B89,'Language Penetration'!$B$1:$BE$14,MATCH('Compile data Working'!$H140,'Language Penetration'!$B$1:$BE$1,0),0)</f>
        <v>#N/A</v>
      </c>
      <c r="P89" s="124" t="str">
        <f ca="1">IF(ISBLANK(J89),RANDBETWEEN(1,2)&amp;"%",IF(J89=1,RANDBETWEEN(35,40)&amp;"%",IF(J89=2,RANDBETWEEN(30,35)&amp;"%",IF(J89=3,RANDBETWEEN(25,30)&amp;"%",IF(J89=4,RANDBETWEEN(20,25)&amp;"%",IF(J89=5,RANDBETWEEN(15,20)&amp;"%",IF(J89=6,RANDBETWEEN(10,15)&amp;"%",IF(J89=7,RANDBETWEEN(8,10)&amp;"%",IF(J89=8,RANDBETWEEN(6,8)&amp;"%",IF(J89=9,RANDBETWEEN(4,6)&amp;"%",IF(J89=10,RANDBETWEEN(2,4)&amp;"%","")))))))))))</f>
        <v>2%</v>
      </c>
      <c r="Q89" s="123" t="e">
        <f ca="1">IFERROR(L89*(M89+N89)*O89*P89,RANDBETWEEN(1,2)%*L89*(M89+N89)*O89)</f>
        <v>#N/A</v>
      </c>
      <c r="R89" s="125">
        <f>VLOOKUP(D:D,ranking!W:X,2,0)</f>
        <v>0.7</v>
      </c>
      <c r="S89" s="126" t="e">
        <f ca="1">R89*Q89</f>
        <v>#N/A</v>
      </c>
      <c r="T89" s="123">
        <v>3.6010914310547366</v>
      </c>
    </row>
    <row r="90" spans="1:21" x14ac:dyDescent="0.25">
      <c r="A90" s="98" t="s">
        <v>2005</v>
      </c>
      <c r="B90" s="98" t="s">
        <v>85</v>
      </c>
      <c r="C90" s="46" t="s">
        <v>123</v>
      </c>
      <c r="D90" s="98" t="s">
        <v>434</v>
      </c>
      <c r="E90" s="46" t="s">
        <v>211</v>
      </c>
      <c r="F90" s="46" t="s">
        <v>213</v>
      </c>
      <c r="G90" s="46">
        <v>29</v>
      </c>
      <c r="H90" s="46" t="s">
        <v>453</v>
      </c>
      <c r="I90" s="53">
        <v>46178</v>
      </c>
      <c r="J90" s="98">
        <v>2</v>
      </c>
      <c r="K90" s="46" t="s">
        <v>145</v>
      </c>
      <c r="L90" s="123">
        <f>VLOOKUP($C90&amp;$E90,'Updated SES'!A:N,14,0)</f>
        <v>55.459200000000003</v>
      </c>
      <c r="M90" s="124">
        <f>VLOOKUP($K90,'Genre Penetration'!A:B,2,0)*VLOOKUP($C90&amp;$E90,'Updated SES'!A:I,9,0)</f>
        <v>0.18129999999999999</v>
      </c>
      <c r="N90" s="124">
        <f>VLOOKUP(K:K,'Genre Penetration'!A:C,3,0)*VLOOKUP($C90&amp;$E90,'Updated SES'!A:J,10,0)</f>
        <v>0.32130000000000003</v>
      </c>
      <c r="O90" s="124">
        <f>VLOOKUP($B90,'Language Penetration'!$B$1:$BE$14,MATCH('Compile data Working'!$H40,'Language Penetration'!$B$1:$BE$1,0),0)</f>
        <v>0.2</v>
      </c>
      <c r="P90" s="124" t="str">
        <f ca="1">IF(ISBLANK(J90),RANDBETWEEN(1,2)&amp;"%",IF(J90=1,RANDBETWEEN(35,40)&amp;"%",IF(J90=2,RANDBETWEEN(30,35)&amp;"%",IF(J90=3,RANDBETWEEN(25,30)&amp;"%",IF(J90=4,RANDBETWEEN(20,25)&amp;"%",IF(J90=5,RANDBETWEEN(15,20)&amp;"%",IF(J90=6,RANDBETWEEN(10,15)&amp;"%",IF(J90=7,RANDBETWEEN(8,10)&amp;"%",IF(J90=8,RANDBETWEEN(6,8)&amp;"%",IF(J90=9,RANDBETWEEN(4,6)&amp;"%",IF(J90=10,RANDBETWEEN(2,4)&amp;"%","")))))))))))</f>
        <v>35%</v>
      </c>
      <c r="Q90" s="123">
        <f ca="1">IFERROR(L90*(M90+N90)*O90*P90,RANDBETWEEN(1,2)%*L90*(M90+N90)*O90)</f>
        <v>1.9511655744000003</v>
      </c>
      <c r="R90" s="125">
        <f>VLOOKUP(D:D,ranking!W:X,2,0)</f>
        <v>0.7</v>
      </c>
      <c r="S90" s="126">
        <f ca="1">R90*Q90</f>
        <v>1.36581590208</v>
      </c>
      <c r="T90" s="123">
        <v>3.5952589151633361</v>
      </c>
      <c r="U90">
        <v>3.5952589151633361</v>
      </c>
    </row>
    <row r="91" spans="1:21" x14ac:dyDescent="0.25">
      <c r="A91" s="98" t="s">
        <v>2005</v>
      </c>
      <c r="B91" s="98" t="s">
        <v>85</v>
      </c>
      <c r="C91" s="46" t="s">
        <v>906</v>
      </c>
      <c r="D91" s="98" t="s">
        <v>1012</v>
      </c>
      <c r="E91" s="46" t="s">
        <v>211</v>
      </c>
      <c r="F91" s="46" t="s">
        <v>215</v>
      </c>
      <c r="G91" s="46" t="s">
        <v>2040</v>
      </c>
      <c r="H91" s="46" t="s">
        <v>20</v>
      </c>
      <c r="I91" s="53">
        <v>46175</v>
      </c>
      <c r="J91" s="98"/>
      <c r="K91" s="46" t="s">
        <v>124</v>
      </c>
      <c r="L91" s="123">
        <f>VLOOKUP($C91&amp;$E91,'Updated SES'!A:N,14,0)</f>
        <v>127.11702000000001</v>
      </c>
      <c r="M91" s="124">
        <f>VLOOKUP($K91,'Genre Penetration'!A:B,2,0)*VLOOKUP($C91&amp;$E91,'Updated SES'!A:I,9,0)</f>
        <v>0.30149999999999999</v>
      </c>
      <c r="N91" s="124">
        <f>VLOOKUP(K:K,'Genre Penetration'!A:C,3,0)*VLOOKUP($C91&amp;$E91,'Updated SES'!A:J,10,0)</f>
        <v>0.18149999999999999</v>
      </c>
      <c r="O91" s="124">
        <f>VLOOKUP($B91,'Language Penetration'!$B$1:$BE$14,MATCH('Compile data Working'!$H247,'Language Penetration'!$B$1:$BE$1,0),0)</f>
        <v>0.2</v>
      </c>
      <c r="P91" s="124" t="str">
        <f ca="1">IF(ISBLANK(J91),RANDBETWEEN(1,2)&amp;"%",IF(J91=1,RANDBETWEEN(35,40)&amp;"%",IF(J91=2,RANDBETWEEN(30,35)&amp;"%",IF(J91=3,RANDBETWEEN(25,30)&amp;"%",IF(J91=4,RANDBETWEEN(20,25)&amp;"%",IF(J91=5,RANDBETWEEN(15,20)&amp;"%",IF(J91=6,RANDBETWEEN(10,15)&amp;"%",IF(J91=7,RANDBETWEEN(8,10)&amp;"%",IF(J91=8,RANDBETWEEN(6,8)&amp;"%",IF(J91=9,RANDBETWEEN(4,6)&amp;"%",IF(J91=10,RANDBETWEEN(2,4)&amp;"%","")))))))))))</f>
        <v>2%</v>
      </c>
      <c r="Q91" s="123">
        <f ca="1">IFERROR(L91*(M91+N91)*O91*P91,RANDBETWEEN(1,2)%*L91*(M91+N91)*O91)</f>
        <v>0.24559008264000004</v>
      </c>
      <c r="R91" s="125">
        <f>VLOOKUP(D:D,ranking!W:X,2,0)</f>
        <v>0.6</v>
      </c>
      <c r="S91" s="126">
        <f ca="1">R91*Q91</f>
        <v>0.14735404958400003</v>
      </c>
      <c r="T91" s="123">
        <v>3.5316890888810963</v>
      </c>
    </row>
    <row r="92" spans="1:21" x14ac:dyDescent="0.25">
      <c r="A92" s="98" t="s">
        <v>1781</v>
      </c>
      <c r="B92" s="98" t="s">
        <v>85</v>
      </c>
      <c r="C92" s="46" t="s">
        <v>906</v>
      </c>
      <c r="D92" s="98" t="s">
        <v>456</v>
      </c>
      <c r="E92" s="98" t="s">
        <v>211</v>
      </c>
      <c r="F92" s="46" t="s">
        <v>1917</v>
      </c>
      <c r="G92" s="46" t="s">
        <v>1792</v>
      </c>
      <c r="H92" s="46" t="s">
        <v>19</v>
      </c>
      <c r="I92" s="129">
        <v>44025</v>
      </c>
      <c r="J92" s="98"/>
      <c r="K92" s="46" t="s">
        <v>950</v>
      </c>
      <c r="L92" s="123">
        <f>VLOOKUP($C92&amp;$E92,'Updated SES'!A:N,14,0)</f>
        <v>127.11702000000001</v>
      </c>
      <c r="M92" s="124" t="e">
        <f>VLOOKUP($K92,'Genre Penetration'!A:B,2,0)*VLOOKUP($C92&amp;$E92,'Updated SES'!A:I,9,0)</f>
        <v>#N/A</v>
      </c>
      <c r="N92" s="124" t="e">
        <f>VLOOKUP(K:K,'Genre Penetration'!A:C,3,0)*VLOOKUP($C92&amp;$E92,'Updated SES'!A:J,10,0)</f>
        <v>#N/A</v>
      </c>
      <c r="O92" s="124" t="e">
        <f>VLOOKUP($B92,'Language Penetration'!$B$1:$BE$14,MATCH('Compile data Working'!$H20,'Language Penetration'!$B$1:$BE$1,0),0)</f>
        <v>#N/A</v>
      </c>
      <c r="P92" s="124" t="str">
        <f ca="1">IF(ISBLANK(J92),RANDBETWEEN(1,2)&amp;"%",IF(J92=1,RANDBETWEEN(35,40)&amp;"%",IF(J92=2,RANDBETWEEN(30,35)&amp;"%",IF(J92=3,RANDBETWEEN(25,30)&amp;"%",IF(J92=4,RANDBETWEEN(20,25)&amp;"%",IF(J92=5,RANDBETWEEN(15,20)&amp;"%",IF(J92=6,RANDBETWEEN(10,15)&amp;"%",IF(J92=7,RANDBETWEEN(8,10)&amp;"%",IF(J92=8,RANDBETWEEN(6,8)&amp;"%",IF(J92=9,RANDBETWEEN(4,6)&amp;"%",IF(J92=10,RANDBETWEEN(2,4)&amp;"%","")))))))))))</f>
        <v>1%</v>
      </c>
      <c r="Q92" s="123" t="e">
        <f ca="1">IFERROR(L92*(M92+N92)*O92*P92,RANDBETWEEN(1,2)%*L92*(M92+N92)*O92)</f>
        <v>#N/A</v>
      </c>
      <c r="R92" s="125">
        <f>VLOOKUP(D:D,ranking!W:X,2,0)</f>
        <v>0.3</v>
      </c>
      <c r="S92" s="126" t="e">
        <f ca="1">R92*Q92</f>
        <v>#N/A</v>
      </c>
      <c r="T92" s="123">
        <v>3.4800506746735271</v>
      </c>
    </row>
    <row r="93" spans="1:21" x14ac:dyDescent="0.25">
      <c r="A93" s="98" t="s">
        <v>1781</v>
      </c>
      <c r="B93" s="98" t="s">
        <v>85</v>
      </c>
      <c r="C93" s="46" t="s">
        <v>879</v>
      </c>
      <c r="D93" s="46" t="s">
        <v>1854</v>
      </c>
      <c r="E93" s="98" t="s">
        <v>219</v>
      </c>
      <c r="F93" s="46" t="s">
        <v>215</v>
      </c>
      <c r="G93" s="46" t="s">
        <v>1895</v>
      </c>
      <c r="H93" s="46" t="s">
        <v>19</v>
      </c>
      <c r="I93" s="129">
        <v>46140</v>
      </c>
      <c r="J93" s="119"/>
      <c r="K93" s="46" t="s">
        <v>216</v>
      </c>
      <c r="L93" s="123">
        <f>VLOOKUP($C93&amp;$E93,'Updated SES'!A:N,14,0)</f>
        <v>78.939870000000013</v>
      </c>
      <c r="M93" s="124">
        <f>VLOOKUP($K93,'Genre Penetration'!A:B,2,0)*VLOOKUP($C93&amp;$E93,'Updated SES'!A:I,9,0)</f>
        <v>0.4</v>
      </c>
      <c r="N93" s="124">
        <f>VLOOKUP(K:K,'Genre Penetration'!A:C,3,0)*VLOOKUP($C93&amp;$E93,'Updated SES'!A:J,10,0)</f>
        <v>0.1</v>
      </c>
      <c r="O93" s="124">
        <v>0.25</v>
      </c>
      <c r="P93" s="124" t="str">
        <f ca="1">IF(ISBLANK(J93),RANDBETWEEN(1,2)&amp;"%",IF(J93=1,RANDBETWEEN(35,40)&amp;"%",IF(J93=2,RANDBETWEEN(30,35)&amp;"%",IF(J93=3,RANDBETWEEN(25,30)&amp;"%",IF(J93=4,RANDBETWEEN(20,25)&amp;"%",IF(J93=5,RANDBETWEEN(15,20)&amp;"%",IF(J93=6,RANDBETWEEN(10,15)&amp;"%",IF(J93=7,RANDBETWEEN(8,10)&amp;"%",IF(J93=8,RANDBETWEEN(6,8)&amp;"%",IF(J93=9,RANDBETWEEN(4,6)&amp;"%",IF(J93=10,RANDBETWEEN(2,4)&amp;"%","")))))))))))</f>
        <v>1%</v>
      </c>
      <c r="Q93" s="123">
        <f ca="1">IFERROR(L93*(M93+N93)*O93*P93,RANDBETWEEN(1,2)%*L93*(M93+N93)*O93)</f>
        <v>9.8674837500000015E-2</v>
      </c>
      <c r="R93" s="125">
        <f>VLOOKUP(D:D,ranking!W:X,2,0)</f>
        <v>0.6</v>
      </c>
      <c r="S93" s="126">
        <f ca="1">R93*Q93</f>
        <v>5.9204902500000003E-2</v>
      </c>
      <c r="T93" s="123">
        <v>3.3473328899375998</v>
      </c>
    </row>
    <row r="94" spans="1:21" x14ac:dyDescent="0.25">
      <c r="A94" s="98" t="s">
        <v>2005</v>
      </c>
      <c r="B94" s="98" t="s">
        <v>85</v>
      </c>
      <c r="C94" s="46" t="s">
        <v>906</v>
      </c>
      <c r="D94" s="98" t="s">
        <v>434</v>
      </c>
      <c r="E94" s="46" t="s">
        <v>211</v>
      </c>
      <c r="F94" s="46" t="s">
        <v>213</v>
      </c>
      <c r="G94" s="46" t="s">
        <v>2019</v>
      </c>
      <c r="H94" s="46" t="s">
        <v>20</v>
      </c>
      <c r="I94" s="53">
        <v>46174</v>
      </c>
      <c r="J94" s="98"/>
      <c r="K94" s="46" t="s">
        <v>216</v>
      </c>
      <c r="L94" s="123">
        <f>VLOOKUP($C94&amp;$E94,'Updated SES'!A:N,14,0)</f>
        <v>127.11702000000001</v>
      </c>
      <c r="M94" s="124">
        <f>VLOOKUP($K94,'Genre Penetration'!A:B,2,0)*VLOOKUP($C94&amp;$E94,'Updated SES'!A:I,9,0)</f>
        <v>0.33499999999999996</v>
      </c>
      <c r="N94" s="124">
        <f>VLOOKUP(K:K,'Genre Penetration'!A:C,3,0)*VLOOKUP($C94&amp;$E94,'Updated SES'!A:J,10,0)</f>
        <v>0.16499999999999998</v>
      </c>
      <c r="O94" s="124" t="e">
        <f>VLOOKUP($B94,'Language Penetration'!$B$1:$BE$14,MATCH('Compile data Working'!#REF!,'Language Penetration'!$B$1:$BE$1,0),0)</f>
        <v>#REF!</v>
      </c>
      <c r="P94" s="124" t="str">
        <f ca="1">IF(ISBLANK(J94),RANDBETWEEN(1,2)&amp;"%",IF(J94=1,RANDBETWEEN(35,40)&amp;"%",IF(J94=2,RANDBETWEEN(30,35)&amp;"%",IF(J94=3,RANDBETWEEN(25,30)&amp;"%",IF(J94=4,RANDBETWEEN(20,25)&amp;"%",IF(J94=5,RANDBETWEEN(15,20)&amp;"%",IF(J94=6,RANDBETWEEN(10,15)&amp;"%",IF(J94=7,RANDBETWEEN(8,10)&amp;"%",IF(J94=8,RANDBETWEEN(6,8)&amp;"%",IF(J94=9,RANDBETWEEN(4,6)&amp;"%",IF(J94=10,RANDBETWEEN(2,4)&amp;"%","")))))))))))</f>
        <v>1%</v>
      </c>
      <c r="Q94" s="123" t="e">
        <f ca="1">IFERROR(L94*(M94+N94)*O94*P94,RANDBETWEEN(1,2)%*L94*(M94+N94)*O94)</f>
        <v>#REF!</v>
      </c>
      <c r="R94" s="125">
        <f>VLOOKUP(D:D,ranking!W:X,2,0)</f>
        <v>0.7</v>
      </c>
      <c r="S94" s="126" t="e">
        <f ca="1">R94*Q94</f>
        <v>#REF!</v>
      </c>
      <c r="T94" s="123">
        <v>3.3379912730018111</v>
      </c>
    </row>
    <row r="95" spans="1:21" x14ac:dyDescent="0.25">
      <c r="A95" s="98" t="s">
        <v>2005</v>
      </c>
      <c r="B95" s="98" t="s">
        <v>85</v>
      </c>
      <c r="C95" s="46" t="s">
        <v>64</v>
      </c>
      <c r="D95" s="98" t="s">
        <v>434</v>
      </c>
      <c r="E95" s="46" t="s">
        <v>211</v>
      </c>
      <c r="F95" s="46" t="s">
        <v>213</v>
      </c>
      <c r="G95" s="53" t="s">
        <v>2043</v>
      </c>
      <c r="H95" s="46" t="s">
        <v>2091</v>
      </c>
      <c r="I95" s="53">
        <v>46176</v>
      </c>
      <c r="J95" s="98"/>
      <c r="K95" s="46" t="s">
        <v>911</v>
      </c>
      <c r="L95" s="123">
        <f>VLOOKUP($C95&amp;$E95,'Updated SES'!A:N,14,0)</f>
        <v>36.498239999999996</v>
      </c>
      <c r="M95" s="124">
        <f>VLOOKUP($K95,'Genre Penetration'!A:B,2,0)*VLOOKUP($C95&amp;$E95,'Updated SES'!A:I,9,0)</f>
        <v>0.312</v>
      </c>
      <c r="N95" s="124">
        <f>VLOOKUP(K:K,'Genre Penetration'!A:C,3,0)*VLOOKUP($C95&amp;$E95,'Updated SES'!A:J,10,0)</f>
        <v>0.192</v>
      </c>
      <c r="O95" s="124">
        <f>VLOOKUP($B95,'Language Penetration'!$B$1:$BE$14,MATCH('Compile data Working'!$H97,'Language Penetration'!$B$1:$BE$1,0),0)</f>
        <v>0.15</v>
      </c>
      <c r="P95" s="124" t="str">
        <f ca="1">IF(ISBLANK(J95),RANDBETWEEN(1,2)&amp;"%",IF(J95=1,RANDBETWEEN(35,40)&amp;"%",IF(J95=2,RANDBETWEEN(30,35)&amp;"%",IF(J95=3,RANDBETWEEN(25,30)&amp;"%",IF(J95=4,RANDBETWEEN(20,25)&amp;"%",IF(J95=5,RANDBETWEEN(15,20)&amp;"%",IF(J95=6,RANDBETWEEN(10,15)&amp;"%",IF(J95=7,RANDBETWEEN(8,10)&amp;"%",IF(J95=8,RANDBETWEEN(6,8)&amp;"%",IF(J95=9,RANDBETWEEN(4,6)&amp;"%",IF(J95=10,RANDBETWEEN(2,4)&amp;"%","")))))))))))</f>
        <v>1%</v>
      </c>
      <c r="Q95" s="123">
        <f ca="1">IFERROR(L95*(M95+N95)*O95*P95,RANDBETWEEN(1,2)%*L95*(M95+N95)*O95)</f>
        <v>2.7592669439999998E-2</v>
      </c>
      <c r="R95" s="125">
        <f>VLOOKUP(D:D,ranking!W:X,2,0)</f>
        <v>0.7</v>
      </c>
      <c r="S95" s="126">
        <f ca="1">R95*Q95</f>
        <v>1.9314868607999996E-2</v>
      </c>
      <c r="T95" s="123">
        <v>3.2630149019302186</v>
      </c>
    </row>
    <row r="96" spans="1:21" x14ac:dyDescent="0.25">
      <c r="A96" s="98" t="s">
        <v>1057</v>
      </c>
      <c r="B96" s="98" t="s">
        <v>85</v>
      </c>
      <c r="C96" s="98" t="s">
        <v>64</v>
      </c>
      <c r="D96" s="98" t="s">
        <v>431</v>
      </c>
      <c r="E96" s="98" t="s">
        <v>211</v>
      </c>
      <c r="F96" s="46" t="s">
        <v>215</v>
      </c>
      <c r="G96" s="98" t="s">
        <v>1840</v>
      </c>
      <c r="H96" s="120" t="s">
        <v>40</v>
      </c>
      <c r="I96" s="106">
        <v>46129</v>
      </c>
      <c r="J96" s="119">
        <v>5</v>
      </c>
      <c r="K96" s="98" t="s">
        <v>216</v>
      </c>
      <c r="L96" s="123">
        <f>VLOOKUP($C96&amp;$E96,'Updated SES'!A:N,14,0)</f>
        <v>36.498239999999996</v>
      </c>
      <c r="M96" s="124">
        <f>VLOOKUP($K96,'Genre Penetration'!A:B,2,0)*VLOOKUP($C96&amp;$E96,'Updated SES'!A:I,9,0)</f>
        <v>0.26</v>
      </c>
      <c r="N96" s="124">
        <f>VLOOKUP(K:K,'Genre Penetration'!A:C,3,0)*VLOOKUP($C96&amp;$E96,'Updated SES'!A:J,10,0)</f>
        <v>0.24</v>
      </c>
      <c r="O96" s="124">
        <f>VLOOKUP($B96,'Language Penetration'!$B$1:$BE$14,MATCH('Compile data Working'!$H153,'Language Penetration'!$B$1:$BE$1,0),0)</f>
        <v>0.6</v>
      </c>
      <c r="P96" s="124" t="str">
        <f ca="1">IF(ISBLANK(J96),RANDBETWEEN(1,2)&amp;"%",IF(J96=1,RANDBETWEEN(35,40)&amp;"%",IF(J96=2,RANDBETWEEN(30,35)&amp;"%",IF(J96=3,RANDBETWEEN(25,30)&amp;"%",IF(J96=4,RANDBETWEEN(20,25)&amp;"%",IF(J96=5,RANDBETWEEN(15,20)&amp;"%",IF(J96=6,RANDBETWEEN(10,15)&amp;"%",IF(J96=7,RANDBETWEEN(8,10)&amp;"%",IF(J96=8,RANDBETWEEN(6,8)&amp;"%",IF(J96=9,RANDBETWEEN(4,6)&amp;"%",IF(J96=10,RANDBETWEEN(2,4)&amp;"%","")))))))))))</f>
        <v>16%</v>
      </c>
      <c r="Q96" s="123">
        <f ca="1">IFERROR(L96*(M96+N96)*O96*P96,RANDBETWEEN(1,2)%*L96*(M96+N96)*O96)</f>
        <v>1.7519155199999998</v>
      </c>
      <c r="R96" s="125">
        <f>VLOOKUP(D:D,ranking!W:X,2,0)</f>
        <v>0.6</v>
      </c>
      <c r="S96" s="126">
        <f ca="1">R96*Q96</f>
        <v>1.0511493119999999</v>
      </c>
      <c r="T96" s="123">
        <v>3.2251003158269196</v>
      </c>
    </row>
    <row r="97" spans="1:21" x14ac:dyDescent="0.25">
      <c r="A97" s="98" t="s">
        <v>2005</v>
      </c>
      <c r="B97" s="98" t="s">
        <v>85</v>
      </c>
      <c r="C97" s="46" t="s">
        <v>64</v>
      </c>
      <c r="D97" s="98" t="s">
        <v>434</v>
      </c>
      <c r="E97" s="46" t="s">
        <v>211</v>
      </c>
      <c r="F97" s="46" t="s">
        <v>213</v>
      </c>
      <c r="G97" s="46" t="s">
        <v>2042</v>
      </c>
      <c r="H97" s="46" t="s">
        <v>23</v>
      </c>
      <c r="I97" s="53">
        <v>46175</v>
      </c>
      <c r="J97" s="98"/>
      <c r="K97" s="46" t="s">
        <v>90</v>
      </c>
      <c r="L97" s="123">
        <f>VLOOKUP($C97&amp;$E97,'Updated SES'!A:N,14,0)</f>
        <v>36.498239999999996</v>
      </c>
      <c r="M97" s="124">
        <f>VLOOKUP($K97,'Genre Penetration'!A:B,2,0)*VLOOKUP($C97&amp;$E97,'Updated SES'!A:I,9,0)</f>
        <v>0.37440000000000001</v>
      </c>
      <c r="N97" s="124">
        <f>VLOOKUP(K:K,'Genre Penetration'!A:C,3,0)*VLOOKUP($C97&amp;$E97,'Updated SES'!A:J,10,0)</f>
        <v>0.13440000000000002</v>
      </c>
      <c r="O97" s="124">
        <f>VLOOKUP($B97,'Language Penetration'!$B$1:$BE$14,MATCH('Compile data Working'!$H37,'Language Penetration'!$B$1:$BE$1,0),0)</f>
        <v>0.6</v>
      </c>
      <c r="P97" s="124" t="str">
        <f ca="1">IF(ISBLANK(J97),RANDBETWEEN(1,2)&amp;"%",IF(J97=1,RANDBETWEEN(35,40)&amp;"%",IF(J97=2,RANDBETWEEN(30,35)&amp;"%",IF(J97=3,RANDBETWEEN(25,30)&amp;"%",IF(J97=4,RANDBETWEEN(20,25)&amp;"%",IF(J97=5,RANDBETWEEN(15,20)&amp;"%",IF(J97=6,RANDBETWEEN(10,15)&amp;"%",IF(J97=7,RANDBETWEEN(8,10)&amp;"%",IF(J97=8,RANDBETWEEN(6,8)&amp;"%",IF(J97=9,RANDBETWEEN(4,6)&amp;"%",IF(J97=10,RANDBETWEEN(2,4)&amp;"%","")))))))))))</f>
        <v>1%</v>
      </c>
      <c r="Q97" s="123">
        <f ca="1">IFERROR(L97*(M97+N97)*O97*P97,RANDBETWEEN(1,2)%*L97*(M97+N97)*O97)</f>
        <v>0.111421827072</v>
      </c>
      <c r="R97" s="125">
        <f>VLOOKUP(D:D,ranking!W:X,2,0)</f>
        <v>0.7</v>
      </c>
      <c r="S97" s="126">
        <f ca="1">R97*Q97</f>
        <v>7.7995278950399996E-2</v>
      </c>
      <c r="T97" s="123">
        <v>3.2011485014272569</v>
      </c>
    </row>
    <row r="98" spans="1:21" x14ac:dyDescent="0.25">
      <c r="A98" s="98" t="s">
        <v>2005</v>
      </c>
      <c r="B98" s="98" t="s">
        <v>85</v>
      </c>
      <c r="C98" s="46" t="s">
        <v>906</v>
      </c>
      <c r="D98" s="98" t="s">
        <v>434</v>
      </c>
      <c r="E98" s="46" t="s">
        <v>211</v>
      </c>
      <c r="F98" s="46" t="s">
        <v>213</v>
      </c>
      <c r="G98" s="46" t="s">
        <v>2047</v>
      </c>
      <c r="H98" s="46" t="s">
        <v>21</v>
      </c>
      <c r="I98" s="53">
        <v>46176</v>
      </c>
      <c r="J98" s="98">
        <v>8</v>
      </c>
      <c r="K98" s="46" t="s">
        <v>398</v>
      </c>
      <c r="L98" s="123">
        <f>VLOOKUP($C98&amp;$E98,'Updated SES'!A:N,14,0)</f>
        <v>127.11702000000001</v>
      </c>
      <c r="M98" s="124">
        <f>VLOOKUP($K98,'Genre Penetration'!A:B,2,0)*VLOOKUP($C98&amp;$E98,'Updated SES'!A:I,9,0)</f>
        <v>0.33499999999999996</v>
      </c>
      <c r="N98" s="124">
        <f>VLOOKUP(K:K,'Genre Penetration'!A:C,3,0)*VLOOKUP($C98&amp;$E98,'Updated SES'!A:J,10,0)</f>
        <v>0.16499999999999998</v>
      </c>
      <c r="O98" s="124" t="e">
        <f>VLOOKUP($B98,'Language Penetration'!$B$1:$BE$14,MATCH('Compile data Working'!$H19,'Language Penetration'!$B$1:$BE$1,0),0)</f>
        <v>#N/A</v>
      </c>
      <c r="P98" s="124" t="str">
        <f ca="1">IF(ISBLANK(J98),RANDBETWEEN(1,2)&amp;"%",IF(J98=1,RANDBETWEEN(35,40)&amp;"%",IF(J98=2,RANDBETWEEN(30,35)&amp;"%",IF(J98=3,RANDBETWEEN(25,30)&amp;"%",IF(J98=4,RANDBETWEEN(20,25)&amp;"%",IF(J98=5,RANDBETWEEN(15,20)&amp;"%",IF(J98=6,RANDBETWEEN(10,15)&amp;"%",IF(J98=7,RANDBETWEEN(8,10)&amp;"%",IF(J98=8,RANDBETWEEN(6,8)&amp;"%",IF(J98=9,RANDBETWEEN(4,6)&amp;"%",IF(J98=10,RANDBETWEEN(2,4)&amp;"%","")))))))))))</f>
        <v>8%</v>
      </c>
      <c r="Q98" s="123" t="e">
        <f ca="1">IFERROR(L98*(M98+N98)*O98*P98,RANDBETWEEN(1,2)%*L98*(M98+N98)*O98)</f>
        <v>#N/A</v>
      </c>
      <c r="R98" s="125">
        <f>VLOOKUP(D:D,ranking!W:X,2,0)</f>
        <v>0.7</v>
      </c>
      <c r="S98" s="126" t="e">
        <f ca="1">R98*Q98</f>
        <v>#N/A</v>
      </c>
      <c r="T98" s="123">
        <v>3.1608103488256587</v>
      </c>
    </row>
    <row r="99" spans="1:21" x14ac:dyDescent="0.25">
      <c r="A99" s="98" t="s">
        <v>2005</v>
      </c>
      <c r="B99" s="98" t="s">
        <v>85</v>
      </c>
      <c r="C99" s="46" t="s">
        <v>64</v>
      </c>
      <c r="D99" s="98" t="s">
        <v>434</v>
      </c>
      <c r="E99" s="46" t="s">
        <v>211</v>
      </c>
      <c r="F99" s="46" t="s">
        <v>213</v>
      </c>
      <c r="G99" s="46" t="s">
        <v>2044</v>
      </c>
      <c r="H99" s="46" t="s">
        <v>24</v>
      </c>
      <c r="I99" s="53">
        <v>46176</v>
      </c>
      <c r="J99" s="98">
        <v>9</v>
      </c>
      <c r="K99" s="46" t="s">
        <v>173</v>
      </c>
      <c r="L99" s="123">
        <f>VLOOKUP($C99&amp;$E99,'Updated SES'!A:N,14,0)</f>
        <v>36.498239999999996</v>
      </c>
      <c r="M99" s="124">
        <f>VLOOKUP($K99,'Genre Penetration'!A:B,2,0)*VLOOKUP($C99&amp;$E99,'Updated SES'!A:I,9,0)</f>
        <v>0.28600000000000003</v>
      </c>
      <c r="N99" s="124">
        <f>VLOOKUP(K:K,'Genre Penetration'!A:C,3,0)*VLOOKUP($C99&amp;$E99,'Updated SES'!A:J,10,0)</f>
        <v>0.216</v>
      </c>
      <c r="O99" s="124" t="e">
        <f>VLOOKUP($B99,'Language Penetration'!$B$1:$BE$14,MATCH('Compile data Working'!#REF!,'Language Penetration'!$B$1:$BE$1,0),0)</f>
        <v>#REF!</v>
      </c>
      <c r="P99" s="124" t="str">
        <f ca="1">IF(ISBLANK(J99),RANDBETWEEN(1,2)&amp;"%",IF(J99=1,RANDBETWEEN(35,40)&amp;"%",IF(J99=2,RANDBETWEEN(30,35)&amp;"%",IF(J99=3,RANDBETWEEN(25,30)&amp;"%",IF(J99=4,RANDBETWEEN(20,25)&amp;"%",IF(J99=5,RANDBETWEEN(15,20)&amp;"%",IF(J99=6,RANDBETWEEN(10,15)&amp;"%",IF(J99=7,RANDBETWEEN(8,10)&amp;"%",IF(J99=8,RANDBETWEEN(6,8)&amp;"%",IF(J99=9,RANDBETWEEN(4,6)&amp;"%",IF(J99=10,RANDBETWEEN(2,4)&amp;"%","")))))))))))</f>
        <v>6%</v>
      </c>
      <c r="Q99" s="123" t="e">
        <f ca="1">IFERROR(L99*(M99+N99)*O99*P99,RANDBETWEEN(1,2)%*L99*(M99+N99)*O99)</f>
        <v>#REF!</v>
      </c>
      <c r="R99" s="125">
        <f>VLOOKUP(D:D,ranking!W:X,2,0)</f>
        <v>0.7</v>
      </c>
      <c r="S99" s="126" t="e">
        <f ca="1">R99*Q99</f>
        <v>#REF!</v>
      </c>
      <c r="T99" s="123">
        <v>3.1572960407653627</v>
      </c>
    </row>
    <row r="100" spans="1:21" x14ac:dyDescent="0.25">
      <c r="A100" s="98" t="s">
        <v>2005</v>
      </c>
      <c r="B100" s="98" t="s">
        <v>85</v>
      </c>
      <c r="C100" s="46" t="s">
        <v>906</v>
      </c>
      <c r="D100" s="46" t="s">
        <v>1012</v>
      </c>
      <c r="E100" s="46" t="s">
        <v>211</v>
      </c>
      <c r="F100" s="46" t="s">
        <v>215</v>
      </c>
      <c r="G100" s="46" t="s">
        <v>2035</v>
      </c>
      <c r="H100" s="46" t="s">
        <v>20</v>
      </c>
      <c r="I100" s="53">
        <v>46174</v>
      </c>
      <c r="J100" s="98"/>
      <c r="K100" s="46" t="s">
        <v>158</v>
      </c>
      <c r="L100" s="123">
        <f>VLOOKUP($C100&amp;$E100,'Updated SES'!A:N,14,0)</f>
        <v>127.11702000000001</v>
      </c>
      <c r="M100" s="124">
        <f>VLOOKUP($K100,'Genre Penetration'!A:B,2,0)*VLOOKUP($C100&amp;$E100,'Updated SES'!A:I,9,0)</f>
        <v>0.30149999999999999</v>
      </c>
      <c r="N100" s="124">
        <f>VLOOKUP(K:K,'Genre Penetration'!A:C,3,0)*VLOOKUP($C100&amp;$E100,'Updated SES'!A:J,10,0)</f>
        <v>0.18149999999999999</v>
      </c>
      <c r="O100" s="124">
        <f>VLOOKUP($B100,'Language Penetration'!$B$1:$BE$14,MATCH('Compile data Working'!$H231,'Language Penetration'!$B$1:$BE$1,0),0)</f>
        <v>0.2</v>
      </c>
      <c r="P100" s="124" t="str">
        <f ca="1">IF(ISBLANK(J100),RANDBETWEEN(1,2)&amp;"%",IF(J100=1,RANDBETWEEN(35,40)&amp;"%",IF(J100=2,RANDBETWEEN(30,35)&amp;"%",IF(J100=3,RANDBETWEEN(25,30)&amp;"%",IF(J100=4,RANDBETWEEN(20,25)&amp;"%",IF(J100=5,RANDBETWEEN(15,20)&amp;"%",IF(J100=6,RANDBETWEEN(10,15)&amp;"%",IF(J100=7,RANDBETWEEN(8,10)&amp;"%",IF(J100=8,RANDBETWEEN(6,8)&amp;"%",IF(J100=9,RANDBETWEEN(4,6)&amp;"%",IF(J100=10,RANDBETWEEN(2,4)&amp;"%","")))))))))))</f>
        <v>1%</v>
      </c>
      <c r="Q100" s="123">
        <f ca="1">IFERROR(L100*(M100+N100)*O100*P100,RANDBETWEEN(1,2)%*L100*(M100+N100)*O100)</f>
        <v>0.12279504132000002</v>
      </c>
      <c r="R100" s="125">
        <f>VLOOKUP(D:D,ranking!W:X,2,0)</f>
        <v>0.6</v>
      </c>
      <c r="S100" s="126">
        <f ca="1">R100*Q100</f>
        <v>7.3677024792000015E-2</v>
      </c>
      <c r="T100" s="123">
        <v>3.1531998177332685</v>
      </c>
    </row>
    <row r="101" spans="1:21" x14ac:dyDescent="0.25">
      <c r="A101" s="98" t="s">
        <v>1781</v>
      </c>
      <c r="B101" s="98" t="s">
        <v>85</v>
      </c>
      <c r="C101" s="46" t="s">
        <v>64</v>
      </c>
      <c r="D101" s="46" t="s">
        <v>1012</v>
      </c>
      <c r="E101" s="119" t="s">
        <v>211</v>
      </c>
      <c r="F101" s="46" t="s">
        <v>215</v>
      </c>
      <c r="G101" s="46" t="s">
        <v>1934</v>
      </c>
      <c r="H101" s="46" t="s">
        <v>19</v>
      </c>
      <c r="I101" s="129">
        <v>46115</v>
      </c>
      <c r="J101" s="98"/>
      <c r="K101" s="46" t="s">
        <v>216</v>
      </c>
      <c r="L101" s="123">
        <f>VLOOKUP($C101&amp;$E101,'Updated SES'!A:N,14,0)</f>
        <v>36.498239999999996</v>
      </c>
      <c r="M101" s="124">
        <f>VLOOKUP($K101,'Genre Penetration'!A:B,2,0)*VLOOKUP($C101&amp;$E101,'Updated SES'!A:I,9,0)</f>
        <v>0.26</v>
      </c>
      <c r="N101" s="124">
        <f>VLOOKUP(K:K,'Genre Penetration'!A:C,3,0)*VLOOKUP($C101&amp;$E101,'Updated SES'!A:J,10,0)</f>
        <v>0.24</v>
      </c>
      <c r="O101" s="124" t="e">
        <f>VLOOKUP($B101,'Language Penetration'!$B$1:$BE$14,MATCH('Compile data Working'!#REF!,'Language Penetration'!$B$1:$BE$1,0),0)</f>
        <v>#REF!</v>
      </c>
      <c r="P101" s="124" t="str">
        <f ca="1">IF(ISBLANK(J101),RANDBETWEEN(1,2)&amp;"%",IF(J101=1,RANDBETWEEN(35,40)&amp;"%",IF(J101=2,RANDBETWEEN(30,35)&amp;"%",IF(J101=3,RANDBETWEEN(25,30)&amp;"%",IF(J101=4,RANDBETWEEN(20,25)&amp;"%",IF(J101=5,RANDBETWEEN(15,20)&amp;"%",IF(J101=6,RANDBETWEEN(10,15)&amp;"%",IF(J101=7,RANDBETWEEN(8,10)&amp;"%",IF(J101=8,RANDBETWEEN(6,8)&amp;"%",IF(J101=9,RANDBETWEEN(4,6)&amp;"%",IF(J101=10,RANDBETWEEN(2,4)&amp;"%","")))))))))))</f>
        <v>2%</v>
      </c>
      <c r="Q101" s="123" t="e">
        <f ca="1">IFERROR(L101*(M101+N101)*O101*P101,RANDBETWEEN(1,2)%*L101*(M101+N101)*O101)</f>
        <v>#REF!</v>
      </c>
      <c r="R101" s="125">
        <f>VLOOKUP(D:D,ranking!W:X,2,0)</f>
        <v>0.6</v>
      </c>
      <c r="S101" s="126" t="e">
        <f ca="1">R101*Q101</f>
        <v>#REF!</v>
      </c>
      <c r="T101" s="123">
        <v>3.1386568290664991</v>
      </c>
    </row>
    <row r="102" spans="1:21" x14ac:dyDescent="0.25">
      <c r="A102" s="98" t="s">
        <v>2005</v>
      </c>
      <c r="B102" s="98" t="s">
        <v>85</v>
      </c>
      <c r="C102" s="46" t="s">
        <v>906</v>
      </c>
      <c r="D102" s="46" t="s">
        <v>1012</v>
      </c>
      <c r="E102" s="46" t="s">
        <v>211</v>
      </c>
      <c r="F102" s="46" t="s">
        <v>215</v>
      </c>
      <c r="G102" s="46" t="s">
        <v>2021</v>
      </c>
      <c r="H102" s="46" t="s">
        <v>20</v>
      </c>
      <c r="I102" s="53">
        <v>46174</v>
      </c>
      <c r="J102" s="98"/>
      <c r="K102" s="46" t="s">
        <v>154</v>
      </c>
      <c r="L102" s="123">
        <f>VLOOKUP($C102&amp;$E102,'Updated SES'!A:N,14,0)</f>
        <v>127.11702000000001</v>
      </c>
      <c r="M102" s="124">
        <f>VLOOKUP($K102,'Genre Penetration'!A:B,2,0)*VLOOKUP($C102&amp;$E102,'Updated SES'!A:I,9,0)</f>
        <v>0.20099999999999998</v>
      </c>
      <c r="N102" s="124">
        <f>VLOOKUP(K:K,'Genre Penetration'!A:C,3,0)*VLOOKUP($C102&amp;$E102,'Updated SES'!A:J,10,0)</f>
        <v>0.23099999999999996</v>
      </c>
      <c r="O102" s="124">
        <f>VLOOKUP($B102,'Language Penetration'!$B$1:$BE$14,MATCH('Compile data Working'!$H39,'Language Penetration'!$B$1:$BE$1,0),0)</f>
        <v>0.2</v>
      </c>
      <c r="P102" s="124" t="str">
        <f ca="1">IF(ISBLANK(J102),RANDBETWEEN(1,2)&amp;"%",IF(J102=1,RANDBETWEEN(35,40)&amp;"%",IF(J102=2,RANDBETWEEN(30,35)&amp;"%",IF(J102=3,RANDBETWEEN(25,30)&amp;"%",IF(J102=4,RANDBETWEEN(20,25)&amp;"%",IF(J102=5,RANDBETWEEN(15,20)&amp;"%",IF(J102=6,RANDBETWEEN(10,15)&amp;"%",IF(J102=7,RANDBETWEEN(8,10)&amp;"%",IF(J102=8,RANDBETWEEN(6,8)&amp;"%",IF(J102=9,RANDBETWEEN(4,6)&amp;"%",IF(J102=10,RANDBETWEEN(2,4)&amp;"%","")))))))))))</f>
        <v>1%</v>
      </c>
      <c r="Q102" s="123">
        <f ca="1">IFERROR(L102*(M102+N102)*O102*P102,RANDBETWEEN(1,2)%*L102*(M102+N102)*O102)</f>
        <v>0.10982910528000001</v>
      </c>
      <c r="R102" s="125">
        <f>VLOOKUP(D:D,ranking!W:X,2,0)</f>
        <v>0.6</v>
      </c>
      <c r="S102" s="126">
        <f ca="1">R102*Q102</f>
        <v>6.5897463168000006E-2</v>
      </c>
      <c r="T102" s="123">
        <v>3.1368665727462441</v>
      </c>
    </row>
    <row r="103" spans="1:21" x14ac:dyDescent="0.25">
      <c r="A103" s="98" t="s">
        <v>2005</v>
      </c>
      <c r="B103" s="98" t="s">
        <v>85</v>
      </c>
      <c r="C103" s="46" t="s">
        <v>71</v>
      </c>
      <c r="D103" s="98" t="s">
        <v>1013</v>
      </c>
      <c r="E103" s="46" t="s">
        <v>211</v>
      </c>
      <c r="F103" s="46" t="s">
        <v>213</v>
      </c>
      <c r="G103" s="46" t="s">
        <v>2024</v>
      </c>
      <c r="H103" s="46" t="s">
        <v>32</v>
      </c>
      <c r="I103" s="53">
        <v>46174</v>
      </c>
      <c r="J103" s="98"/>
      <c r="K103" s="46" t="s">
        <v>216</v>
      </c>
      <c r="L103" s="123">
        <f>VLOOKUP($C103&amp;$E103,'Updated SES'!A:N,14,0)</f>
        <v>4.1369999999999996</v>
      </c>
      <c r="M103" s="124">
        <f>VLOOKUP($K103,'Genre Penetration'!A:B,2,0)*VLOOKUP($C103&amp;$E103,'Updated SES'!A:I,9,0)</f>
        <v>0.375</v>
      </c>
      <c r="N103" s="124">
        <f>VLOOKUP(K:K,'Genre Penetration'!A:C,3,0)*VLOOKUP($C103&amp;$E103,'Updated SES'!A:J,10,0)</f>
        <v>0.125</v>
      </c>
      <c r="O103" s="124" t="e">
        <f>VLOOKUP($B103,'Language Penetration'!$B$1:$BE$14,MATCH('Compile data Working'!$H42,'Language Penetration'!$B$1:$BE$1,0),0)</f>
        <v>#N/A</v>
      </c>
      <c r="P103" s="124" t="str">
        <f ca="1">IF(ISBLANK(J103),RANDBETWEEN(1,2)&amp;"%",IF(J103=1,RANDBETWEEN(35,40)&amp;"%",IF(J103=2,RANDBETWEEN(30,35)&amp;"%",IF(J103=3,RANDBETWEEN(25,30)&amp;"%",IF(J103=4,RANDBETWEEN(20,25)&amp;"%",IF(J103=5,RANDBETWEEN(15,20)&amp;"%",IF(J103=6,RANDBETWEEN(10,15)&amp;"%",IF(J103=7,RANDBETWEEN(8,10)&amp;"%",IF(J103=8,RANDBETWEEN(6,8)&amp;"%",IF(J103=9,RANDBETWEEN(4,6)&amp;"%",IF(J103=10,RANDBETWEEN(2,4)&amp;"%","")))))))))))</f>
        <v>1%</v>
      </c>
      <c r="Q103" s="123" t="e">
        <f ca="1">IFERROR(L103*(M103+N103)*O103*P103,RANDBETWEEN(1,2)%*L103*(M103+N103)*O103)</f>
        <v>#N/A</v>
      </c>
      <c r="R103" s="125">
        <f>VLOOKUP(D:D,ranking!W:X,2,0)</f>
        <v>0.8</v>
      </c>
      <c r="S103" s="126" t="e">
        <f ca="1">R103*Q103</f>
        <v>#N/A</v>
      </c>
      <c r="T103" s="123">
        <v>3.1084355177649052</v>
      </c>
    </row>
    <row r="104" spans="1:21" x14ac:dyDescent="0.25">
      <c r="A104" s="98" t="s">
        <v>2005</v>
      </c>
      <c r="B104" s="98" t="s">
        <v>85</v>
      </c>
      <c r="C104" s="46" t="s">
        <v>123</v>
      </c>
      <c r="D104" s="98" t="s">
        <v>1012</v>
      </c>
      <c r="E104" s="46" t="s">
        <v>211</v>
      </c>
      <c r="F104" s="46" t="s">
        <v>215</v>
      </c>
      <c r="G104" s="53" t="s">
        <v>2049</v>
      </c>
      <c r="H104" s="46" t="s">
        <v>28</v>
      </c>
      <c r="I104" s="53">
        <v>46176</v>
      </c>
      <c r="J104" s="98">
        <v>2</v>
      </c>
      <c r="K104" s="46" t="s">
        <v>171</v>
      </c>
      <c r="L104" s="123">
        <f>VLOOKUP($C104&amp;$E104,'Updated SES'!A:N,14,0)</f>
        <v>55.459200000000003</v>
      </c>
      <c r="M104" s="124">
        <f>VLOOKUP($K104,'Genre Penetration'!A:B,2,0)*VLOOKUP($C104&amp;$E104,'Updated SES'!A:I,9,0)</f>
        <v>0.26950000000000002</v>
      </c>
      <c r="N104" s="124">
        <f>VLOOKUP(K:K,'Genre Penetration'!A:C,3,0)*VLOOKUP($C104&amp;$E104,'Updated SES'!A:J,10,0)</f>
        <v>0.22950000000000001</v>
      </c>
      <c r="O104" s="124" t="e">
        <f>VLOOKUP($B104,'Language Penetration'!$B$1:$BE$14,MATCH('Compile data Working'!$H12,'Language Penetration'!$B$1:$BE$1,0),0)</f>
        <v>#N/A</v>
      </c>
      <c r="P104" s="124" t="str">
        <f ca="1">IF(ISBLANK(J104),RANDBETWEEN(1,2)&amp;"%",IF(J104=1,RANDBETWEEN(35,40)&amp;"%",IF(J104=2,RANDBETWEEN(30,35)&amp;"%",IF(J104=3,RANDBETWEEN(25,30)&amp;"%",IF(J104=4,RANDBETWEEN(20,25)&amp;"%",IF(J104=5,RANDBETWEEN(15,20)&amp;"%",IF(J104=6,RANDBETWEEN(10,15)&amp;"%",IF(J104=7,RANDBETWEEN(8,10)&amp;"%",IF(J104=8,RANDBETWEEN(6,8)&amp;"%",IF(J104=9,RANDBETWEEN(4,6)&amp;"%",IF(J104=10,RANDBETWEEN(2,4)&amp;"%","")))))))))))</f>
        <v>30%</v>
      </c>
      <c r="Q104" s="123" t="e">
        <f ca="1">IFERROR(L104*(M104+N104)*O104*P104,RANDBETWEEN(1,2)%*L104*(M104+N104)*O104)</f>
        <v>#N/A</v>
      </c>
      <c r="R104" s="125">
        <f>VLOOKUP(D:D,ranking!W:X,2,0)</f>
        <v>0.6</v>
      </c>
      <c r="S104" s="126" t="e">
        <f ca="1">R104*Q104</f>
        <v>#N/A</v>
      </c>
      <c r="T104" s="123">
        <v>3.0147960623150958</v>
      </c>
    </row>
    <row r="105" spans="1:21" x14ac:dyDescent="0.25">
      <c r="A105" s="98" t="s">
        <v>2005</v>
      </c>
      <c r="B105" s="98" t="s">
        <v>85</v>
      </c>
      <c r="C105" s="46" t="s">
        <v>123</v>
      </c>
      <c r="D105" s="98" t="s">
        <v>434</v>
      </c>
      <c r="E105" s="46" t="s">
        <v>211</v>
      </c>
      <c r="F105" s="46" t="s">
        <v>213</v>
      </c>
      <c r="G105" s="53" t="s">
        <v>2051</v>
      </c>
      <c r="H105" s="46" t="s">
        <v>20</v>
      </c>
      <c r="I105" s="53">
        <v>46176</v>
      </c>
      <c r="J105" s="98"/>
      <c r="K105" s="46" t="s">
        <v>158</v>
      </c>
      <c r="L105" s="123">
        <f>VLOOKUP($C105&amp;$E105,'Updated SES'!A:N,14,0)</f>
        <v>55.459200000000003</v>
      </c>
      <c r="M105" s="124">
        <f>VLOOKUP($K105,'Genre Penetration'!A:B,2,0)*VLOOKUP($C105&amp;$E105,'Updated SES'!A:I,9,0)</f>
        <v>0.2205</v>
      </c>
      <c r="N105" s="124">
        <f>VLOOKUP(K:K,'Genre Penetration'!A:C,3,0)*VLOOKUP($C105&amp;$E105,'Updated SES'!A:J,10,0)</f>
        <v>0.28050000000000003</v>
      </c>
      <c r="O105" s="124" t="e">
        <f>VLOOKUP($B105,'Language Penetration'!$B$1:$BE$14,MATCH('Compile data Working'!#REF!,'Language Penetration'!$B$1:$BE$1,0),0)</f>
        <v>#REF!</v>
      </c>
      <c r="P105" s="124" t="str">
        <f ca="1">IF(ISBLANK(J105),RANDBETWEEN(1,2)&amp;"%",IF(J105=1,RANDBETWEEN(35,40)&amp;"%",IF(J105=2,RANDBETWEEN(30,35)&amp;"%",IF(J105=3,RANDBETWEEN(25,30)&amp;"%",IF(J105=4,RANDBETWEEN(20,25)&amp;"%",IF(J105=5,RANDBETWEEN(15,20)&amp;"%",IF(J105=6,RANDBETWEEN(10,15)&amp;"%",IF(J105=7,RANDBETWEEN(8,10)&amp;"%",IF(J105=8,RANDBETWEEN(6,8)&amp;"%",IF(J105=9,RANDBETWEEN(4,6)&amp;"%",IF(J105=10,RANDBETWEEN(2,4)&amp;"%","")))))))))))</f>
        <v>2%</v>
      </c>
      <c r="Q105" s="123" t="e">
        <f ca="1">IFERROR(L105*(M105+N105)*O105*P105,RANDBETWEEN(1,2)%*L105*(M105+N105)*O105)</f>
        <v>#REF!</v>
      </c>
      <c r="R105" s="125">
        <f>VLOOKUP(D:D,ranking!W:X,2,0)</f>
        <v>0.7</v>
      </c>
      <c r="S105" s="126" t="e">
        <f ca="1">R105*Q105</f>
        <v>#REF!</v>
      </c>
      <c r="T105" s="123">
        <v>2.9822217458455649</v>
      </c>
    </row>
    <row r="106" spans="1:21" x14ac:dyDescent="0.25">
      <c r="A106" s="98" t="s">
        <v>1057</v>
      </c>
      <c r="B106" s="98" t="s">
        <v>85</v>
      </c>
      <c r="C106" s="46" t="s">
        <v>123</v>
      </c>
      <c r="D106" s="46" t="s">
        <v>1013</v>
      </c>
      <c r="E106" s="46" t="s">
        <v>211</v>
      </c>
      <c r="F106" s="46" t="s">
        <v>213</v>
      </c>
      <c r="G106" s="46" t="s">
        <v>1880</v>
      </c>
      <c r="H106" s="46" t="s">
        <v>28</v>
      </c>
      <c r="I106" s="53">
        <v>46143</v>
      </c>
      <c r="J106" s="119">
        <v>10</v>
      </c>
      <c r="K106" s="46" t="s">
        <v>1893</v>
      </c>
      <c r="L106" s="123">
        <f>VLOOKUP($C106&amp;$E106,'Updated SES'!A:N,14,0)</f>
        <v>55.459200000000003</v>
      </c>
      <c r="M106" s="124" t="e">
        <f>VLOOKUP($K106,'Genre Penetration'!A:B,2,0)*VLOOKUP($C106&amp;$E106,'Updated SES'!A:I,9,0)</f>
        <v>#N/A</v>
      </c>
      <c r="N106" s="124" t="e">
        <f>VLOOKUP(K:K,'Genre Penetration'!A:C,3,0)*VLOOKUP($C106&amp;$E106,'Updated SES'!A:J,10,0)</f>
        <v>#N/A</v>
      </c>
      <c r="O106" s="124" t="e">
        <f>VLOOKUP($B106,'Language Penetration'!$B$1:$BE$14,MATCH('Compile data Working'!$H67,'Language Penetration'!$B$1:$BE$1,0),0)</f>
        <v>#N/A</v>
      </c>
      <c r="P106" s="124" t="str">
        <f ca="1">IF(ISBLANK(J106),RANDBETWEEN(1,2)&amp;"%",IF(J106=1,RANDBETWEEN(35,40)&amp;"%",IF(J106=2,RANDBETWEEN(30,35)&amp;"%",IF(J106=3,RANDBETWEEN(25,30)&amp;"%",IF(J106=4,RANDBETWEEN(20,25)&amp;"%",IF(J106=5,RANDBETWEEN(15,20)&amp;"%",IF(J106=6,RANDBETWEEN(10,15)&amp;"%",IF(J106=7,RANDBETWEEN(8,10)&amp;"%",IF(J106=8,RANDBETWEEN(6,8)&amp;"%",IF(J106=9,RANDBETWEEN(4,6)&amp;"%",IF(J106=10,RANDBETWEEN(2,4)&amp;"%","")))))))))))</f>
        <v>3%</v>
      </c>
      <c r="Q106" s="123" t="e">
        <f ca="1">IFERROR(L106*(M106+N106)*O106*P106,RANDBETWEEN(1,2)%*L106*(M106+N106)*O106)</f>
        <v>#N/A</v>
      </c>
      <c r="R106" s="125">
        <f>VLOOKUP(D:D,ranking!W:X,2,0)</f>
        <v>0.8</v>
      </c>
      <c r="S106" s="126" t="e">
        <f ca="1">R106*Q106</f>
        <v>#N/A</v>
      </c>
      <c r="T106" s="123">
        <v>2.9343832932259009</v>
      </c>
    </row>
    <row r="107" spans="1:21" x14ac:dyDescent="0.25">
      <c r="A107" s="98" t="s">
        <v>2005</v>
      </c>
      <c r="B107" s="98" t="s">
        <v>85</v>
      </c>
      <c r="C107" s="46" t="s">
        <v>123</v>
      </c>
      <c r="D107" s="98" t="s">
        <v>434</v>
      </c>
      <c r="E107" s="46" t="s">
        <v>211</v>
      </c>
      <c r="F107" s="46" t="s">
        <v>213</v>
      </c>
      <c r="G107" s="46" t="s">
        <v>2046</v>
      </c>
      <c r="H107" s="46" t="s">
        <v>20</v>
      </c>
      <c r="I107" s="53">
        <v>46176</v>
      </c>
      <c r="J107" s="98"/>
      <c r="K107" s="46" t="s">
        <v>926</v>
      </c>
      <c r="L107" s="123">
        <f>VLOOKUP($C107&amp;$E107,'Updated SES'!A:N,14,0)</f>
        <v>55.459200000000003</v>
      </c>
      <c r="M107" s="124">
        <f>VLOOKUP($K107,'Genre Penetration'!A:B,2,0)*VLOOKUP($C107&amp;$E107,'Updated SES'!A:I,9,0)</f>
        <v>0.26950000000000002</v>
      </c>
      <c r="N107" s="124">
        <f>VLOOKUP(K:K,'Genre Penetration'!A:C,3,0)*VLOOKUP($C107&amp;$E107,'Updated SES'!A:J,10,0)</f>
        <v>0.22950000000000001</v>
      </c>
      <c r="O107" s="124" t="e">
        <f>VLOOKUP($B107,'Language Penetration'!$B$1:$BE$14,MATCH('Compile data Working'!$H8,'Language Penetration'!$B$1:$BE$1,0),0)</f>
        <v>#N/A</v>
      </c>
      <c r="P107" s="124" t="str">
        <f ca="1">IF(ISBLANK(J107),RANDBETWEEN(1,2)&amp;"%",IF(J107=1,RANDBETWEEN(35,40)&amp;"%",IF(J107=2,RANDBETWEEN(30,35)&amp;"%",IF(J107=3,RANDBETWEEN(25,30)&amp;"%",IF(J107=4,RANDBETWEEN(20,25)&amp;"%",IF(J107=5,RANDBETWEEN(15,20)&amp;"%",IF(J107=6,RANDBETWEEN(10,15)&amp;"%",IF(J107=7,RANDBETWEEN(8,10)&amp;"%",IF(J107=8,RANDBETWEEN(6,8)&amp;"%",IF(J107=9,RANDBETWEEN(4,6)&amp;"%",IF(J107=10,RANDBETWEEN(2,4)&amp;"%","")))))))))))</f>
        <v>2%</v>
      </c>
      <c r="Q107" s="123" t="e">
        <f ca="1">IFERROR(L107*(M107+N107)*O107*P107,RANDBETWEEN(1,2)%*L107*(M107+N107)*O107)</f>
        <v>#N/A</v>
      </c>
      <c r="R107" s="125">
        <f>VLOOKUP(D:D,ranking!W:X,2,0)</f>
        <v>0.7</v>
      </c>
      <c r="S107" s="126" t="e">
        <f ca="1">R107*Q107</f>
        <v>#N/A</v>
      </c>
      <c r="T107" s="123">
        <v>2.9156877470751592</v>
      </c>
    </row>
    <row r="108" spans="1:21" x14ac:dyDescent="0.25">
      <c r="A108" s="98" t="s">
        <v>1057</v>
      </c>
      <c r="B108" s="98" t="s">
        <v>85</v>
      </c>
      <c r="C108" s="98" t="s">
        <v>150</v>
      </c>
      <c r="D108" s="98" t="s">
        <v>434</v>
      </c>
      <c r="E108" s="98" t="s">
        <v>211</v>
      </c>
      <c r="F108" s="46" t="s">
        <v>213</v>
      </c>
      <c r="G108" s="46" t="s">
        <v>2103</v>
      </c>
      <c r="H108" s="46" t="s">
        <v>2093</v>
      </c>
      <c r="I108" s="53">
        <v>46178</v>
      </c>
      <c r="J108" s="119">
        <v>2</v>
      </c>
      <c r="K108" s="46" t="s">
        <v>90</v>
      </c>
      <c r="L108" s="123">
        <f>VLOOKUP($C108&amp;$E108,'Updated SES'!A:N,14,0)</f>
        <v>60.152000000000001</v>
      </c>
      <c r="M108" s="124">
        <f>VLOOKUP($K108,'Genre Penetration'!A:B,2,0)*VLOOKUP($C108&amp;$E108,'Updated SES'!A:I,9,0)</f>
        <v>0.46799999999999997</v>
      </c>
      <c r="N108" s="124">
        <f>VLOOKUP(K:K,'Genre Penetration'!A:C,3,0)*VLOOKUP($C108&amp;$E108,'Updated SES'!A:J,10,0)</f>
        <v>9.8000000000000004E-2</v>
      </c>
      <c r="O108" s="124" t="e">
        <f>VLOOKUP($B108,'Language Penetration'!$B$1:$BE$14,MATCH('Compile data Working'!#REF!,'Language Penetration'!$B$1:$BE$1,0),0)</f>
        <v>#REF!</v>
      </c>
      <c r="P108" s="124" t="str">
        <f ca="1">IF(ISBLANK(J108),RANDBETWEEN(1,2)&amp;"%",IF(J108=1,RANDBETWEEN(35,40)&amp;"%",IF(J108=2,RANDBETWEEN(30,35)&amp;"%",IF(J108=3,RANDBETWEEN(25,30)&amp;"%",IF(J108=4,RANDBETWEEN(20,25)&amp;"%",IF(J108=5,RANDBETWEEN(15,20)&amp;"%",IF(J108=6,RANDBETWEEN(10,15)&amp;"%",IF(J108=7,RANDBETWEEN(8,10)&amp;"%",IF(J108=8,RANDBETWEEN(6,8)&amp;"%",IF(J108=9,RANDBETWEEN(4,6)&amp;"%",IF(J108=10,RANDBETWEEN(2,4)&amp;"%","")))))))))))</f>
        <v>35%</v>
      </c>
      <c r="Q108" s="123" t="e">
        <f ca="1">IFERROR(L108*(M108+N108)*O108*P108,RANDBETWEEN(1,2)%*L108*(M108+N108)*O108)</f>
        <v>#REF!</v>
      </c>
      <c r="R108" s="125">
        <f>VLOOKUP(D:D,ranking!W:X,2,0)</f>
        <v>0.7</v>
      </c>
      <c r="S108" s="126" t="e">
        <f ca="1">R108*Q108</f>
        <v>#REF!</v>
      </c>
      <c r="T108" s="123">
        <v>2.9037507921377284</v>
      </c>
    </row>
    <row r="109" spans="1:21" x14ac:dyDescent="0.25">
      <c r="A109" s="98" t="s">
        <v>1057</v>
      </c>
      <c r="B109" s="98" t="s">
        <v>85</v>
      </c>
      <c r="C109" s="98" t="s">
        <v>150</v>
      </c>
      <c r="D109" s="98" t="s">
        <v>434</v>
      </c>
      <c r="E109" s="98" t="s">
        <v>219</v>
      </c>
      <c r="F109" s="46" t="s">
        <v>213</v>
      </c>
      <c r="G109" s="98" t="s">
        <v>2105</v>
      </c>
      <c r="H109" s="98" t="s">
        <v>19</v>
      </c>
      <c r="I109" s="106">
        <v>46169</v>
      </c>
      <c r="J109" s="119">
        <v>8</v>
      </c>
      <c r="K109" s="98" t="s">
        <v>160</v>
      </c>
      <c r="L109" s="123">
        <f>VLOOKUP($C109&amp;$E109,'Updated SES'!A:N,14,0)</f>
        <v>24.425800000000002</v>
      </c>
      <c r="M109" s="124">
        <f>VLOOKUP($K109,'Genre Penetration'!A:B,2,0)*VLOOKUP($C109&amp;$E109,'Updated SES'!A:I,9,0)</f>
        <v>0.34</v>
      </c>
      <c r="N109" s="124">
        <f>VLOOKUP(K:K,'Genre Penetration'!A:C,3,0)*VLOOKUP($C109&amp;$E109,'Updated SES'!A:J,10,0)</f>
        <v>0.16</v>
      </c>
      <c r="O109" s="124" t="e">
        <f>VLOOKUP($B109,'Language Penetration'!$B$1:$BE$14,MATCH('Compile data Working'!#REF!,'Language Penetration'!$B$1:$BE$1,0),0)</f>
        <v>#REF!</v>
      </c>
      <c r="P109" s="124" t="str">
        <f ca="1">IF(ISBLANK(J109),RANDBETWEEN(1,2)&amp;"%",IF(J109=1,RANDBETWEEN(35,40)&amp;"%",IF(J109=2,RANDBETWEEN(30,35)&amp;"%",IF(J109=3,RANDBETWEEN(25,30)&amp;"%",IF(J109=4,RANDBETWEEN(20,25)&amp;"%",IF(J109=5,RANDBETWEEN(15,20)&amp;"%",IF(J109=6,RANDBETWEEN(10,15)&amp;"%",IF(J109=7,RANDBETWEEN(8,10)&amp;"%",IF(J109=8,RANDBETWEEN(6,8)&amp;"%",IF(J109=9,RANDBETWEEN(4,6)&amp;"%",IF(J109=10,RANDBETWEEN(2,4)&amp;"%","")))))))))))</f>
        <v>6%</v>
      </c>
      <c r="Q109" s="123" t="e">
        <f ca="1">IFERROR(L109*(M109+N109)*O109*P109,RANDBETWEEN(1,2)%*L109*(M109+N109)*O109)</f>
        <v>#REF!</v>
      </c>
      <c r="R109" s="125">
        <f>VLOOKUP(D:D,ranking!W:X,2,0)</f>
        <v>0.7</v>
      </c>
      <c r="S109" s="126" t="e">
        <f ca="1">R109*Q109</f>
        <v>#REF!</v>
      </c>
      <c r="T109" s="123">
        <v>2.8747132842163512</v>
      </c>
    </row>
    <row r="110" spans="1:21" x14ac:dyDescent="0.25">
      <c r="A110" s="98" t="s">
        <v>2005</v>
      </c>
      <c r="B110" s="98" t="s">
        <v>85</v>
      </c>
      <c r="C110" s="98" t="s">
        <v>123</v>
      </c>
      <c r="D110" s="98" t="s">
        <v>434</v>
      </c>
      <c r="E110" s="46" t="s">
        <v>211</v>
      </c>
      <c r="F110" s="46" t="s">
        <v>213</v>
      </c>
      <c r="G110" s="53" t="s">
        <v>2059</v>
      </c>
      <c r="H110" s="46" t="s">
        <v>28</v>
      </c>
      <c r="I110" s="53">
        <v>46177</v>
      </c>
      <c r="J110" s="98">
        <v>4</v>
      </c>
      <c r="K110" s="46" t="s">
        <v>243</v>
      </c>
      <c r="L110" s="123">
        <f>VLOOKUP($C110&amp;$E110,'Updated SES'!A:N,14,0)</f>
        <v>55.459200000000003</v>
      </c>
      <c r="M110" s="124">
        <f>VLOOKUP($K110,'Genre Penetration'!A:B,2,0)*VLOOKUP($C110&amp;$E110,'Updated SES'!A:I,9,0)</f>
        <v>0.2646</v>
      </c>
      <c r="N110" s="124">
        <f>VLOOKUP(K:K,'Genre Penetration'!A:C,3,0)*VLOOKUP($C110&amp;$E110,'Updated SES'!A:J,10,0)</f>
        <v>0.23459999999999998</v>
      </c>
      <c r="O110" s="124">
        <f>VLOOKUP($B110,'Language Penetration'!$B$1:$BE$14,MATCH('Compile data Working'!$H111,'Language Penetration'!$B$1:$BE$1,0),0)</f>
        <v>0.6</v>
      </c>
      <c r="P110" s="124" t="str">
        <f ca="1">IF(ISBLANK(J110),RANDBETWEEN(1,2)&amp;"%",IF(J110=1,RANDBETWEEN(35,40)&amp;"%",IF(J110=2,RANDBETWEEN(30,35)&amp;"%",IF(J110=3,RANDBETWEEN(25,30)&amp;"%",IF(J110=4,RANDBETWEEN(20,25)&amp;"%",IF(J110=5,RANDBETWEEN(15,20)&amp;"%",IF(J110=6,RANDBETWEEN(10,15)&amp;"%",IF(J110=7,RANDBETWEEN(8,10)&amp;"%",IF(J110=8,RANDBETWEEN(6,8)&amp;"%",IF(J110=9,RANDBETWEEN(4,6)&amp;"%",IF(J110=10,RANDBETWEEN(2,4)&amp;"%","")))))))))))</f>
        <v>23%</v>
      </c>
      <c r="Q110" s="123">
        <f ca="1">IFERROR(L110*(M110+N110)*O110*P110,RANDBETWEEN(1,2)%*L110*(M110+N110)*O110)</f>
        <v>3.82056210432</v>
      </c>
      <c r="R110" s="125">
        <f>VLOOKUP(D:D,ranking!W:X,2,0)</f>
        <v>0.7</v>
      </c>
      <c r="S110" s="126">
        <f ca="1">R110*Q110</f>
        <v>2.6743934730239998</v>
      </c>
      <c r="T110" s="123">
        <v>2.8735863589362847</v>
      </c>
      <c r="U110">
        <v>2.8735863589362847</v>
      </c>
    </row>
    <row r="111" spans="1:21" x14ac:dyDescent="0.25">
      <c r="A111" s="98" t="s">
        <v>1057</v>
      </c>
      <c r="B111" s="98" t="s">
        <v>85</v>
      </c>
      <c r="C111" s="98" t="s">
        <v>132</v>
      </c>
      <c r="D111" s="98" t="s">
        <v>456</v>
      </c>
      <c r="E111" s="98" t="s">
        <v>219</v>
      </c>
      <c r="F111" s="46" t="s">
        <v>1917</v>
      </c>
      <c r="G111" s="46" t="s">
        <v>2101</v>
      </c>
      <c r="H111" s="98" t="s">
        <v>19</v>
      </c>
      <c r="I111" s="53">
        <v>46179</v>
      </c>
      <c r="J111" s="119">
        <v>3</v>
      </c>
      <c r="K111" s="46" t="s">
        <v>1852</v>
      </c>
      <c r="L111" s="123">
        <f>VLOOKUP($C111&amp;$E111,'Updated SES'!A:N,14,0)</f>
        <v>5.2679999999999998</v>
      </c>
      <c r="M111" s="124">
        <f>VLOOKUP($K111,'Genre Penetration'!A:B,2,0)*VLOOKUP($C111&amp;$E111,'Updated SES'!A:I,9,0)</f>
        <v>0.26400000000000001</v>
      </c>
      <c r="N111" s="124">
        <f>VLOOKUP(K:K,'Genre Penetration'!A:C,3,0)*VLOOKUP($C111&amp;$E111,'Updated SES'!A:J,10,0)</f>
        <v>0.20400000000000001</v>
      </c>
      <c r="O111" s="124" t="e">
        <f>VLOOKUP($B111,'Language Penetration'!$B$1:$BE$14,MATCH('Compile data Working'!#REF!,'Language Penetration'!$B$1:$BE$1,0),0)</f>
        <v>#REF!</v>
      </c>
      <c r="P111" s="124" t="str">
        <f ca="1">IF(ISBLANK(J111),RANDBETWEEN(1,2)&amp;"%",IF(J111=1,RANDBETWEEN(35,40)&amp;"%",IF(J111=2,RANDBETWEEN(30,35)&amp;"%",IF(J111=3,RANDBETWEEN(25,30)&amp;"%",IF(J111=4,RANDBETWEEN(20,25)&amp;"%",IF(J111=5,RANDBETWEEN(15,20)&amp;"%",IF(J111=6,RANDBETWEEN(10,15)&amp;"%",IF(J111=7,RANDBETWEEN(8,10)&amp;"%",IF(J111=8,RANDBETWEEN(6,8)&amp;"%",IF(J111=9,RANDBETWEEN(4,6)&amp;"%",IF(J111=10,RANDBETWEEN(2,4)&amp;"%","")))))))))))</f>
        <v>27%</v>
      </c>
      <c r="Q111" s="123" t="e">
        <f ca="1">IFERROR(L111*(M111+N111)*O111*P111,RANDBETWEEN(1,2)%*L111*(M111+N111)*O111)</f>
        <v>#REF!</v>
      </c>
      <c r="R111" s="125">
        <f>VLOOKUP(D:D,ranking!W:X,2,0)</f>
        <v>0.3</v>
      </c>
      <c r="S111" s="126" t="e">
        <f ca="1">R111*Q111</f>
        <v>#REF!</v>
      </c>
      <c r="T111" s="123">
        <v>2.8459661513741876</v>
      </c>
    </row>
    <row r="112" spans="1:21" x14ac:dyDescent="0.25">
      <c r="A112" s="98" t="s">
        <v>1057</v>
      </c>
      <c r="B112" s="98" t="s">
        <v>85</v>
      </c>
      <c r="C112" s="98" t="s">
        <v>132</v>
      </c>
      <c r="D112" s="98" t="s">
        <v>431</v>
      </c>
      <c r="E112" s="98" t="s">
        <v>211</v>
      </c>
      <c r="F112" s="46" t="s">
        <v>215</v>
      </c>
      <c r="G112" s="46" t="s">
        <v>2102</v>
      </c>
      <c r="H112" s="98" t="s">
        <v>19</v>
      </c>
      <c r="I112" s="53">
        <v>45568</v>
      </c>
      <c r="J112" s="119">
        <v>7</v>
      </c>
      <c r="K112" s="46" t="s">
        <v>176</v>
      </c>
      <c r="L112" s="123">
        <f>VLOOKUP($C112&amp;$E112,'Updated SES'!A:N,14,0)</f>
        <v>21.682040000000004</v>
      </c>
      <c r="M112" s="124">
        <f>VLOOKUP($K112,'Genre Penetration'!A:B,2,0)*VLOOKUP($C112&amp;$E112,'Updated SES'!A:I,9,0)</f>
        <v>0.40300000000000002</v>
      </c>
      <c r="N112" s="124">
        <f>VLOOKUP(K:K,'Genre Penetration'!A:C,3,0)*VLOOKUP($C112&amp;$E112,'Updated SES'!A:J,10,0)</f>
        <v>0.13299999999999998</v>
      </c>
      <c r="O112" s="124" t="e">
        <f>VLOOKUP($B112,'Language Penetration'!$B$1:$BE$14,MATCH('Compile data Working'!#REF!,'Language Penetration'!$B$1:$BE$1,0),0)</f>
        <v>#REF!</v>
      </c>
      <c r="P112" s="124" t="str">
        <f ca="1">IF(ISBLANK(J112),RANDBETWEEN(1,2)&amp;"%",IF(J112=1,RANDBETWEEN(35,40)&amp;"%",IF(J112=2,RANDBETWEEN(30,35)&amp;"%",IF(J112=3,RANDBETWEEN(25,30)&amp;"%",IF(J112=4,RANDBETWEEN(20,25)&amp;"%",IF(J112=5,RANDBETWEEN(15,20)&amp;"%",IF(J112=6,RANDBETWEEN(10,15)&amp;"%",IF(J112=7,RANDBETWEEN(8,10)&amp;"%",IF(J112=8,RANDBETWEEN(6,8)&amp;"%",IF(J112=9,RANDBETWEEN(4,6)&amp;"%",IF(J112=10,RANDBETWEEN(2,4)&amp;"%","")))))))))))</f>
        <v>9%</v>
      </c>
      <c r="Q112" s="123" t="e">
        <f ca="1">IFERROR(L112*(M112+N112)*O112*P112,RANDBETWEEN(1,2)%*L112*(M112+N112)*O112)</f>
        <v>#REF!</v>
      </c>
      <c r="R112" s="125">
        <f>VLOOKUP(D:D,ranking!W:X,2,0)</f>
        <v>0.6</v>
      </c>
      <c r="S112" s="126" t="e">
        <f ca="1">R112*Q112</f>
        <v>#REF!</v>
      </c>
      <c r="T112" s="123">
        <v>2.8456757762949736</v>
      </c>
    </row>
    <row r="113" spans="1:21" x14ac:dyDescent="0.25">
      <c r="A113" s="98" t="s">
        <v>2005</v>
      </c>
      <c r="B113" s="98" t="s">
        <v>85</v>
      </c>
      <c r="C113" s="98" t="s">
        <v>406</v>
      </c>
      <c r="D113" s="98" t="s">
        <v>1012</v>
      </c>
      <c r="E113" s="46" t="s">
        <v>211</v>
      </c>
      <c r="F113" s="46" t="s">
        <v>215</v>
      </c>
      <c r="G113" s="46" t="s">
        <v>2070</v>
      </c>
      <c r="H113" s="46" t="s">
        <v>20</v>
      </c>
      <c r="I113" s="53">
        <v>46178</v>
      </c>
      <c r="J113" s="98"/>
      <c r="K113" s="46" t="s">
        <v>202</v>
      </c>
      <c r="L113" s="123">
        <f>VLOOKUP($C113&amp;$E113,'Updated SES'!A:N,14,0)</f>
        <v>1.669</v>
      </c>
      <c r="M113" s="124">
        <f>VLOOKUP($K113,'Genre Penetration'!A:B,2,0)*VLOOKUP($C113&amp;$E113,'Updated SES'!A:I,9,0)</f>
        <v>0.432</v>
      </c>
      <c r="N113" s="124">
        <f>VLOOKUP(K:K,'Genre Penetration'!A:C,3,0)*VLOOKUP($C113&amp;$E113,'Updated SES'!A:J,10,0)</f>
        <v>0.11200000000000002</v>
      </c>
      <c r="O113" s="124">
        <f>VLOOKUP($B113,'Language Penetration'!$B$1:$BE$14,MATCH('Compile data Working'!$H51,'Language Penetration'!$B$1:$BE$1,0),0)</f>
        <v>0.1</v>
      </c>
      <c r="P113" s="124" t="str">
        <f ca="1">IF(ISBLANK(J113),RANDBETWEEN(1,2)&amp;"%",IF(J113=1,RANDBETWEEN(35,40)&amp;"%",IF(J113=2,RANDBETWEEN(30,35)&amp;"%",IF(J113=3,RANDBETWEEN(25,30)&amp;"%",IF(J113=4,RANDBETWEEN(20,25)&amp;"%",IF(J113=5,RANDBETWEEN(15,20)&amp;"%",IF(J113=6,RANDBETWEEN(10,15)&amp;"%",IF(J113=7,RANDBETWEEN(8,10)&amp;"%",IF(J113=8,RANDBETWEEN(6,8)&amp;"%",IF(J113=9,RANDBETWEEN(4,6)&amp;"%",IF(J113=10,RANDBETWEEN(2,4)&amp;"%","")))))))))))</f>
        <v>1%</v>
      </c>
      <c r="Q113" s="123">
        <f ca="1">IFERROR(L113*(M113+N113)*O113*P113,RANDBETWEEN(1,2)%*L113*(M113+N113)*O113)</f>
        <v>9.0793600000000014E-4</v>
      </c>
      <c r="R113" s="125">
        <f>VLOOKUP(D:D,ranking!W:X,2,0)</f>
        <v>0.6</v>
      </c>
      <c r="S113" s="126">
        <f ca="1">R113*Q113</f>
        <v>5.4476160000000004E-4</v>
      </c>
      <c r="T113" s="123">
        <v>2.8401887638076788</v>
      </c>
      <c r="U113">
        <v>2.8401887638076788</v>
      </c>
    </row>
    <row r="114" spans="1:21" x14ac:dyDescent="0.25">
      <c r="A114" s="98" t="s">
        <v>1057</v>
      </c>
      <c r="B114" s="98" t="s">
        <v>85</v>
      </c>
      <c r="C114" s="98" t="s">
        <v>64</v>
      </c>
      <c r="D114" s="98" t="s">
        <v>431</v>
      </c>
      <c r="E114" s="98" t="s">
        <v>211</v>
      </c>
      <c r="F114" s="46" t="s">
        <v>215</v>
      </c>
      <c r="G114" s="120" t="s">
        <v>1872</v>
      </c>
      <c r="H114" s="120" t="s">
        <v>19</v>
      </c>
      <c r="I114" s="106">
        <v>46143</v>
      </c>
      <c r="J114" s="119">
        <v>6</v>
      </c>
      <c r="K114" s="98" t="s">
        <v>980</v>
      </c>
      <c r="L114" s="123">
        <f>VLOOKUP($C114&amp;$E114,'Updated SES'!A:N,14,0)</f>
        <v>36.498239999999996</v>
      </c>
      <c r="M114" s="124">
        <f>VLOOKUP($K114,'Genre Penetration'!A:B,2,0)*VLOOKUP($C114&amp;$E114,'Updated SES'!A:I,9,0)</f>
        <v>0.312</v>
      </c>
      <c r="N114" s="124">
        <f>VLOOKUP(K:K,'Genre Penetration'!A:C,3,0)*VLOOKUP($C114&amp;$E114,'Updated SES'!A:J,10,0)</f>
        <v>0.192</v>
      </c>
      <c r="O114" s="124" t="e">
        <f>VLOOKUP($B114,'Language Penetration'!$B$1:$BE$14,MATCH('Compile data Working'!$H46,'Language Penetration'!$B$1:$BE$1,0),0)</f>
        <v>#N/A</v>
      </c>
      <c r="P114" s="124" t="str">
        <f ca="1">IF(ISBLANK(J114),RANDBETWEEN(1,2)&amp;"%",IF(J114=1,RANDBETWEEN(35,40)&amp;"%",IF(J114=2,RANDBETWEEN(30,35)&amp;"%",IF(J114=3,RANDBETWEEN(25,30)&amp;"%",IF(J114=4,RANDBETWEEN(20,25)&amp;"%",IF(J114=5,RANDBETWEEN(15,20)&amp;"%",IF(J114=6,RANDBETWEEN(10,15)&amp;"%",IF(J114=7,RANDBETWEEN(8,10)&amp;"%",IF(J114=8,RANDBETWEEN(6,8)&amp;"%",IF(J114=9,RANDBETWEEN(4,6)&amp;"%",IF(J114=10,RANDBETWEEN(2,4)&amp;"%","")))))))))))</f>
        <v>14%</v>
      </c>
      <c r="Q114" s="123" t="e">
        <f ca="1">IFERROR(L114*(M114+N114)*O114*P114,RANDBETWEEN(1,2)%*L114*(M114+N114)*O114)</f>
        <v>#N/A</v>
      </c>
      <c r="R114" s="125">
        <f>VLOOKUP(D:D,ranking!W:X,2,0)</f>
        <v>0.6</v>
      </c>
      <c r="S114" s="126" t="e">
        <f ca="1">R114*Q114</f>
        <v>#N/A</v>
      </c>
      <c r="T114" s="123">
        <v>2.764479458179729</v>
      </c>
    </row>
    <row r="115" spans="1:21" x14ac:dyDescent="0.25">
      <c r="A115" s="98" t="s">
        <v>1057</v>
      </c>
      <c r="B115" s="98" t="s">
        <v>85</v>
      </c>
      <c r="C115" s="46" t="s">
        <v>123</v>
      </c>
      <c r="D115" s="46" t="s">
        <v>431</v>
      </c>
      <c r="E115" s="46" t="s">
        <v>211</v>
      </c>
      <c r="F115" s="46" t="s">
        <v>215</v>
      </c>
      <c r="G115" s="46" t="s">
        <v>1863</v>
      </c>
      <c r="H115" s="46" t="s">
        <v>28</v>
      </c>
      <c r="I115" s="53">
        <v>46157</v>
      </c>
      <c r="J115" s="119">
        <v>3</v>
      </c>
      <c r="K115" s="46" t="s">
        <v>52</v>
      </c>
      <c r="L115" s="123">
        <f>VLOOKUP($C115&amp;$E115,'Updated SES'!A:N,14,0)</f>
        <v>55.459200000000003</v>
      </c>
      <c r="M115" s="124">
        <f>VLOOKUP($K115,'Genre Penetration'!A:B,2,0)*VLOOKUP($C115&amp;$E115,'Updated SES'!A:I,9,0)</f>
        <v>0.29399999999999998</v>
      </c>
      <c r="N115" s="124">
        <f>VLOOKUP(K:K,'Genre Penetration'!A:C,3,0)*VLOOKUP($C115&amp;$E115,'Updated SES'!A:J,10,0)</f>
        <v>0.20400000000000001</v>
      </c>
      <c r="O115" s="124" t="e">
        <f>VLOOKUP($B115,'Language Penetration'!$B$1:$BE$14,MATCH('Compile data Working'!$H22,'Language Penetration'!$B$1:$BE$1,0),0)</f>
        <v>#N/A</v>
      </c>
      <c r="P115" s="124" t="str">
        <f ca="1">IF(ISBLANK(J115),RANDBETWEEN(1,2)&amp;"%",IF(J115=1,RANDBETWEEN(35,40)&amp;"%",IF(J115=2,RANDBETWEEN(30,35)&amp;"%",IF(J115=3,RANDBETWEEN(25,30)&amp;"%",IF(J115=4,RANDBETWEEN(20,25)&amp;"%",IF(J115=5,RANDBETWEEN(15,20)&amp;"%",IF(J115=6,RANDBETWEEN(10,15)&amp;"%",IF(J115=7,RANDBETWEEN(8,10)&amp;"%",IF(J115=8,RANDBETWEEN(6,8)&amp;"%",IF(J115=9,RANDBETWEEN(4,6)&amp;"%",IF(J115=10,RANDBETWEEN(2,4)&amp;"%","")))))))))))</f>
        <v>27%</v>
      </c>
      <c r="Q115" s="123" t="e">
        <f ca="1">IFERROR(L115*(M115+N115)*O115*P115,RANDBETWEEN(1,2)%*L115*(M115+N115)*O115)</f>
        <v>#N/A</v>
      </c>
      <c r="R115" s="125">
        <f>VLOOKUP(D:D,ranking!W:X,2,0)</f>
        <v>0.6</v>
      </c>
      <c r="S115" s="126" t="e">
        <f ca="1">R115*Q115</f>
        <v>#N/A</v>
      </c>
      <c r="T115" s="123">
        <v>2.7354985097464599</v>
      </c>
    </row>
    <row r="116" spans="1:21" x14ac:dyDescent="0.25">
      <c r="A116" s="98" t="s">
        <v>1057</v>
      </c>
      <c r="B116" s="98" t="s">
        <v>85</v>
      </c>
      <c r="C116" s="98" t="s">
        <v>406</v>
      </c>
      <c r="D116" s="98" t="s">
        <v>432</v>
      </c>
      <c r="E116" s="119" t="s">
        <v>211</v>
      </c>
      <c r="F116" s="46" t="s">
        <v>213</v>
      </c>
      <c r="G116" s="120" t="s">
        <v>1998</v>
      </c>
      <c r="H116" s="119" t="s">
        <v>20</v>
      </c>
      <c r="I116" s="106">
        <v>46171</v>
      </c>
      <c r="J116" s="119">
        <v>1</v>
      </c>
      <c r="K116" s="120" t="s">
        <v>216</v>
      </c>
      <c r="L116" s="123">
        <f>VLOOKUP($C116&amp;$E116,'Updated SES'!A:N,14,0)</f>
        <v>1.669</v>
      </c>
      <c r="M116" s="124">
        <f>VLOOKUP($K116,'Genre Penetration'!A:B,2,0)*VLOOKUP($C116&amp;$E116,'Updated SES'!A:I,9,0)</f>
        <v>0.3</v>
      </c>
      <c r="N116" s="124">
        <f>VLOOKUP(K:K,'Genre Penetration'!A:C,3,0)*VLOOKUP($C116&amp;$E116,'Updated SES'!A:J,10,0)</f>
        <v>0.2</v>
      </c>
      <c r="O116" s="124">
        <f>VLOOKUP($B116,'Language Penetration'!$B$1:$BE$14,MATCH('Compile data Working'!$H31,'Language Penetration'!$B$1:$BE$1,0),0)</f>
        <v>0.6</v>
      </c>
      <c r="P116" s="124" t="str">
        <f ca="1">IF(ISBLANK(J116),RANDBETWEEN(1,2)&amp;"%",IF(J116=1,RANDBETWEEN(35,40)&amp;"%",IF(J116=2,RANDBETWEEN(30,35)&amp;"%",IF(J116=3,RANDBETWEEN(25,30)&amp;"%",IF(J116=4,RANDBETWEEN(20,25)&amp;"%",IF(J116=5,RANDBETWEEN(15,20)&amp;"%",IF(J116=6,RANDBETWEEN(10,15)&amp;"%",IF(J116=7,RANDBETWEEN(8,10)&amp;"%",IF(J116=8,RANDBETWEEN(6,8)&amp;"%",IF(J116=9,RANDBETWEEN(4,6)&amp;"%",IF(J116=10,RANDBETWEEN(2,4)&amp;"%","")))))))))))</f>
        <v>40%</v>
      </c>
      <c r="Q116" s="123">
        <f ca="1">IFERROR(L116*(M116+N116)*O116*P116,RANDBETWEEN(1,2)%*L116*(M116+N116)*O116)</f>
        <v>0.20028000000000001</v>
      </c>
      <c r="R116" s="125">
        <f>VLOOKUP(D:D,ranking!W:X,2,0)</f>
        <v>0.8</v>
      </c>
      <c r="S116" s="126">
        <f ca="1">R116*Q116</f>
        <v>0.16022400000000003</v>
      </c>
      <c r="T116" s="123">
        <v>2.7068528468419641</v>
      </c>
    </row>
    <row r="117" spans="1:21" x14ac:dyDescent="0.25">
      <c r="A117" s="98" t="s">
        <v>1057</v>
      </c>
      <c r="B117" s="98" t="s">
        <v>85</v>
      </c>
      <c r="C117" s="98" t="s">
        <v>132</v>
      </c>
      <c r="D117" s="98" t="s">
        <v>431</v>
      </c>
      <c r="E117" s="98" t="s">
        <v>211</v>
      </c>
      <c r="F117" s="46" t="s">
        <v>215</v>
      </c>
      <c r="G117" s="98" t="s">
        <v>1882</v>
      </c>
      <c r="H117" s="98" t="s">
        <v>1222</v>
      </c>
      <c r="I117" s="106">
        <v>46143</v>
      </c>
      <c r="J117" s="119">
        <v>8</v>
      </c>
      <c r="K117" s="98" t="s">
        <v>202</v>
      </c>
      <c r="L117" s="123">
        <f>VLOOKUP($C117&amp;$E117,'Updated SES'!A:N,14,0)</f>
        <v>21.682040000000004</v>
      </c>
      <c r="M117" s="124">
        <f>VLOOKUP($K117,'Genre Penetration'!A:B,2,0)*VLOOKUP($C117&amp;$E117,'Updated SES'!A:I,9,0)</f>
        <v>0.46799999999999997</v>
      </c>
      <c r="N117" s="124">
        <f>VLOOKUP(K:K,'Genre Penetration'!A:C,3,0)*VLOOKUP($C117&amp;$E117,'Updated SES'!A:J,10,0)</f>
        <v>9.8000000000000004E-2</v>
      </c>
      <c r="O117" s="124" t="e">
        <f>VLOOKUP($B117,'Language Penetration'!$B$1:$BE$14,MATCH('Compile data Working'!#REF!,'Language Penetration'!$B$1:$BE$1,0),0)</f>
        <v>#REF!</v>
      </c>
      <c r="P117" s="124" t="str">
        <f ca="1">IF(ISBLANK(J117),RANDBETWEEN(1,2)&amp;"%",IF(J117=1,RANDBETWEEN(35,40)&amp;"%",IF(J117=2,RANDBETWEEN(30,35)&amp;"%",IF(J117=3,RANDBETWEEN(25,30)&amp;"%",IF(J117=4,RANDBETWEEN(20,25)&amp;"%",IF(J117=5,RANDBETWEEN(15,20)&amp;"%",IF(J117=6,RANDBETWEEN(10,15)&amp;"%",IF(J117=7,RANDBETWEEN(8,10)&amp;"%",IF(J117=8,RANDBETWEEN(6,8)&amp;"%",IF(J117=9,RANDBETWEEN(4,6)&amp;"%",IF(J117=10,RANDBETWEEN(2,4)&amp;"%","")))))))))))</f>
        <v>8%</v>
      </c>
      <c r="Q117" s="123" t="e">
        <f ca="1">IFERROR(L117*(M117+N117)*O117*P117,RANDBETWEEN(1,2)%*L117*(M117+N117)*O117)</f>
        <v>#REF!</v>
      </c>
      <c r="R117" s="125">
        <f>VLOOKUP(D:D,ranking!W:X,2,0)</f>
        <v>0.6</v>
      </c>
      <c r="S117" s="126" t="e">
        <f ca="1">R117*Q117</f>
        <v>#REF!</v>
      </c>
      <c r="T117" s="123">
        <v>2.6536031077389608</v>
      </c>
    </row>
    <row r="118" spans="1:21" x14ac:dyDescent="0.25">
      <c r="A118" s="98" t="s">
        <v>2005</v>
      </c>
      <c r="B118" s="98" t="s">
        <v>85</v>
      </c>
      <c r="C118" s="98" t="s">
        <v>64</v>
      </c>
      <c r="D118" s="98" t="s">
        <v>434</v>
      </c>
      <c r="E118" s="46" t="s">
        <v>211</v>
      </c>
      <c r="F118" s="46" t="s">
        <v>213</v>
      </c>
      <c r="G118" s="53" t="s">
        <v>2080</v>
      </c>
      <c r="H118" s="46" t="s">
        <v>25</v>
      </c>
      <c r="I118" s="53">
        <v>46178</v>
      </c>
      <c r="J118" s="98"/>
      <c r="K118" s="46" t="s">
        <v>161</v>
      </c>
      <c r="L118" s="123">
        <f>VLOOKUP($C118&amp;$E118,'Updated SES'!A:N,14,0)</f>
        <v>36.498239999999996</v>
      </c>
      <c r="M118" s="124">
        <f>VLOOKUP($K118,'Genre Penetration'!A:B,2,0)*VLOOKUP($C118&amp;$E118,'Updated SES'!A:I,9,0)</f>
        <v>0.20800000000000002</v>
      </c>
      <c r="N118" s="124">
        <f>VLOOKUP(K:K,'Genre Penetration'!A:C,3,0)*VLOOKUP($C118&amp;$E118,'Updated SES'!A:J,10,0)</f>
        <v>0.28799999999999998</v>
      </c>
      <c r="O118" s="124">
        <f>VLOOKUP($B118,'Language Penetration'!$B$1:$BE$14,MATCH('Compile data Working'!$H245,'Language Penetration'!$B$1:$BE$1,0),0)</f>
        <v>0.6</v>
      </c>
      <c r="P118" s="124" t="str">
        <f ca="1">IF(ISBLANK(J118),RANDBETWEEN(1,2)&amp;"%",IF(J118=1,RANDBETWEEN(35,40)&amp;"%",IF(J118=2,RANDBETWEEN(30,35)&amp;"%",IF(J118=3,RANDBETWEEN(25,30)&amp;"%",IF(J118=4,RANDBETWEEN(20,25)&amp;"%",IF(J118=5,RANDBETWEEN(15,20)&amp;"%",IF(J118=6,RANDBETWEEN(10,15)&amp;"%",IF(J118=7,RANDBETWEEN(8,10)&amp;"%",IF(J118=8,RANDBETWEEN(6,8)&amp;"%",IF(J118=9,RANDBETWEEN(4,6)&amp;"%",IF(J118=10,RANDBETWEEN(2,4)&amp;"%","")))))))))))</f>
        <v>1%</v>
      </c>
      <c r="Q118" s="123">
        <f ca="1">IFERROR(L118*(M118+N118)*O118*P118,RANDBETWEEN(1,2)%*L118*(M118+N118)*O118)</f>
        <v>0.10861876223999999</v>
      </c>
      <c r="R118" s="125">
        <f>VLOOKUP(D:D,ranking!W:X,2,0)</f>
        <v>0.7</v>
      </c>
      <c r="S118" s="126">
        <f ca="1">R118*Q118</f>
        <v>7.6033133567999983E-2</v>
      </c>
      <c r="T118" s="123">
        <v>2.6349035660694926</v>
      </c>
      <c r="U118">
        <v>2.6349035660694926</v>
      </c>
    </row>
    <row r="119" spans="1:21" x14ac:dyDescent="0.25">
      <c r="A119" s="98" t="s">
        <v>2005</v>
      </c>
      <c r="B119" s="98" t="s">
        <v>85</v>
      </c>
      <c r="C119" s="46" t="s">
        <v>123</v>
      </c>
      <c r="D119" s="98" t="s">
        <v>1013</v>
      </c>
      <c r="E119" s="46" t="s">
        <v>211</v>
      </c>
      <c r="F119" s="46" t="s">
        <v>213</v>
      </c>
      <c r="G119" s="46" t="s">
        <v>2078</v>
      </c>
      <c r="H119" s="46" t="s">
        <v>453</v>
      </c>
      <c r="I119" s="53">
        <v>46178</v>
      </c>
      <c r="J119" s="98">
        <v>5</v>
      </c>
      <c r="K119" s="46" t="s">
        <v>154</v>
      </c>
      <c r="L119" s="123">
        <f>VLOOKUP($C119&amp;$E119,'Updated SES'!A:N,14,0)</f>
        <v>55.459200000000003</v>
      </c>
      <c r="M119" s="124">
        <f>VLOOKUP($K119,'Genre Penetration'!A:B,2,0)*VLOOKUP($C119&amp;$E119,'Updated SES'!A:I,9,0)</f>
        <v>0.14699999999999999</v>
      </c>
      <c r="N119" s="124">
        <f>VLOOKUP(K:K,'Genre Penetration'!A:C,3,0)*VLOOKUP($C119&amp;$E119,'Updated SES'!A:J,10,0)</f>
        <v>0.35699999999999998</v>
      </c>
      <c r="O119" s="124">
        <f>VLOOKUP($B119,'Language Penetration'!$B$1:$BE$14,MATCH('Compile data Working'!$H244,'Language Penetration'!$B$1:$BE$1,0),0)</f>
        <v>0.6</v>
      </c>
      <c r="P119" s="124" t="str">
        <f ca="1">IF(ISBLANK(J119),RANDBETWEEN(1,2)&amp;"%",IF(J119=1,RANDBETWEEN(35,40)&amp;"%",IF(J119=2,RANDBETWEEN(30,35)&amp;"%",IF(J119=3,RANDBETWEEN(25,30)&amp;"%",IF(J119=4,RANDBETWEEN(20,25)&amp;"%",IF(J119=5,RANDBETWEEN(15,20)&amp;"%",IF(J119=6,RANDBETWEEN(10,15)&amp;"%",IF(J119=7,RANDBETWEEN(8,10)&amp;"%",IF(J119=8,RANDBETWEEN(6,8)&amp;"%",IF(J119=9,RANDBETWEEN(4,6)&amp;"%",IF(J119=10,RANDBETWEEN(2,4)&amp;"%","")))))))))))</f>
        <v>18%</v>
      </c>
      <c r="Q119" s="123">
        <f ca="1">IFERROR(L119*(M119+N119)*O119*P119,RANDBETWEEN(1,2)%*L119*(M119+N119)*O119)</f>
        <v>3.0187551743999999</v>
      </c>
      <c r="R119" s="125">
        <f>VLOOKUP(D:D,ranking!W:X,2,0)</f>
        <v>0.8</v>
      </c>
      <c r="S119" s="126">
        <f ca="1">R119*Q119</f>
        <v>2.4150041395200001</v>
      </c>
      <c r="T119" s="123">
        <v>2.6098060047297329</v>
      </c>
      <c r="U119">
        <v>2.6098060047297329</v>
      </c>
    </row>
    <row r="120" spans="1:21" x14ac:dyDescent="0.25">
      <c r="A120" s="98" t="s">
        <v>1057</v>
      </c>
      <c r="B120" s="98" t="s">
        <v>85</v>
      </c>
      <c r="C120" s="98" t="s">
        <v>64</v>
      </c>
      <c r="D120" s="98" t="s">
        <v>432</v>
      </c>
      <c r="E120" s="119" t="s">
        <v>211</v>
      </c>
      <c r="F120" s="46" t="s">
        <v>213</v>
      </c>
      <c r="G120" s="98" t="s">
        <v>1913</v>
      </c>
      <c r="H120" s="98" t="s">
        <v>1058</v>
      </c>
      <c r="I120" s="106">
        <v>46162</v>
      </c>
      <c r="J120" s="119">
        <v>7</v>
      </c>
      <c r="K120" s="98" t="s">
        <v>983</v>
      </c>
      <c r="L120" s="123">
        <f>VLOOKUP($C120&amp;$E120,'Updated SES'!A:N,14,0)</f>
        <v>36.498239999999996</v>
      </c>
      <c r="M120" s="124">
        <f>VLOOKUP($K120,'Genre Penetration'!A:B,2,0)*VLOOKUP($C120&amp;$E120,'Updated SES'!A:I,9,0)</f>
        <v>0.312</v>
      </c>
      <c r="N120" s="124">
        <f>VLOOKUP(K:K,'Genre Penetration'!A:C,3,0)*VLOOKUP($C120&amp;$E120,'Updated SES'!A:J,10,0)</f>
        <v>0.192</v>
      </c>
      <c r="O120" s="124">
        <f>VLOOKUP($B120,'Language Penetration'!$B$1:$BE$14,MATCH('Compile data Working'!$H187,'Language Penetration'!$B$1:$BE$1,0),0)</f>
        <v>0.6</v>
      </c>
      <c r="P120" s="124" t="str">
        <f ca="1">IF(ISBLANK(J120),RANDBETWEEN(1,2)&amp;"%",IF(J120=1,RANDBETWEEN(35,40)&amp;"%",IF(J120=2,RANDBETWEEN(30,35)&amp;"%",IF(J120=3,RANDBETWEEN(25,30)&amp;"%",IF(J120=4,RANDBETWEEN(20,25)&amp;"%",IF(J120=5,RANDBETWEEN(15,20)&amp;"%",IF(J120=6,RANDBETWEEN(10,15)&amp;"%",IF(J120=7,RANDBETWEEN(8,10)&amp;"%",IF(J120=8,RANDBETWEEN(6,8)&amp;"%",IF(J120=9,RANDBETWEEN(4,6)&amp;"%",IF(J120=10,RANDBETWEEN(2,4)&amp;"%","")))))))))))</f>
        <v>10%</v>
      </c>
      <c r="Q120" s="123">
        <f ca="1">IFERROR(L120*(M120+N120)*O120*P120,RANDBETWEEN(1,2)%*L120*(M120+N120)*O120)</f>
        <v>1.1037067776</v>
      </c>
      <c r="R120" s="125">
        <f>VLOOKUP(D:D,ranking!W:X,2,0)</f>
        <v>0.8</v>
      </c>
      <c r="S120" s="126">
        <f ca="1">R120*Q120</f>
        <v>0.88296542208000006</v>
      </c>
      <c r="T120" s="123">
        <v>2.5444426594860134</v>
      </c>
    </row>
    <row r="121" spans="1:21" x14ac:dyDescent="0.25">
      <c r="A121" s="98" t="s">
        <v>2005</v>
      </c>
      <c r="B121" s="98" t="s">
        <v>85</v>
      </c>
      <c r="C121" s="46" t="s">
        <v>123</v>
      </c>
      <c r="D121" s="98" t="s">
        <v>434</v>
      </c>
      <c r="E121" s="46" t="s">
        <v>211</v>
      </c>
      <c r="F121" s="46" t="s">
        <v>213</v>
      </c>
      <c r="G121" s="46" t="s">
        <v>2067</v>
      </c>
      <c r="H121" s="46" t="s">
        <v>20</v>
      </c>
      <c r="I121" s="53">
        <v>46178</v>
      </c>
      <c r="J121" s="98"/>
      <c r="K121" s="46" t="s">
        <v>145</v>
      </c>
      <c r="L121" s="123">
        <f>VLOOKUP($C121&amp;$E121,'Updated SES'!A:N,14,0)</f>
        <v>55.459200000000003</v>
      </c>
      <c r="M121" s="124">
        <f>VLOOKUP($K121,'Genre Penetration'!A:B,2,0)*VLOOKUP($C121&amp;$E121,'Updated SES'!A:I,9,0)</f>
        <v>0.18129999999999999</v>
      </c>
      <c r="N121" s="124">
        <f>VLOOKUP(K:K,'Genre Penetration'!A:C,3,0)*VLOOKUP($C121&amp;$E121,'Updated SES'!A:J,10,0)</f>
        <v>0.32130000000000003</v>
      </c>
      <c r="O121" s="124">
        <f>VLOOKUP($B121,'Language Penetration'!$B$1:$BE$14,MATCH('Compile data Working'!$H49,'Language Penetration'!$B$1:$BE$1,0),0)</f>
        <v>0.2</v>
      </c>
      <c r="P121" s="124" t="str">
        <f ca="1">IF(ISBLANK(J121),RANDBETWEEN(1,2)&amp;"%",IF(J121=1,RANDBETWEEN(35,40)&amp;"%",IF(J121=2,RANDBETWEEN(30,35)&amp;"%",IF(J121=3,RANDBETWEEN(25,30)&amp;"%",IF(J121=4,RANDBETWEEN(20,25)&amp;"%",IF(J121=5,RANDBETWEEN(15,20)&amp;"%",IF(J121=6,RANDBETWEEN(10,15)&amp;"%",IF(J121=7,RANDBETWEEN(8,10)&amp;"%",IF(J121=8,RANDBETWEEN(6,8)&amp;"%",IF(J121=9,RANDBETWEEN(4,6)&amp;"%",IF(J121=10,RANDBETWEEN(2,4)&amp;"%","")))))))))))</f>
        <v>2%</v>
      </c>
      <c r="Q121" s="123">
        <f ca="1">IFERROR(L121*(M121+N121)*O121*P121,RANDBETWEEN(1,2)%*L121*(M121+N121)*O121)</f>
        <v>0.11149517568000002</v>
      </c>
      <c r="R121" s="125">
        <f>VLOOKUP(D:D,ranking!W:X,2,0)</f>
        <v>0.7</v>
      </c>
      <c r="S121" s="126">
        <f ca="1">R121*Q121</f>
        <v>7.8046622976000013E-2</v>
      </c>
      <c r="T121" s="123">
        <v>2.5363908994994087</v>
      </c>
      <c r="U121">
        <v>2.5363908994994087</v>
      </c>
    </row>
    <row r="122" spans="1:21" x14ac:dyDescent="0.25">
      <c r="A122" s="98" t="s">
        <v>1057</v>
      </c>
      <c r="B122" s="98" t="s">
        <v>85</v>
      </c>
      <c r="C122" s="98" t="s">
        <v>906</v>
      </c>
      <c r="D122" s="98" t="s">
        <v>434</v>
      </c>
      <c r="E122" s="46" t="s">
        <v>211</v>
      </c>
      <c r="F122" s="46" t="s">
        <v>213</v>
      </c>
      <c r="G122" s="46" t="s">
        <v>1879</v>
      </c>
      <c r="H122" s="46" t="s">
        <v>246</v>
      </c>
      <c r="I122" s="53">
        <v>46150</v>
      </c>
      <c r="J122" s="119">
        <v>10</v>
      </c>
      <c r="K122" s="46" t="s">
        <v>138</v>
      </c>
      <c r="L122" s="123">
        <f>VLOOKUP($C122&amp;$E122,'Updated SES'!A:N,14,0)</f>
        <v>127.11702000000001</v>
      </c>
      <c r="M122" s="124">
        <f>VLOOKUP($K122,'Genre Penetration'!A:B,2,0)*VLOOKUP($C122&amp;$E122,'Updated SES'!A:I,9,0)</f>
        <v>0.31489999999999996</v>
      </c>
      <c r="N122" s="124">
        <f>VLOOKUP(K:K,'Genre Penetration'!A:C,3,0)*VLOOKUP($C122&amp;$E122,'Updated SES'!A:J,10,0)</f>
        <v>0.1749</v>
      </c>
      <c r="O122" s="124">
        <f>VLOOKUP($B122,'Language Penetration'!$B$1:$BE$14,MATCH('Compile data Working'!$H225,'Language Penetration'!$B$1:$BE$1,0),0)</f>
        <v>0.6</v>
      </c>
      <c r="P122" s="124" t="str">
        <f ca="1">IF(ISBLANK(J122),RANDBETWEEN(1,2)&amp;"%",IF(J122=1,RANDBETWEEN(35,40)&amp;"%",IF(J122=2,RANDBETWEEN(30,35)&amp;"%",IF(J122=3,RANDBETWEEN(25,30)&amp;"%",IF(J122=4,RANDBETWEEN(20,25)&amp;"%",IF(J122=5,RANDBETWEEN(15,20)&amp;"%",IF(J122=6,RANDBETWEEN(10,15)&amp;"%",IF(J122=7,RANDBETWEEN(8,10)&amp;"%",IF(J122=8,RANDBETWEEN(6,8)&amp;"%",IF(J122=9,RANDBETWEEN(4,6)&amp;"%",IF(J122=10,RANDBETWEEN(2,4)&amp;"%","")))))))))))</f>
        <v>2%</v>
      </c>
      <c r="Q122" s="123">
        <f ca="1">IFERROR(L122*(M122+N122)*O122*P122,RANDBETWEEN(1,2)%*L122*(M122+N122)*O122)</f>
        <v>0.74714299675200002</v>
      </c>
      <c r="R122" s="125">
        <f>VLOOKUP(D:D,ranking!W:X,2,0)</f>
        <v>0.7</v>
      </c>
      <c r="S122" s="126">
        <f ca="1">R122*Q122</f>
        <v>0.52300009772639999</v>
      </c>
      <c r="T122" s="123">
        <v>2.5091453692681953</v>
      </c>
    </row>
    <row r="123" spans="1:21" x14ac:dyDescent="0.25">
      <c r="A123" s="98" t="s">
        <v>2005</v>
      </c>
      <c r="B123" s="98" t="s">
        <v>85</v>
      </c>
      <c r="C123" s="98" t="s">
        <v>150</v>
      </c>
      <c r="D123" s="98" t="s">
        <v>434</v>
      </c>
      <c r="E123" s="46" t="s">
        <v>211</v>
      </c>
      <c r="F123" s="46" t="s">
        <v>213</v>
      </c>
      <c r="G123" s="46" t="s">
        <v>2075</v>
      </c>
      <c r="H123" s="46" t="s">
        <v>2093</v>
      </c>
      <c r="I123" s="53">
        <v>46178</v>
      </c>
      <c r="J123" s="98"/>
      <c r="K123" s="46" t="s">
        <v>90</v>
      </c>
      <c r="L123" s="123">
        <f>VLOOKUP($C123&amp;$E123,'Updated SES'!A:N,14,0)</f>
        <v>60.152000000000001</v>
      </c>
      <c r="M123" s="124">
        <f>VLOOKUP($K123,'Genre Penetration'!A:B,2,0)*VLOOKUP($C123&amp;$E123,'Updated SES'!A:I,9,0)</f>
        <v>0.46799999999999997</v>
      </c>
      <c r="N123" s="124">
        <f>VLOOKUP(K:K,'Genre Penetration'!A:C,3,0)*VLOOKUP($C123&amp;$E123,'Updated SES'!A:J,10,0)</f>
        <v>9.8000000000000004E-2</v>
      </c>
      <c r="O123" s="124">
        <v>0.05</v>
      </c>
      <c r="P123" s="124" t="str">
        <f ca="1">IF(ISBLANK(J123),RANDBETWEEN(1,2)&amp;"%",IF(J123=1,RANDBETWEEN(35,40)&amp;"%",IF(J123=2,RANDBETWEEN(30,35)&amp;"%",IF(J123=3,RANDBETWEEN(25,30)&amp;"%",IF(J123=4,RANDBETWEEN(20,25)&amp;"%",IF(J123=5,RANDBETWEEN(15,20)&amp;"%",IF(J123=6,RANDBETWEEN(10,15)&amp;"%",IF(J123=7,RANDBETWEEN(8,10)&amp;"%",IF(J123=8,RANDBETWEEN(6,8)&amp;"%",IF(J123=9,RANDBETWEEN(4,6)&amp;"%",IF(J123=10,RANDBETWEEN(2,4)&amp;"%","")))))))))))</f>
        <v>2%</v>
      </c>
      <c r="Q123" s="123">
        <f ca="1">IFERROR(L123*(M123+N123)*O123*P123,RANDBETWEEN(1,2)%*L123*(M123+N123)*O123)</f>
        <v>3.4046031999999997E-2</v>
      </c>
      <c r="R123" s="125">
        <f>VLOOKUP(D:D,ranking!W:X,2,0)</f>
        <v>0.7</v>
      </c>
      <c r="S123" s="126">
        <f ca="1">R123*Q123</f>
        <v>2.3832222399999995E-2</v>
      </c>
      <c r="T123" s="123">
        <v>2.5063948172714086</v>
      </c>
      <c r="U123">
        <v>2.5063948172714086</v>
      </c>
    </row>
    <row r="124" spans="1:21" x14ac:dyDescent="0.25">
      <c r="A124" s="98" t="s">
        <v>2005</v>
      </c>
      <c r="B124" s="98" t="s">
        <v>85</v>
      </c>
      <c r="C124" s="46" t="s">
        <v>150</v>
      </c>
      <c r="D124" s="98" t="s">
        <v>1854</v>
      </c>
      <c r="E124" s="46" t="s">
        <v>219</v>
      </c>
      <c r="F124" s="46" t="s">
        <v>215</v>
      </c>
      <c r="G124" s="46" t="s">
        <v>2016</v>
      </c>
      <c r="H124" s="46" t="s">
        <v>19</v>
      </c>
      <c r="I124" s="53">
        <v>46174</v>
      </c>
      <c r="J124" s="98">
        <v>1</v>
      </c>
      <c r="K124" s="46" t="s">
        <v>2097</v>
      </c>
      <c r="L124" s="123">
        <f>VLOOKUP($C124&amp;$E124,'Updated SES'!A:N,14,0)</f>
        <v>24.425800000000002</v>
      </c>
      <c r="M124" s="124" t="e">
        <f>VLOOKUP($K124,'Genre Penetration'!A:B,2,0)*VLOOKUP($C124&amp;$E124,'Updated SES'!A:I,9,0)</f>
        <v>#N/A</v>
      </c>
      <c r="N124" s="124" t="e">
        <f>VLOOKUP(K:K,'Genre Penetration'!A:C,3,0)*VLOOKUP($C124&amp;$E124,'Updated SES'!A:J,10,0)</f>
        <v>#N/A</v>
      </c>
      <c r="O124" s="124" t="e">
        <f>VLOOKUP($B124,'Language Penetration'!$B$1:$BE$14,MATCH('Compile data Working'!$H28,'Language Penetration'!$B$1:$BE$1,0),0)</f>
        <v>#N/A</v>
      </c>
      <c r="P124" s="124" t="str">
        <f ca="1">IF(ISBLANK(J124),RANDBETWEEN(1,2)&amp;"%",IF(J124=1,RANDBETWEEN(35,40)&amp;"%",IF(J124=2,RANDBETWEEN(30,35)&amp;"%",IF(J124=3,RANDBETWEEN(25,30)&amp;"%",IF(J124=4,RANDBETWEEN(20,25)&amp;"%",IF(J124=5,RANDBETWEEN(15,20)&amp;"%",IF(J124=6,RANDBETWEEN(10,15)&amp;"%",IF(J124=7,RANDBETWEEN(8,10)&amp;"%",IF(J124=8,RANDBETWEEN(6,8)&amp;"%",IF(J124=9,RANDBETWEEN(4,6)&amp;"%",IF(J124=10,RANDBETWEEN(2,4)&amp;"%","")))))))))))</f>
        <v>39%</v>
      </c>
      <c r="Q124" s="123" t="e">
        <f ca="1">IFERROR(L124*(M124+N124)*O124*P124,RANDBETWEEN(1,2)%*L124*(M124+N124)*O124)</f>
        <v>#N/A</v>
      </c>
      <c r="R124" s="125">
        <f>VLOOKUP(D:D,ranking!W:X,2,0)</f>
        <v>0.6</v>
      </c>
      <c r="S124" s="126" t="e">
        <f ca="1">R124*Q124</f>
        <v>#N/A</v>
      </c>
      <c r="T124" s="123">
        <v>2.503520391737041</v>
      </c>
    </row>
    <row r="125" spans="1:21" x14ac:dyDescent="0.25">
      <c r="A125" s="98" t="s">
        <v>2005</v>
      </c>
      <c r="B125" s="98" t="s">
        <v>85</v>
      </c>
      <c r="C125" s="98" t="s">
        <v>64</v>
      </c>
      <c r="D125" s="98" t="s">
        <v>434</v>
      </c>
      <c r="E125" s="46" t="s">
        <v>211</v>
      </c>
      <c r="F125" s="46" t="s">
        <v>213</v>
      </c>
      <c r="G125" s="46" t="s">
        <v>2081</v>
      </c>
      <c r="H125" s="46" t="s">
        <v>22</v>
      </c>
      <c r="I125" s="53">
        <v>46178</v>
      </c>
      <c r="J125" s="98">
        <v>5</v>
      </c>
      <c r="K125" s="46" t="s">
        <v>145</v>
      </c>
      <c r="L125" s="123">
        <f>VLOOKUP($C125&amp;$E125,'Updated SES'!A:N,14,0)</f>
        <v>36.498239999999996</v>
      </c>
      <c r="M125" s="124">
        <f>VLOOKUP($K125,'Genre Penetration'!A:B,2,0)*VLOOKUP($C125&amp;$E125,'Updated SES'!A:I,9,0)</f>
        <v>0.19240000000000002</v>
      </c>
      <c r="N125" s="124">
        <f>VLOOKUP(K:K,'Genre Penetration'!A:C,3,0)*VLOOKUP($C125&amp;$E125,'Updated SES'!A:J,10,0)</f>
        <v>0.3024</v>
      </c>
      <c r="O125" s="124" t="e">
        <f>VLOOKUP($B125,'Language Penetration'!$B$1:$BE$14,MATCH('Compile data Working'!$H96,'Language Penetration'!$B$1:$BE$1,0),0)</f>
        <v>#N/A</v>
      </c>
      <c r="P125" s="124" t="str">
        <f ca="1">IF(ISBLANK(J125),RANDBETWEEN(1,2)&amp;"%",IF(J125=1,RANDBETWEEN(35,40)&amp;"%",IF(J125=2,RANDBETWEEN(30,35)&amp;"%",IF(J125=3,RANDBETWEEN(25,30)&amp;"%",IF(J125=4,RANDBETWEEN(20,25)&amp;"%",IF(J125=5,RANDBETWEEN(15,20)&amp;"%",IF(J125=6,RANDBETWEEN(10,15)&amp;"%",IF(J125=7,RANDBETWEEN(8,10)&amp;"%",IF(J125=8,RANDBETWEEN(6,8)&amp;"%",IF(J125=9,RANDBETWEEN(4,6)&amp;"%",IF(J125=10,RANDBETWEEN(2,4)&amp;"%","")))))))))))</f>
        <v>18%</v>
      </c>
      <c r="Q125" s="123" t="e">
        <f ca="1">IFERROR(L125*(M125+N125)*O125*P125,RANDBETWEEN(1,2)%*L125*(M125+N125)*O125)</f>
        <v>#N/A</v>
      </c>
      <c r="R125" s="125">
        <f>VLOOKUP(D:D,ranking!W:X,2,0)</f>
        <v>0.7</v>
      </c>
      <c r="S125" s="126" t="e">
        <f ca="1">R125*Q125</f>
        <v>#N/A</v>
      </c>
      <c r="T125" s="123">
        <v>2.4587363142039793</v>
      </c>
      <c r="U125">
        <v>2.4587363142039793</v>
      </c>
    </row>
    <row r="126" spans="1:21" x14ac:dyDescent="0.25">
      <c r="A126" s="98" t="s">
        <v>1057</v>
      </c>
      <c r="B126" s="98" t="s">
        <v>85</v>
      </c>
      <c r="C126" s="98" t="s">
        <v>64</v>
      </c>
      <c r="D126" s="98" t="s">
        <v>431</v>
      </c>
      <c r="E126" s="98" t="s">
        <v>211</v>
      </c>
      <c r="F126" s="46" t="s">
        <v>215</v>
      </c>
      <c r="G126" s="98" t="s">
        <v>1873</v>
      </c>
      <c r="H126" s="120" t="s">
        <v>19</v>
      </c>
      <c r="I126" s="106">
        <v>46150</v>
      </c>
      <c r="J126" s="119">
        <v>10</v>
      </c>
      <c r="K126" s="98" t="s">
        <v>46</v>
      </c>
      <c r="L126" s="123">
        <f>VLOOKUP($C126&amp;$E126,'Updated SES'!A:N,14,0)</f>
        <v>36.498239999999996</v>
      </c>
      <c r="M126" s="124">
        <f>VLOOKUP($K126,'Genre Penetration'!A:B,2,0)*VLOOKUP($C126&amp;$E126,'Updated SES'!A:I,9,0)</f>
        <v>0.36399999999999999</v>
      </c>
      <c r="N126" s="124">
        <f>VLOOKUP(K:K,'Genre Penetration'!A:C,3,0)*VLOOKUP($C126&amp;$E126,'Updated SES'!A:J,10,0)</f>
        <v>0.14399999999999999</v>
      </c>
      <c r="O126" s="124">
        <f>VLOOKUP($B126,'Language Penetration'!$B$1:$BE$14,MATCH('Compile data Working'!$H206,'Language Penetration'!$B$1:$BE$1,0),0)</f>
        <v>0.6</v>
      </c>
      <c r="P126" s="124" t="str">
        <f ca="1">IF(ISBLANK(J126),RANDBETWEEN(1,2)&amp;"%",IF(J126=1,RANDBETWEEN(35,40)&amp;"%",IF(J126=2,RANDBETWEEN(30,35)&amp;"%",IF(J126=3,RANDBETWEEN(25,30)&amp;"%",IF(J126=4,RANDBETWEEN(20,25)&amp;"%",IF(J126=5,RANDBETWEEN(15,20)&amp;"%",IF(J126=6,RANDBETWEEN(10,15)&amp;"%",IF(J126=7,RANDBETWEEN(8,10)&amp;"%",IF(J126=8,RANDBETWEEN(6,8)&amp;"%",IF(J126=9,RANDBETWEEN(4,6)&amp;"%",IF(J126=10,RANDBETWEEN(2,4)&amp;"%","")))))))))))</f>
        <v>4%</v>
      </c>
      <c r="Q126" s="123">
        <f ca="1">IFERROR(L126*(M126+N126)*O126*P126,RANDBETWEEN(1,2)%*L126*(M126+N126)*O126)</f>
        <v>0.44498654207999999</v>
      </c>
      <c r="R126" s="125">
        <f>VLOOKUP(D:D,ranking!W:X,2,0)</f>
        <v>0.6</v>
      </c>
      <c r="S126" s="126">
        <f ca="1">R126*Q126</f>
        <v>0.26699192524799997</v>
      </c>
      <c r="T126" s="123">
        <v>2.4366826818222571</v>
      </c>
    </row>
    <row r="127" spans="1:21" x14ac:dyDescent="0.25">
      <c r="A127" s="98" t="s">
        <v>1057</v>
      </c>
      <c r="B127" s="98" t="s">
        <v>85</v>
      </c>
      <c r="C127" s="46" t="s">
        <v>1229</v>
      </c>
      <c r="D127" s="46" t="s">
        <v>433</v>
      </c>
      <c r="E127" s="46" t="s">
        <v>219</v>
      </c>
      <c r="F127" s="46" t="s">
        <v>215</v>
      </c>
      <c r="G127" s="46" t="s">
        <v>1866</v>
      </c>
      <c r="H127" s="46" t="s">
        <v>19</v>
      </c>
      <c r="I127" s="53">
        <v>46115</v>
      </c>
      <c r="J127" s="119">
        <v>5</v>
      </c>
      <c r="K127" s="46" t="s">
        <v>202</v>
      </c>
      <c r="L127" s="123">
        <f>VLOOKUP($C127&amp;$E127,'Updated SES'!A:N,14,0)</f>
        <v>78.939870000000013</v>
      </c>
      <c r="M127" s="124">
        <f>VLOOKUP($K127,'Genre Penetration'!A:B,2,0)*VLOOKUP($C127&amp;$E127,'Updated SES'!A:I,9,0)</f>
        <v>0.57599999999999996</v>
      </c>
      <c r="N127" s="124">
        <f>VLOOKUP(K:K,'Genre Penetration'!A:C,3,0)*VLOOKUP($C127&amp;$E127,'Updated SES'!A:J,10,0)</f>
        <v>5.6000000000000008E-2</v>
      </c>
      <c r="O127" s="124">
        <f>VLOOKUP($B127,'Language Penetration'!$B$1:$BE$14,MATCH('Compile data Working'!$H63,'Language Penetration'!$B$1:$BE$1,0),0)</f>
        <v>0.6</v>
      </c>
      <c r="P127" s="124" t="str">
        <f ca="1">IF(ISBLANK(J127),RANDBETWEEN(1,2)&amp;"%",IF(J127=1,RANDBETWEEN(35,40)&amp;"%",IF(J127=2,RANDBETWEEN(30,35)&amp;"%",IF(J127=3,RANDBETWEEN(25,30)&amp;"%",IF(J127=4,RANDBETWEEN(20,25)&amp;"%",IF(J127=5,RANDBETWEEN(15,20)&amp;"%",IF(J127=6,RANDBETWEEN(10,15)&amp;"%",IF(J127=7,RANDBETWEEN(8,10)&amp;"%",IF(J127=8,RANDBETWEEN(6,8)&amp;"%",IF(J127=9,RANDBETWEEN(4,6)&amp;"%",IF(J127=10,RANDBETWEEN(2,4)&amp;"%","")))))))))))</f>
        <v>19%</v>
      </c>
      <c r="Q127" s="123">
        <f ca="1">IFERROR(L127*(M127+N127)*O127*P127,RANDBETWEEN(1,2)%*L127*(M127+N127)*O127)</f>
        <v>5.6874597537600007</v>
      </c>
      <c r="R127" s="125">
        <f>VLOOKUP(D:D,ranking!W:X,2,0)</f>
        <v>0.6</v>
      </c>
      <c r="S127" s="126">
        <f ca="1">R127*Q127</f>
        <v>3.4124758522560001</v>
      </c>
      <c r="T127" s="123">
        <v>2.4036970736841363</v>
      </c>
    </row>
    <row r="128" spans="1:21" x14ac:dyDescent="0.25">
      <c r="A128" s="98" t="s">
        <v>2005</v>
      </c>
      <c r="B128" s="98" t="s">
        <v>85</v>
      </c>
      <c r="C128" s="46" t="s">
        <v>104</v>
      </c>
      <c r="D128" s="98" t="s">
        <v>434</v>
      </c>
      <c r="E128" s="46" t="s">
        <v>211</v>
      </c>
      <c r="F128" s="46" t="s">
        <v>213</v>
      </c>
      <c r="G128" s="46" t="s">
        <v>2068</v>
      </c>
      <c r="H128" s="46" t="s">
        <v>33</v>
      </c>
      <c r="I128" s="53">
        <v>46178</v>
      </c>
      <c r="J128" s="98"/>
      <c r="K128" s="46" t="s">
        <v>156</v>
      </c>
      <c r="L128" s="123">
        <f>VLOOKUP($C128&amp;$E128,'Updated SES'!A:N,14,0)</f>
        <v>16.906969999999998</v>
      </c>
      <c r="M128" s="124">
        <f>VLOOKUP($K128,'Genre Penetration'!A:B,2,0)*VLOOKUP($C128&amp;$E128,'Updated SES'!A:I,9,0)</f>
        <v>0.39600000000000002</v>
      </c>
      <c r="N128" s="124">
        <f>VLOOKUP(K:K,'Genre Penetration'!A:C,3,0)*VLOOKUP($C128&amp;$E128,'Updated SES'!A:J,10,0)</f>
        <v>0.13600000000000001</v>
      </c>
      <c r="O128" s="124">
        <f>VLOOKUP($B128,'Language Penetration'!$B$1:$BE$14,MATCH('Compile data Working'!$H204,'Language Penetration'!$B$1:$BE$1,0),0)</f>
        <v>0.6</v>
      </c>
      <c r="P128" s="124" t="str">
        <f ca="1">IF(ISBLANK(J128),RANDBETWEEN(1,2)&amp;"%",IF(J128=1,RANDBETWEEN(35,40)&amp;"%",IF(J128=2,RANDBETWEEN(30,35)&amp;"%",IF(J128=3,RANDBETWEEN(25,30)&amp;"%",IF(J128=4,RANDBETWEEN(20,25)&amp;"%",IF(J128=5,RANDBETWEEN(15,20)&amp;"%",IF(J128=6,RANDBETWEEN(10,15)&amp;"%",IF(J128=7,RANDBETWEEN(8,10)&amp;"%",IF(J128=8,RANDBETWEEN(6,8)&amp;"%",IF(J128=9,RANDBETWEEN(4,6)&amp;"%",IF(J128=10,RANDBETWEEN(2,4)&amp;"%","")))))))))))</f>
        <v>2%</v>
      </c>
      <c r="Q128" s="123">
        <f ca="1">IFERROR(L128*(M128+N128)*O128*P128,RANDBETWEEN(1,2)%*L128*(M128+N128)*O128)</f>
        <v>0.10793409647999999</v>
      </c>
      <c r="R128" s="125">
        <f>VLOOKUP(D:D,ranking!W:X,2,0)</f>
        <v>0.7</v>
      </c>
      <c r="S128" s="126">
        <f ca="1">R128*Q128</f>
        <v>7.5553867535999991E-2</v>
      </c>
      <c r="T128" s="123">
        <v>2.3948202888759917</v>
      </c>
      <c r="U128">
        <v>2.3948202888759917</v>
      </c>
    </row>
    <row r="129" spans="1:21" x14ac:dyDescent="0.25">
      <c r="A129" s="98" t="s">
        <v>2005</v>
      </c>
      <c r="B129" s="98" t="s">
        <v>85</v>
      </c>
      <c r="C129" s="46" t="s">
        <v>100</v>
      </c>
      <c r="D129" s="98" t="s">
        <v>434</v>
      </c>
      <c r="E129" s="46" t="s">
        <v>211</v>
      </c>
      <c r="F129" s="46" t="s">
        <v>213</v>
      </c>
      <c r="G129" s="53" t="s">
        <v>2077</v>
      </c>
      <c r="H129" s="46" t="s">
        <v>23</v>
      </c>
      <c r="I129" s="53">
        <v>46178</v>
      </c>
      <c r="J129" s="98"/>
      <c r="K129" s="46" t="s">
        <v>216</v>
      </c>
      <c r="L129" s="123">
        <f>VLOOKUP($C129&amp;$E129,'Updated SES'!A:N,14,0)</f>
        <v>1.8480000000000003</v>
      </c>
      <c r="M129" s="124">
        <f>VLOOKUP($K129,'Genre Penetration'!A:B,2,0)*VLOOKUP($C129&amp;$E129,'Updated SES'!A:I,9,0)</f>
        <v>0.39</v>
      </c>
      <c r="N129" s="124">
        <f>VLOOKUP(K:K,'Genre Penetration'!A:C,3,0)*VLOOKUP($C129&amp;$E129,'Updated SES'!A:J,10,0)</f>
        <v>0.11</v>
      </c>
      <c r="O129" s="124" t="e">
        <f>VLOOKUP($B129,'Language Penetration'!$B$1:$BE$14,MATCH('Compile data Working'!#REF!,'Language Penetration'!$B$1:$BE$1,0),0)</f>
        <v>#REF!</v>
      </c>
      <c r="P129" s="124" t="str">
        <f ca="1">IF(ISBLANK(J129),RANDBETWEEN(1,2)&amp;"%",IF(J129=1,RANDBETWEEN(35,40)&amp;"%",IF(J129=2,RANDBETWEEN(30,35)&amp;"%",IF(J129=3,RANDBETWEEN(25,30)&amp;"%",IF(J129=4,RANDBETWEEN(20,25)&amp;"%",IF(J129=5,RANDBETWEEN(15,20)&amp;"%",IF(J129=6,RANDBETWEEN(10,15)&amp;"%",IF(J129=7,RANDBETWEEN(8,10)&amp;"%",IF(J129=8,RANDBETWEEN(6,8)&amp;"%",IF(J129=9,RANDBETWEEN(4,6)&amp;"%",IF(J129=10,RANDBETWEEN(2,4)&amp;"%","")))))))))))</f>
        <v>1%</v>
      </c>
      <c r="Q129" s="123" t="e">
        <f ca="1">IFERROR(L129*(M129+N129)*O129*P129,RANDBETWEEN(1,2)%*L129*(M129+N129)*O129)</f>
        <v>#REF!</v>
      </c>
      <c r="R129" s="125">
        <f>VLOOKUP(D:D,ranking!W:X,2,0)</f>
        <v>0.7</v>
      </c>
      <c r="S129" s="126" t="e">
        <f ca="1">R129*Q129</f>
        <v>#REF!</v>
      </c>
      <c r="T129" s="123">
        <v>2.384779870313444</v>
      </c>
      <c r="U129">
        <v>2.384779870313444</v>
      </c>
    </row>
    <row r="130" spans="1:21" x14ac:dyDescent="0.25">
      <c r="A130" s="98" t="s">
        <v>2005</v>
      </c>
      <c r="B130" s="98" t="s">
        <v>85</v>
      </c>
      <c r="C130" s="46" t="s">
        <v>64</v>
      </c>
      <c r="D130" s="98" t="s">
        <v>434</v>
      </c>
      <c r="E130" s="46" t="s">
        <v>211</v>
      </c>
      <c r="F130" s="46" t="s">
        <v>213</v>
      </c>
      <c r="G130" s="46" t="s">
        <v>2074</v>
      </c>
      <c r="H130" s="46" t="s">
        <v>22</v>
      </c>
      <c r="I130" s="53">
        <v>46178</v>
      </c>
      <c r="J130" s="98"/>
      <c r="K130" s="46" t="s">
        <v>216</v>
      </c>
      <c r="L130" s="123">
        <f>VLOOKUP($C130&amp;$E130,'Updated SES'!A:N,14,0)</f>
        <v>36.498239999999996</v>
      </c>
      <c r="M130" s="124">
        <f>VLOOKUP($K130,'Genre Penetration'!A:B,2,0)*VLOOKUP($C130&amp;$E130,'Updated SES'!A:I,9,0)</f>
        <v>0.26</v>
      </c>
      <c r="N130" s="124">
        <f>VLOOKUP(K:K,'Genre Penetration'!A:C,3,0)*VLOOKUP($C130&amp;$E130,'Updated SES'!A:J,10,0)</f>
        <v>0.24</v>
      </c>
      <c r="O130" s="124">
        <f>VLOOKUP($B130,'Language Penetration'!$B$1:$BE$14,MATCH('Compile data Working'!$H102,'Language Penetration'!$B$1:$BE$1,0),0)</f>
        <v>0.2</v>
      </c>
      <c r="P130" s="124" t="str">
        <f ca="1">IF(ISBLANK(J130),RANDBETWEEN(1,2)&amp;"%",IF(J130=1,RANDBETWEEN(35,40)&amp;"%",IF(J130=2,RANDBETWEEN(30,35)&amp;"%",IF(J130=3,RANDBETWEEN(25,30)&amp;"%",IF(J130=4,RANDBETWEEN(20,25)&amp;"%",IF(J130=5,RANDBETWEEN(15,20)&amp;"%",IF(J130=6,RANDBETWEEN(10,15)&amp;"%",IF(J130=7,RANDBETWEEN(8,10)&amp;"%",IF(J130=8,RANDBETWEEN(6,8)&amp;"%",IF(J130=9,RANDBETWEEN(4,6)&amp;"%",IF(J130=10,RANDBETWEEN(2,4)&amp;"%","")))))))))))</f>
        <v>2%</v>
      </c>
      <c r="Q130" s="123">
        <f ca="1">IFERROR(L130*(M130+N130)*O130*P130,RANDBETWEEN(1,2)%*L130*(M130+N130)*O130)</f>
        <v>7.2996480000000002E-2</v>
      </c>
      <c r="R130" s="125">
        <f>VLOOKUP(D:D,ranking!W:X,2,0)</f>
        <v>0.7</v>
      </c>
      <c r="S130" s="126">
        <f ca="1">R130*Q130</f>
        <v>5.1097535999999999E-2</v>
      </c>
      <c r="T130" s="123">
        <v>2.3778973415695011</v>
      </c>
      <c r="U130">
        <v>2.3778973415695011</v>
      </c>
    </row>
    <row r="131" spans="1:21" x14ac:dyDescent="0.25">
      <c r="A131" s="98" t="s">
        <v>1057</v>
      </c>
      <c r="B131" s="98" t="s">
        <v>85</v>
      </c>
      <c r="C131" s="98" t="s">
        <v>406</v>
      </c>
      <c r="D131" s="98" t="s">
        <v>431</v>
      </c>
      <c r="E131" s="98" t="s">
        <v>211</v>
      </c>
      <c r="F131" s="46" t="s">
        <v>215</v>
      </c>
      <c r="G131" s="120" t="s">
        <v>1999</v>
      </c>
      <c r="H131" s="119" t="s">
        <v>20</v>
      </c>
      <c r="I131" s="106">
        <v>46171</v>
      </c>
      <c r="J131" s="119">
        <v>4</v>
      </c>
      <c r="K131" s="98" t="s">
        <v>865</v>
      </c>
      <c r="L131" s="123">
        <f>VLOOKUP($C131&amp;$E131,'Updated SES'!A:N,14,0)</f>
        <v>1.669</v>
      </c>
      <c r="M131" s="124">
        <f>VLOOKUP($K131,'Genre Penetration'!A:B,2,0)*VLOOKUP($C131&amp;$E131,'Updated SES'!A:I,9,0)</f>
        <v>0.33</v>
      </c>
      <c r="N131" s="124">
        <f>VLOOKUP(K:K,'Genre Penetration'!A:C,3,0)*VLOOKUP($C131&amp;$E131,'Updated SES'!A:J,10,0)</f>
        <v>0.18000000000000002</v>
      </c>
      <c r="O131" s="124">
        <f>VLOOKUP($B131,'Language Penetration'!$B$1:$BE$14,MATCH('Compile data Working'!$H93,'Language Penetration'!$B$1:$BE$1,0),0)</f>
        <v>0.6</v>
      </c>
      <c r="P131" s="124" t="str">
        <f ca="1">IF(ISBLANK(J131),RANDBETWEEN(1,2)&amp;"%",IF(J131=1,RANDBETWEEN(35,40)&amp;"%",IF(J131=2,RANDBETWEEN(30,35)&amp;"%",IF(J131=3,RANDBETWEEN(25,30)&amp;"%",IF(J131=4,RANDBETWEEN(20,25)&amp;"%",IF(J131=5,RANDBETWEEN(15,20)&amp;"%",IF(J131=6,RANDBETWEEN(10,15)&amp;"%",IF(J131=7,RANDBETWEEN(8,10)&amp;"%",IF(J131=8,RANDBETWEEN(6,8)&amp;"%",IF(J131=9,RANDBETWEEN(4,6)&amp;"%",IF(J131=10,RANDBETWEEN(2,4)&amp;"%","")))))))))))</f>
        <v>23%</v>
      </c>
      <c r="Q131" s="123">
        <f ca="1">IFERROR(L131*(M131+N131)*O131*P131,RANDBETWEEN(1,2)%*L131*(M131+N131)*O131)</f>
        <v>0.11746422000000001</v>
      </c>
      <c r="R131" s="125">
        <f>VLOOKUP(D:D,ranking!W:X,2,0)</f>
        <v>0.6</v>
      </c>
      <c r="S131" s="126">
        <f ca="1">R131*Q131</f>
        <v>7.0478531999999997E-2</v>
      </c>
      <c r="T131" s="123">
        <v>2.3682287369008299</v>
      </c>
    </row>
    <row r="132" spans="1:21" x14ac:dyDescent="0.25">
      <c r="A132" s="98" t="s">
        <v>1057</v>
      </c>
      <c r="B132" s="98" t="s">
        <v>85</v>
      </c>
      <c r="C132" s="98" t="s">
        <v>150</v>
      </c>
      <c r="D132" s="98" t="s">
        <v>432</v>
      </c>
      <c r="E132" s="98" t="s">
        <v>211</v>
      </c>
      <c r="F132" s="46" t="s">
        <v>213</v>
      </c>
      <c r="G132" s="98" t="s">
        <v>1799</v>
      </c>
      <c r="H132" s="98" t="s">
        <v>19</v>
      </c>
      <c r="I132" s="106">
        <v>46122</v>
      </c>
      <c r="J132" s="119">
        <v>9</v>
      </c>
      <c r="K132" s="98" t="s">
        <v>422</v>
      </c>
      <c r="L132" s="123">
        <f>VLOOKUP($C132&amp;$E132,'Updated SES'!A:N,14,0)</f>
        <v>60.152000000000001</v>
      </c>
      <c r="M132" s="124">
        <f>VLOOKUP($K132,'Genre Penetration'!A:B,2,0)*VLOOKUP($C132&amp;$E132,'Updated SES'!A:I,9,0)</f>
        <v>0.377</v>
      </c>
      <c r="N132" s="124">
        <f>VLOOKUP(K:K,'Genre Penetration'!A:C,3,0)*VLOOKUP($C132&amp;$E132,'Updated SES'!A:J,10,0)</f>
        <v>0.14699999999999999</v>
      </c>
      <c r="O132" s="124" t="e">
        <f>VLOOKUP($B132,'Language Penetration'!$B$1:$BE$14,MATCH('Compile data Working'!#REF!,'Language Penetration'!$B$1:$BE$1,0),0)</f>
        <v>#REF!</v>
      </c>
      <c r="P132" s="124" t="str">
        <f ca="1">IF(ISBLANK(J132),RANDBETWEEN(1,2)&amp;"%",IF(J132=1,RANDBETWEEN(35,40)&amp;"%",IF(J132=2,RANDBETWEEN(30,35)&amp;"%",IF(J132=3,RANDBETWEEN(25,30)&amp;"%",IF(J132=4,RANDBETWEEN(20,25)&amp;"%",IF(J132=5,RANDBETWEEN(15,20)&amp;"%",IF(J132=6,RANDBETWEEN(10,15)&amp;"%",IF(J132=7,RANDBETWEEN(8,10)&amp;"%",IF(J132=8,RANDBETWEEN(6,8)&amp;"%",IF(J132=9,RANDBETWEEN(4,6)&amp;"%",IF(J132=10,RANDBETWEEN(2,4)&amp;"%","")))))))))))</f>
        <v>4%</v>
      </c>
      <c r="Q132" s="123" t="e">
        <f ca="1">IFERROR(L132*(M132+N132)*O132*P132,RANDBETWEEN(1,2)%*L132*(M132+N132)*O132)</f>
        <v>#REF!</v>
      </c>
      <c r="R132" s="125">
        <f>VLOOKUP(D:D,ranking!W:X,2,0)</f>
        <v>0.8</v>
      </c>
      <c r="S132" s="126" t="e">
        <f ca="1">R132*Q132</f>
        <v>#REF!</v>
      </c>
      <c r="T132" s="123">
        <v>2.3413073709923684</v>
      </c>
    </row>
    <row r="133" spans="1:21" x14ac:dyDescent="0.25">
      <c r="A133" s="98" t="s">
        <v>1057</v>
      </c>
      <c r="B133" s="98" t="s">
        <v>85</v>
      </c>
      <c r="C133" s="98" t="s">
        <v>150</v>
      </c>
      <c r="D133" s="98" t="s">
        <v>434</v>
      </c>
      <c r="E133" s="98" t="s">
        <v>211</v>
      </c>
      <c r="F133" s="46" t="s">
        <v>213</v>
      </c>
      <c r="G133" s="46" t="s">
        <v>2000</v>
      </c>
      <c r="H133" s="98" t="s">
        <v>29</v>
      </c>
      <c r="I133" s="53">
        <v>46171</v>
      </c>
      <c r="J133" s="119">
        <v>3</v>
      </c>
      <c r="K133" s="46" t="s">
        <v>138</v>
      </c>
      <c r="L133" s="123">
        <f>VLOOKUP($C133&amp;$E133,'Updated SES'!A:N,14,0)</f>
        <v>60.152000000000001</v>
      </c>
      <c r="M133" s="124">
        <f>VLOOKUP($K133,'Genre Penetration'!A:B,2,0)*VLOOKUP($C133&amp;$E133,'Updated SES'!A:I,9,0)</f>
        <v>0.30549999999999999</v>
      </c>
      <c r="N133" s="124">
        <f>VLOOKUP(K:K,'Genre Penetration'!A:C,3,0)*VLOOKUP($C133&amp;$E133,'Updated SES'!A:J,10,0)</f>
        <v>0.1855</v>
      </c>
      <c r="O133" s="124" t="e">
        <f>VLOOKUP($B133,'Language Penetration'!$B$1:$BE$14,MATCH('Compile data Working'!#REF!,'Language Penetration'!$B$1:$BE$1,0),0)</f>
        <v>#REF!</v>
      </c>
      <c r="P133" s="124" t="str">
        <f ca="1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30%</v>
      </c>
      <c r="Q133" s="123" t="e">
        <f ca="1">IFERROR(L133*(M133+N133)*O133*P133,RANDBETWEEN(1,2)%*L133*(M133+N133)*O133)</f>
        <v>#REF!</v>
      </c>
      <c r="R133" s="125">
        <f>VLOOKUP(D:D,ranking!W:X,2,0)</f>
        <v>0.7</v>
      </c>
      <c r="S133" s="126" t="e">
        <f ca="1">R133*Q133</f>
        <v>#REF!</v>
      </c>
      <c r="T133" s="123">
        <v>2.3279757150728635</v>
      </c>
    </row>
    <row r="134" spans="1:21" x14ac:dyDescent="0.25">
      <c r="A134" s="98" t="s">
        <v>1057</v>
      </c>
      <c r="B134" s="98" t="s">
        <v>85</v>
      </c>
      <c r="C134" s="98" t="s">
        <v>64</v>
      </c>
      <c r="D134" s="98" t="s">
        <v>434</v>
      </c>
      <c r="E134" s="119" t="s">
        <v>211</v>
      </c>
      <c r="F134" s="46" t="s">
        <v>213</v>
      </c>
      <c r="G134" s="98" t="s">
        <v>1856</v>
      </c>
      <c r="H134" s="98" t="s">
        <v>40</v>
      </c>
      <c r="I134" s="106">
        <v>46154</v>
      </c>
      <c r="J134" s="119">
        <v>8</v>
      </c>
      <c r="K134" s="98" t="s">
        <v>980</v>
      </c>
      <c r="L134" s="123">
        <f>VLOOKUP($C134&amp;$E134,'Updated SES'!A:N,14,0)</f>
        <v>36.498239999999996</v>
      </c>
      <c r="M134" s="124">
        <f>VLOOKUP($K134,'Genre Penetration'!A:B,2,0)*VLOOKUP($C134&amp;$E134,'Updated SES'!A:I,9,0)</f>
        <v>0.312</v>
      </c>
      <c r="N134" s="124">
        <f>VLOOKUP(K:K,'Genre Penetration'!A:C,3,0)*VLOOKUP($C134&amp;$E134,'Updated SES'!A:J,10,0)</f>
        <v>0.192</v>
      </c>
      <c r="O134" s="124">
        <f>VLOOKUP($B134,'Language Penetration'!$B$1:$BE$14,MATCH('Compile data Working'!$H57,'Language Penetration'!$B$1:$BE$1,0),0)</f>
        <v>0.2</v>
      </c>
      <c r="P134" s="124" t="str">
        <f ca="1">IF(ISBLANK(J134),RANDBETWEEN(1,2)&amp;"%",IF(J134=1,RANDBETWEEN(35,40)&amp;"%",IF(J134=2,RANDBETWEEN(30,35)&amp;"%",IF(J134=3,RANDBETWEEN(25,30)&amp;"%",IF(J134=4,RANDBETWEEN(20,25)&amp;"%",IF(J134=5,RANDBETWEEN(15,20)&amp;"%",IF(J134=6,RANDBETWEEN(10,15)&amp;"%",IF(J134=7,RANDBETWEEN(8,10)&amp;"%",IF(J134=8,RANDBETWEEN(6,8)&amp;"%",IF(J134=9,RANDBETWEEN(4,6)&amp;"%",IF(J134=10,RANDBETWEEN(2,4)&amp;"%","")))))))))))</f>
        <v>6%</v>
      </c>
      <c r="Q134" s="123">
        <f ca="1">IFERROR(L134*(M134+N134)*O134*P134,RANDBETWEEN(1,2)%*L134*(M134+N134)*O134)</f>
        <v>0.22074135551999999</v>
      </c>
      <c r="R134" s="125">
        <f>VLOOKUP(D:D,ranking!W:X,2,0)</f>
        <v>0.7</v>
      </c>
      <c r="S134" s="126">
        <f ca="1">R134*Q134</f>
        <v>0.15451894886399997</v>
      </c>
      <c r="T134" s="123">
        <v>2.3215484994829438</v>
      </c>
    </row>
    <row r="135" spans="1:21" x14ac:dyDescent="0.25">
      <c r="A135" s="98" t="s">
        <v>1057</v>
      </c>
      <c r="B135" s="98" t="s">
        <v>85</v>
      </c>
      <c r="C135" s="98" t="s">
        <v>64</v>
      </c>
      <c r="D135" s="98" t="s">
        <v>431</v>
      </c>
      <c r="E135" s="98" t="s">
        <v>211</v>
      </c>
      <c r="F135" s="46" t="s">
        <v>215</v>
      </c>
      <c r="G135" s="98" t="s">
        <v>1860</v>
      </c>
      <c r="H135" s="119" t="s">
        <v>1058</v>
      </c>
      <c r="I135" s="106">
        <v>46157</v>
      </c>
      <c r="J135" s="119">
        <v>8</v>
      </c>
      <c r="K135" s="98" t="s">
        <v>980</v>
      </c>
      <c r="L135" s="123">
        <f>VLOOKUP($C135&amp;$E135,'Updated SES'!A:N,14,0)</f>
        <v>36.498239999999996</v>
      </c>
      <c r="M135" s="124">
        <f>VLOOKUP($K135,'Genre Penetration'!A:B,2,0)*VLOOKUP($C135&amp;$E135,'Updated SES'!A:I,9,0)</f>
        <v>0.312</v>
      </c>
      <c r="N135" s="124">
        <f>VLOOKUP(K:K,'Genre Penetration'!A:C,3,0)*VLOOKUP($C135&amp;$E135,'Updated SES'!A:J,10,0)</f>
        <v>0.192</v>
      </c>
      <c r="O135" s="124">
        <f>VLOOKUP($B135,'Language Penetration'!$B$1:$BE$14,MATCH('Compile data Working'!$H220,'Language Penetration'!$B$1:$BE$1,0),0)</f>
        <v>0.6</v>
      </c>
      <c r="P135" s="124" t="str">
        <f ca="1">IF(ISBLANK(J135),RANDBETWEEN(1,2)&amp;"%",IF(J135=1,RANDBETWEEN(35,40)&amp;"%",IF(J135=2,RANDBETWEEN(30,35)&amp;"%",IF(J135=3,RANDBETWEEN(25,30)&amp;"%",IF(J135=4,RANDBETWEEN(20,25)&amp;"%",IF(J135=5,RANDBETWEEN(15,20)&amp;"%",IF(J135=6,RANDBETWEEN(10,15)&amp;"%",IF(J135=7,RANDBETWEEN(8,10)&amp;"%",IF(J135=8,RANDBETWEEN(6,8)&amp;"%",IF(J135=9,RANDBETWEEN(4,6)&amp;"%",IF(J135=10,RANDBETWEEN(2,4)&amp;"%","")))))))))))</f>
        <v>6%</v>
      </c>
      <c r="Q135" s="123">
        <f ca="1">IFERROR(L135*(M135+N135)*O135*P135,RANDBETWEEN(1,2)%*L135*(M135+N135)*O135)</f>
        <v>0.66222406655999988</v>
      </c>
      <c r="R135" s="125">
        <f>VLOOKUP(D:D,ranking!W:X,2,0)</f>
        <v>0.6</v>
      </c>
      <c r="S135" s="126">
        <f ca="1">R135*Q135</f>
        <v>0.39733443993599993</v>
      </c>
      <c r="T135" s="123">
        <v>2.2799472329351835</v>
      </c>
    </row>
    <row r="136" spans="1:21" x14ac:dyDescent="0.25">
      <c r="A136" s="98" t="s">
        <v>2005</v>
      </c>
      <c r="B136" s="98" t="s">
        <v>85</v>
      </c>
      <c r="C136" s="98" t="s">
        <v>150</v>
      </c>
      <c r="D136" s="98" t="s">
        <v>434</v>
      </c>
      <c r="E136" s="46" t="s">
        <v>211</v>
      </c>
      <c r="F136" s="46" t="s">
        <v>213</v>
      </c>
      <c r="G136" s="46" t="s">
        <v>2090</v>
      </c>
      <c r="H136" s="46" t="s">
        <v>2095</v>
      </c>
      <c r="I136" s="53">
        <v>46178</v>
      </c>
      <c r="J136" s="98">
        <v>7</v>
      </c>
      <c r="K136" s="46" t="s">
        <v>216</v>
      </c>
      <c r="L136" s="123">
        <f>VLOOKUP($C136&amp;$E136,'Updated SES'!A:N,14,0)</f>
        <v>60.152000000000001</v>
      </c>
      <c r="M136" s="124">
        <f>VLOOKUP($K136,'Genre Penetration'!A:B,2,0)*VLOOKUP($C136&amp;$E136,'Updated SES'!A:I,9,0)</f>
        <v>0.32500000000000001</v>
      </c>
      <c r="N136" s="124">
        <f>VLOOKUP(K:K,'Genre Penetration'!A:C,3,0)*VLOOKUP($C136&amp;$E136,'Updated SES'!A:J,10,0)</f>
        <v>0.17499999999999999</v>
      </c>
      <c r="O136" s="124">
        <f>VLOOKUP($B136,'Language Penetration'!$B$1:$BE$14,MATCH('Compile data Working'!$H72,'Language Penetration'!$B$1:$BE$1,0),0)</f>
        <v>0.2</v>
      </c>
      <c r="P136" s="124" t="str">
        <f ca="1">IF(ISBLANK(J136),RANDBETWEEN(1,2)&amp;"%",IF(J136=1,RANDBETWEEN(35,40)&amp;"%",IF(J136=2,RANDBETWEEN(30,35)&amp;"%",IF(J136=3,RANDBETWEEN(25,30)&amp;"%",IF(J136=4,RANDBETWEEN(20,25)&amp;"%",IF(J136=5,RANDBETWEEN(15,20)&amp;"%",IF(J136=6,RANDBETWEEN(10,15)&amp;"%",IF(J136=7,RANDBETWEEN(8,10)&amp;"%",IF(J136=8,RANDBETWEEN(6,8)&amp;"%",IF(J136=9,RANDBETWEEN(4,6)&amp;"%",IF(J136=10,RANDBETWEEN(2,4)&amp;"%","")))))))))))</f>
        <v>8%</v>
      </c>
      <c r="Q136" s="123">
        <f ca="1">IFERROR(L136*(M136+N136)*O136*P136,RANDBETWEEN(1,2)%*L136*(M136+N136)*O136)</f>
        <v>0.48121600000000003</v>
      </c>
      <c r="R136" s="125">
        <f>VLOOKUP(D:D,ranking!W:X,2,0)</f>
        <v>0.7</v>
      </c>
      <c r="S136" s="126">
        <f ca="1">R136*Q136</f>
        <v>0.33685120000000002</v>
      </c>
      <c r="T136" s="123">
        <v>2.2341983626310817</v>
      </c>
      <c r="U136">
        <v>2.2341983626310817</v>
      </c>
    </row>
    <row r="137" spans="1:21" x14ac:dyDescent="0.25">
      <c r="A137" s="98" t="s">
        <v>2005</v>
      </c>
      <c r="B137" s="98" t="s">
        <v>85</v>
      </c>
      <c r="C137" s="46" t="s">
        <v>123</v>
      </c>
      <c r="D137" s="98" t="s">
        <v>1013</v>
      </c>
      <c r="E137" s="46" t="s">
        <v>211</v>
      </c>
      <c r="F137" s="46" t="s">
        <v>213</v>
      </c>
      <c r="G137" s="46" t="s">
        <v>2076</v>
      </c>
      <c r="H137" s="46" t="s">
        <v>20</v>
      </c>
      <c r="I137" s="53">
        <v>46178</v>
      </c>
      <c r="J137" s="98"/>
      <c r="K137" s="46" t="s">
        <v>138</v>
      </c>
      <c r="L137" s="123">
        <f>VLOOKUP($C137&amp;$E137,'Updated SES'!A:N,14,0)</f>
        <v>55.459200000000003</v>
      </c>
      <c r="M137" s="124">
        <f>VLOOKUP($K137,'Genre Penetration'!A:B,2,0)*VLOOKUP($C137&amp;$E137,'Updated SES'!A:I,9,0)</f>
        <v>0.23029999999999998</v>
      </c>
      <c r="N137" s="124">
        <f>VLOOKUP(K:K,'Genre Penetration'!A:C,3,0)*VLOOKUP($C137&amp;$E137,'Updated SES'!A:J,10,0)</f>
        <v>0.27030000000000004</v>
      </c>
      <c r="O137" s="124">
        <f>VLOOKUP($B137,'Language Penetration'!$B$1:$BE$14,MATCH('Compile data Working'!$H64,'Language Penetration'!$B$1:$BE$1,0),0)</f>
        <v>0.2</v>
      </c>
      <c r="P137" s="124" t="str">
        <f ca="1">IF(ISBLANK(J137),RANDBETWEEN(1,2)&amp;"%",IF(J137=1,RANDBETWEEN(35,40)&amp;"%",IF(J137=2,RANDBETWEEN(30,35)&amp;"%",IF(J137=3,RANDBETWEEN(25,30)&amp;"%",IF(J137=4,RANDBETWEEN(20,25)&amp;"%",IF(J137=5,RANDBETWEEN(15,20)&amp;"%",IF(J137=6,RANDBETWEEN(10,15)&amp;"%",IF(J137=7,RANDBETWEEN(8,10)&amp;"%",IF(J137=8,RANDBETWEEN(6,8)&amp;"%",IF(J137=9,RANDBETWEEN(4,6)&amp;"%",IF(J137=10,RANDBETWEEN(2,4)&amp;"%","")))))))))))</f>
        <v>1%</v>
      </c>
      <c r="Q137" s="123">
        <f ca="1">IFERROR(L137*(M137+N137)*O137*P137,RANDBETWEEN(1,2)%*L137*(M137+N137)*O137)</f>
        <v>5.5525751040000015E-2</v>
      </c>
      <c r="R137" s="125">
        <f>VLOOKUP(D:D,ranking!W:X,2,0)</f>
        <v>0.8</v>
      </c>
      <c r="S137" s="126">
        <f ca="1">R137*Q137</f>
        <v>4.4420600832000015E-2</v>
      </c>
      <c r="T137" s="123">
        <v>2.2220314594978903</v>
      </c>
      <c r="U137">
        <v>2.2220314594978903</v>
      </c>
    </row>
    <row r="138" spans="1:21" x14ac:dyDescent="0.25">
      <c r="A138" s="98" t="s">
        <v>2005</v>
      </c>
      <c r="B138" s="98" t="s">
        <v>85</v>
      </c>
      <c r="C138" s="98" t="s">
        <v>135</v>
      </c>
      <c r="D138" s="98" t="s">
        <v>434</v>
      </c>
      <c r="E138" s="46" t="s">
        <v>211</v>
      </c>
      <c r="F138" s="46" t="s">
        <v>213</v>
      </c>
      <c r="G138" s="46" t="s">
        <v>2088</v>
      </c>
      <c r="H138" s="46" t="s">
        <v>25</v>
      </c>
      <c r="I138" s="53">
        <v>46178</v>
      </c>
      <c r="J138" s="98"/>
      <c r="K138" s="46" t="s">
        <v>92</v>
      </c>
      <c r="L138" s="123">
        <f>VLOOKUP($C138&amp;$E138,'Updated SES'!A:N,14,0)</f>
        <v>12.64146</v>
      </c>
      <c r="M138" s="124">
        <f>VLOOKUP($K138,'Genre Penetration'!A:B,2,0)*VLOOKUP($C138&amp;$E138,'Updated SES'!A:I,9,0)</f>
        <v>0.41340000000000005</v>
      </c>
      <c r="N138" s="124">
        <f>VLOOKUP(K:K,'Genre Penetration'!A:C,3,0)*VLOOKUP($C138&amp;$E138,'Updated SES'!A:J,10,0)</f>
        <v>0.10339999999999999</v>
      </c>
      <c r="O138" s="124" t="e">
        <f>VLOOKUP($B138,'Language Penetration'!$B$1:$BE$14,MATCH('Compile data Working'!$H66,'Language Penetration'!$B$1:$BE$1,0),0)</f>
        <v>#N/A</v>
      </c>
      <c r="P138" s="124" t="str">
        <f ca="1">IF(ISBLANK(J138),RANDBETWEEN(1,2)&amp;"%",IF(J138=1,RANDBETWEEN(35,40)&amp;"%",IF(J138=2,RANDBETWEEN(30,35)&amp;"%",IF(J138=3,RANDBETWEEN(25,30)&amp;"%",IF(J138=4,RANDBETWEEN(20,25)&amp;"%",IF(J138=5,RANDBETWEEN(15,20)&amp;"%",IF(J138=6,RANDBETWEEN(10,15)&amp;"%",IF(J138=7,RANDBETWEEN(8,10)&amp;"%",IF(J138=8,RANDBETWEEN(6,8)&amp;"%",IF(J138=9,RANDBETWEEN(4,6)&amp;"%",IF(J138=10,RANDBETWEEN(2,4)&amp;"%","")))))))))))</f>
        <v>1%</v>
      </c>
      <c r="Q138" s="123" t="e">
        <f ca="1">IFERROR(L138*(M138+N138)*O138*P138,RANDBETWEEN(1,2)%*L138*(M138+N138)*O138)</f>
        <v>#N/A</v>
      </c>
      <c r="R138" s="125">
        <f>VLOOKUP(D:D,ranking!W:X,2,0)</f>
        <v>0.7</v>
      </c>
      <c r="S138" s="126" t="e">
        <f ca="1">R138*Q138</f>
        <v>#N/A</v>
      </c>
      <c r="T138" s="123">
        <v>2.2018290984779454</v>
      </c>
      <c r="U138">
        <v>2.2018290984779454</v>
      </c>
    </row>
    <row r="139" spans="1:21" x14ac:dyDescent="0.25">
      <c r="A139" s="98" t="s">
        <v>1781</v>
      </c>
      <c r="B139" s="98" t="s">
        <v>85</v>
      </c>
      <c r="C139" s="46" t="s">
        <v>906</v>
      </c>
      <c r="D139" s="98" t="s">
        <v>456</v>
      </c>
      <c r="E139" s="98" t="s">
        <v>211</v>
      </c>
      <c r="F139" s="46" t="s">
        <v>1917</v>
      </c>
      <c r="G139" s="46" t="s">
        <v>1942</v>
      </c>
      <c r="H139" s="46" t="s">
        <v>19</v>
      </c>
      <c r="I139" s="129">
        <v>46018</v>
      </c>
      <c r="J139" s="46"/>
      <c r="K139" s="46" t="s">
        <v>1981</v>
      </c>
      <c r="L139" s="123">
        <f>VLOOKUP($C139&amp;$E139,'Updated SES'!A:N,14,0)</f>
        <v>127.11702000000001</v>
      </c>
      <c r="M139" s="124" t="e">
        <f>VLOOKUP($K139,'Genre Penetration'!A:B,2,0)*VLOOKUP($C139&amp;$E139,'Updated SES'!A:I,9,0)</f>
        <v>#N/A</v>
      </c>
      <c r="N139" s="124" t="e">
        <f>VLOOKUP(K:K,'Genre Penetration'!A:C,3,0)*VLOOKUP($C139&amp;$E139,'Updated SES'!A:J,10,0)</f>
        <v>#N/A</v>
      </c>
      <c r="O139" s="124">
        <f>VLOOKUP($B139,'Language Penetration'!$B$1:$BE$14,MATCH('Compile data Working'!$H126,'Language Penetration'!$B$1:$BE$1,0),0)</f>
        <v>0.6</v>
      </c>
      <c r="P139" s="124" t="str">
        <f ca="1">IF(ISBLANK(J139),RANDBETWEEN(1,2)&amp;"%",IF(J139=1,RANDBETWEEN(35,40)&amp;"%",IF(J139=2,RANDBETWEEN(30,35)&amp;"%",IF(J139=3,RANDBETWEEN(25,30)&amp;"%",IF(J139=4,RANDBETWEEN(20,25)&amp;"%",IF(J139=5,RANDBETWEEN(15,20)&amp;"%",IF(J139=6,RANDBETWEEN(10,15)&amp;"%",IF(J139=7,RANDBETWEEN(8,10)&amp;"%",IF(J139=8,RANDBETWEEN(6,8)&amp;"%",IF(J139=9,RANDBETWEEN(4,6)&amp;"%",IF(J139=10,RANDBETWEEN(2,4)&amp;"%","")))))))))))</f>
        <v>1%</v>
      </c>
      <c r="Q139" s="123" t="e">
        <f ca="1">IFERROR(L139*(M139+N139)*O139*P139,RANDBETWEEN(1,2)%*L139*(M139+N139)*O139)</f>
        <v>#N/A</v>
      </c>
      <c r="R139" s="125">
        <f>VLOOKUP(D:D,ranking!W:X,2,0)</f>
        <v>0.3</v>
      </c>
      <c r="S139" s="126" t="e">
        <f ca="1">R139*Q139</f>
        <v>#N/A</v>
      </c>
      <c r="T139" s="123">
        <v>2.1740683787739896</v>
      </c>
    </row>
    <row r="140" spans="1:21" x14ac:dyDescent="0.25">
      <c r="A140" s="98" t="s">
        <v>1781</v>
      </c>
      <c r="B140" s="98" t="s">
        <v>85</v>
      </c>
      <c r="C140" s="46" t="s">
        <v>906</v>
      </c>
      <c r="D140" s="98" t="s">
        <v>456</v>
      </c>
      <c r="E140" s="98" t="s">
        <v>211</v>
      </c>
      <c r="F140" s="46" t="s">
        <v>1917</v>
      </c>
      <c r="G140" s="46" t="s">
        <v>1919</v>
      </c>
      <c r="H140" s="46" t="s">
        <v>1967</v>
      </c>
      <c r="I140" s="129">
        <v>46048</v>
      </c>
      <c r="J140" s="119"/>
      <c r="K140" s="46" t="s">
        <v>970</v>
      </c>
      <c r="L140" s="123">
        <f>VLOOKUP($C140&amp;$E140,'Updated SES'!A:N,14,0)</f>
        <v>127.11702000000001</v>
      </c>
      <c r="M140" s="124">
        <f>VLOOKUP($K140,'Genre Penetration'!A:B,2,0)*VLOOKUP($C140&amp;$E140,'Updated SES'!A:I,9,0)</f>
        <v>0.33499999999999996</v>
      </c>
      <c r="N140" s="124">
        <f>VLOOKUP(K:K,'Genre Penetration'!A:C,3,0)*VLOOKUP($C140&amp;$E140,'Updated SES'!A:J,10,0)</f>
        <v>0.16499999999999998</v>
      </c>
      <c r="O140" s="124">
        <f>VLOOKUP($B140,'Language Penetration'!$B$1:$BE$14,MATCH('Compile data Working'!$H5,'Language Penetration'!$B$1:$BE$1,0),0)</f>
        <v>0.6</v>
      </c>
      <c r="P140" s="124" t="str">
        <f ca="1">IF(ISBLANK(J140),RANDBETWEEN(1,2)&amp;"%",IF(J140=1,RANDBETWEEN(35,40)&amp;"%",IF(J140=2,RANDBETWEEN(30,35)&amp;"%",IF(J140=3,RANDBETWEEN(25,30)&amp;"%",IF(J140=4,RANDBETWEEN(20,25)&amp;"%",IF(J140=5,RANDBETWEEN(15,20)&amp;"%",IF(J140=6,RANDBETWEEN(10,15)&amp;"%",IF(J140=7,RANDBETWEEN(8,10)&amp;"%",IF(J140=8,RANDBETWEEN(6,8)&amp;"%",IF(J140=9,RANDBETWEEN(4,6)&amp;"%",IF(J140=10,RANDBETWEEN(2,4)&amp;"%","")))))))))))</f>
        <v>1%</v>
      </c>
      <c r="Q140" s="123">
        <f ca="1">IFERROR(L140*(M140+N140)*O140*P140,RANDBETWEEN(1,2)%*L140*(M140+N140)*O140)</f>
        <v>0.38135106000000002</v>
      </c>
      <c r="R140" s="125">
        <f>VLOOKUP(D:D,ranking!W:X,2,0)</f>
        <v>0.3</v>
      </c>
      <c r="S140" s="126">
        <f ca="1">R140*Q140</f>
        <v>0.11440531800000001</v>
      </c>
      <c r="T140" s="123">
        <v>2.1403795572919835</v>
      </c>
    </row>
    <row r="141" spans="1:21" x14ac:dyDescent="0.25">
      <c r="A141" s="98" t="s">
        <v>1057</v>
      </c>
      <c r="B141" s="98" t="s">
        <v>85</v>
      </c>
      <c r="C141" s="98" t="s">
        <v>132</v>
      </c>
      <c r="D141" s="98" t="s">
        <v>456</v>
      </c>
      <c r="E141" s="98" t="s">
        <v>219</v>
      </c>
      <c r="F141" s="46" t="s">
        <v>1917</v>
      </c>
      <c r="G141" s="98" t="s">
        <v>1883</v>
      </c>
      <c r="H141" s="98" t="s">
        <v>19</v>
      </c>
      <c r="I141" s="106">
        <v>46140</v>
      </c>
      <c r="J141" s="119">
        <v>10</v>
      </c>
      <c r="K141" s="98" t="s">
        <v>448</v>
      </c>
      <c r="L141" s="123">
        <f>VLOOKUP($C141&amp;$E141,'Updated SES'!A:N,14,0)</f>
        <v>5.2679999999999998</v>
      </c>
      <c r="M141" s="124">
        <f>VLOOKUP($K141,'Genre Penetration'!A:B,2,0)*VLOOKUP($C141&amp;$E141,'Updated SES'!A:I,9,0)</f>
        <v>0.46199999999999997</v>
      </c>
      <c r="N141" s="124">
        <f>VLOOKUP(K:K,'Genre Penetration'!A:C,3,0)*VLOOKUP($C141&amp;$E141,'Updated SES'!A:J,10,0)</f>
        <v>0.10200000000000001</v>
      </c>
      <c r="O141" s="124" t="e">
        <f>VLOOKUP($B141,'Language Penetration'!$B$1:$BE$14,MATCH('Compile data Working'!#REF!,'Language Penetration'!$B$1:$BE$1,0),0)</f>
        <v>#REF!</v>
      </c>
      <c r="P141" s="124" t="str">
        <f ca="1">IF(ISBLANK(J141),RANDBETWEEN(1,2)&amp;"%",IF(J141=1,RANDBETWEEN(35,40)&amp;"%",IF(J141=2,RANDBETWEEN(30,35)&amp;"%",IF(J141=3,RANDBETWEEN(25,30)&amp;"%",IF(J141=4,RANDBETWEEN(20,25)&amp;"%",IF(J141=5,RANDBETWEEN(15,20)&amp;"%",IF(J141=6,RANDBETWEEN(10,15)&amp;"%",IF(J141=7,RANDBETWEEN(8,10)&amp;"%",IF(J141=8,RANDBETWEEN(6,8)&amp;"%",IF(J141=9,RANDBETWEEN(4,6)&amp;"%",IF(J141=10,RANDBETWEEN(2,4)&amp;"%","")))))))))))</f>
        <v>3%</v>
      </c>
      <c r="Q141" s="123" t="e">
        <f ca="1">IFERROR(L141*(M141+N141)*O141*P141,RANDBETWEEN(1,2)%*L141*(M141+N141)*O141)</f>
        <v>#REF!</v>
      </c>
      <c r="R141" s="125">
        <f>VLOOKUP(D:D,ranking!W:X,2,0)</f>
        <v>0.3</v>
      </c>
      <c r="S141" s="126" t="e">
        <f ca="1">R141*Q141</f>
        <v>#REF!</v>
      </c>
      <c r="T141" s="123">
        <v>2.0977860041018732</v>
      </c>
    </row>
    <row r="142" spans="1:21" x14ac:dyDescent="0.25">
      <c r="A142" s="98" t="s">
        <v>1057</v>
      </c>
      <c r="B142" s="98" t="s">
        <v>85</v>
      </c>
      <c r="C142" s="98" t="s">
        <v>132</v>
      </c>
      <c r="D142" s="46" t="s">
        <v>437</v>
      </c>
      <c r="E142" s="46" t="s">
        <v>211</v>
      </c>
      <c r="F142" s="46" t="s">
        <v>451</v>
      </c>
      <c r="G142" s="46" t="s">
        <v>2099</v>
      </c>
      <c r="H142" s="46" t="s">
        <v>20</v>
      </c>
      <c r="I142" s="53">
        <v>46159</v>
      </c>
      <c r="J142" s="119">
        <v>1</v>
      </c>
      <c r="K142" s="46" t="s">
        <v>902</v>
      </c>
      <c r="L142" s="123">
        <f>VLOOKUP($C142&amp;$E142,'Updated SES'!A:N,14,0)</f>
        <v>21.682040000000004</v>
      </c>
      <c r="M142" s="124">
        <f>VLOOKUP($K142,'Genre Penetration'!A:B,2,0)*VLOOKUP($C142&amp;$E142,'Updated SES'!A:I,9,0)</f>
        <v>0.48750000000000004</v>
      </c>
      <c r="N142" s="124">
        <f>VLOOKUP(K:K,'Genre Penetration'!A:C,3,0)*VLOOKUP($C142&amp;$E142,'Updated SES'!A:J,10,0)</f>
        <v>8.7499999999999994E-2</v>
      </c>
      <c r="O142" s="124">
        <f>VLOOKUP($B142,'Language Penetration'!$B$1:$BE$14,MATCH('Compile data Working'!$H52,'Language Penetration'!$B$1:$BE$1,0),0)</f>
        <v>0.2</v>
      </c>
      <c r="P142" s="124" t="str">
        <f ca="1">IF(ISBLANK(J142),RANDBETWEEN(1,2)&amp;"%",IF(J142=1,RANDBETWEEN(35,40)&amp;"%",IF(J142=2,RANDBETWEEN(30,35)&amp;"%",IF(J142=3,RANDBETWEEN(25,30)&amp;"%",IF(J142=4,RANDBETWEEN(20,25)&amp;"%",IF(J142=5,RANDBETWEEN(15,20)&amp;"%",IF(J142=6,RANDBETWEEN(10,15)&amp;"%",IF(J142=7,RANDBETWEEN(8,10)&amp;"%",IF(J142=8,RANDBETWEEN(6,8)&amp;"%",IF(J142=9,RANDBETWEEN(4,6)&amp;"%",IF(J142=10,RANDBETWEEN(2,4)&amp;"%","")))))))))))</f>
        <v>36%</v>
      </c>
      <c r="Q142" s="123">
        <f ca="1">IFERROR(L142*(M142+N142)*O142*P142,RANDBETWEEN(1,2)%*L142*(M142+N142)*O142)</f>
        <v>0.8976364560000003</v>
      </c>
      <c r="R142" s="125">
        <f>VLOOKUP(D:D,ranking!W:X,2,0)</f>
        <v>0.1</v>
      </c>
      <c r="S142" s="126">
        <f ca="1">R142*Q142</f>
        <v>8.9763645600000039E-2</v>
      </c>
      <c r="T142" s="123">
        <v>2.0882330672150302</v>
      </c>
    </row>
    <row r="143" spans="1:21" x14ac:dyDescent="0.25">
      <c r="A143" s="98" t="s">
        <v>1781</v>
      </c>
      <c r="B143" s="98" t="s">
        <v>85</v>
      </c>
      <c r="C143" s="46" t="s">
        <v>49</v>
      </c>
      <c r="D143" s="46" t="s">
        <v>1013</v>
      </c>
      <c r="E143" s="119" t="s">
        <v>211</v>
      </c>
      <c r="F143" s="46" t="s">
        <v>213</v>
      </c>
      <c r="G143" s="46" t="s">
        <v>1962</v>
      </c>
      <c r="H143" s="46" t="s">
        <v>23</v>
      </c>
      <c r="I143" s="129">
        <v>46157</v>
      </c>
      <c r="J143" s="46"/>
      <c r="K143" s="46" t="s">
        <v>124</v>
      </c>
      <c r="L143" s="123">
        <f>VLOOKUP($C143&amp;$E143,'Updated SES'!A:N,14,0)</f>
        <v>12.626640000000002</v>
      </c>
      <c r="M143" s="124">
        <f>VLOOKUP($K143,'Genre Penetration'!A:B,2,0)*VLOOKUP($C143&amp;$E143,'Updated SES'!A:I,9,0)</f>
        <v>0.34200000000000003</v>
      </c>
      <c r="N143" s="124">
        <f>VLOOKUP(K:K,'Genre Penetration'!A:C,3,0)*VLOOKUP($C143&amp;$E143,'Updated SES'!A:J,10,0)</f>
        <v>0.13200000000000001</v>
      </c>
      <c r="O143" s="124" t="e">
        <f>VLOOKUP($B143,'Language Penetration'!$B$1:$BE$14,MATCH('Compile data Working'!#REF!,'Language Penetration'!$B$1:$BE$1,0),0)</f>
        <v>#REF!</v>
      </c>
      <c r="P143" s="124" t="str">
        <f ca="1">IF(ISBLANK(J143),RANDBETWEEN(1,2)&amp;"%",IF(J143=1,RANDBETWEEN(35,40)&amp;"%",IF(J143=2,RANDBETWEEN(30,35)&amp;"%",IF(J143=3,RANDBETWEEN(25,30)&amp;"%",IF(J143=4,RANDBETWEEN(20,25)&amp;"%",IF(J143=5,RANDBETWEEN(15,20)&amp;"%",IF(J143=6,RANDBETWEEN(10,15)&amp;"%",IF(J143=7,RANDBETWEEN(8,10)&amp;"%",IF(J143=8,RANDBETWEEN(6,8)&amp;"%",IF(J143=9,RANDBETWEEN(4,6)&amp;"%",IF(J143=10,RANDBETWEEN(2,4)&amp;"%","")))))))))))</f>
        <v>1%</v>
      </c>
      <c r="Q143" s="123" t="e">
        <f ca="1">IFERROR(L143*(M143+N143)*O143*P143,RANDBETWEEN(1,2)%*L143*(M143+N143)*O143)</f>
        <v>#REF!</v>
      </c>
      <c r="R143" s="125">
        <f>VLOOKUP(D:D,ranking!W:X,2,0)</f>
        <v>0.8</v>
      </c>
      <c r="S143" s="126" t="e">
        <f ca="1">R143*Q143</f>
        <v>#REF!</v>
      </c>
      <c r="T143" s="123">
        <v>2.0285628015721597</v>
      </c>
    </row>
    <row r="144" spans="1:21" x14ac:dyDescent="0.25">
      <c r="A144" s="98" t="s">
        <v>1057</v>
      </c>
      <c r="B144" s="98" t="s">
        <v>85</v>
      </c>
      <c r="C144" s="98" t="s">
        <v>150</v>
      </c>
      <c r="D144" s="98" t="s">
        <v>431</v>
      </c>
      <c r="E144" s="98" t="s">
        <v>211</v>
      </c>
      <c r="F144" s="46" t="s">
        <v>215</v>
      </c>
      <c r="G144" s="98" t="s">
        <v>1888</v>
      </c>
      <c r="H144" s="120" t="s">
        <v>1757</v>
      </c>
      <c r="I144" s="106">
        <v>46142</v>
      </c>
      <c r="J144" s="119">
        <v>6</v>
      </c>
      <c r="K144" s="98" t="s">
        <v>275</v>
      </c>
      <c r="L144" s="123">
        <f>VLOOKUP($C144&amp;$E144,'Updated SES'!A:N,14,0)</f>
        <v>60.152000000000001</v>
      </c>
      <c r="M144" s="124">
        <f>VLOOKUP($K144,'Genre Penetration'!A:B,2,0)*VLOOKUP($C144&amp;$E144,'Updated SES'!A:I,9,0)</f>
        <v>0.35750000000000004</v>
      </c>
      <c r="N144" s="124">
        <f>VLOOKUP(K:K,'Genre Penetration'!A:C,3,0)*VLOOKUP($C144&amp;$E144,'Updated SES'!A:J,10,0)</f>
        <v>0.1575</v>
      </c>
      <c r="O144" s="124" t="e">
        <f>VLOOKUP($B144,'Language Penetration'!$B$1:$BE$14,MATCH('Compile data Working'!#REF!,'Language Penetration'!$B$1:$BE$1,0),0)</f>
        <v>#REF!</v>
      </c>
      <c r="P144" s="124" t="str">
        <f ca="1">IF(ISBLANK(J144),RANDBETWEEN(1,2)&amp;"%",IF(J144=1,RANDBETWEEN(35,40)&amp;"%",IF(J144=2,RANDBETWEEN(30,35)&amp;"%",IF(J144=3,RANDBETWEEN(25,30)&amp;"%",IF(J144=4,RANDBETWEEN(20,25)&amp;"%",IF(J144=5,RANDBETWEEN(15,20)&amp;"%",IF(J144=6,RANDBETWEEN(10,15)&amp;"%",IF(J144=7,RANDBETWEEN(8,10)&amp;"%",IF(J144=8,RANDBETWEEN(6,8)&amp;"%",IF(J144=9,RANDBETWEEN(4,6)&amp;"%",IF(J144=10,RANDBETWEEN(2,4)&amp;"%","")))))))))))</f>
        <v>10%</v>
      </c>
      <c r="Q144" s="123" t="e">
        <f ca="1">IFERROR(L144*(M144+N144)*O144*P144,RANDBETWEEN(1,2)%*L144*(M144+N144)*O144)</f>
        <v>#REF!</v>
      </c>
      <c r="R144" s="125">
        <f>VLOOKUP(D:D,ranking!W:X,2,0)</f>
        <v>0.6</v>
      </c>
      <c r="S144" s="126" t="e">
        <f ca="1">R144*Q144</f>
        <v>#REF!</v>
      </c>
      <c r="T144" s="123">
        <v>1.9731181629270276</v>
      </c>
    </row>
    <row r="145" spans="1:20" x14ac:dyDescent="0.25">
      <c r="A145" s="98" t="s">
        <v>1057</v>
      </c>
      <c r="B145" s="98" t="s">
        <v>85</v>
      </c>
      <c r="C145" s="98" t="s">
        <v>64</v>
      </c>
      <c r="D145" s="98" t="s">
        <v>431</v>
      </c>
      <c r="E145" s="98" t="s">
        <v>211</v>
      </c>
      <c r="F145" s="46" t="s">
        <v>215</v>
      </c>
      <c r="G145" s="120" t="s">
        <v>1874</v>
      </c>
      <c r="H145" s="119" t="s">
        <v>1432</v>
      </c>
      <c r="I145" s="106">
        <v>46148</v>
      </c>
      <c r="J145" s="119">
        <v>9</v>
      </c>
      <c r="K145" s="98" t="s">
        <v>980</v>
      </c>
      <c r="L145" s="123">
        <f>VLOOKUP($C145&amp;$E145,'Updated SES'!A:N,14,0)</f>
        <v>36.498239999999996</v>
      </c>
      <c r="M145" s="124">
        <f>VLOOKUP($K145,'Genre Penetration'!A:B,2,0)*VLOOKUP($C145&amp;$E145,'Updated SES'!A:I,9,0)</f>
        <v>0.312</v>
      </c>
      <c r="N145" s="124">
        <f>VLOOKUP(K:K,'Genre Penetration'!A:C,3,0)*VLOOKUP($C145&amp;$E145,'Updated SES'!A:J,10,0)</f>
        <v>0.192</v>
      </c>
      <c r="O145" s="124" t="e">
        <f>VLOOKUP($B145,'Language Penetration'!$B$1:$BE$14,MATCH('Compile data Working'!$H188,'Language Penetration'!$B$1:$BE$1,0),0)</f>
        <v>#N/A</v>
      </c>
      <c r="P145" s="124" t="str">
        <f ca="1">IF(ISBLANK(J145),RANDBETWEEN(1,2)&amp;"%",IF(J145=1,RANDBETWEEN(35,40)&amp;"%",IF(J145=2,RANDBETWEEN(30,35)&amp;"%",IF(J145=3,RANDBETWEEN(25,30)&amp;"%",IF(J145=4,RANDBETWEEN(20,25)&amp;"%",IF(J145=5,RANDBETWEEN(15,20)&amp;"%",IF(J145=6,RANDBETWEEN(10,15)&amp;"%",IF(J145=7,RANDBETWEEN(8,10)&amp;"%",IF(J145=8,RANDBETWEEN(6,8)&amp;"%",IF(J145=9,RANDBETWEEN(4,6)&amp;"%",IF(J145=10,RANDBETWEEN(2,4)&amp;"%","")))))))))))</f>
        <v>6%</v>
      </c>
      <c r="Q145" s="123" t="e">
        <f ca="1">IFERROR(L145*(M145+N145)*O145*P145,RANDBETWEEN(1,2)%*L145*(M145+N145)*O145)</f>
        <v>#N/A</v>
      </c>
      <c r="R145" s="125">
        <f>VLOOKUP(D:D,ranking!W:X,2,0)</f>
        <v>0.6</v>
      </c>
      <c r="S145" s="126" t="e">
        <f ca="1">R145*Q145</f>
        <v>#N/A</v>
      </c>
      <c r="T145" s="123">
        <v>1.872596630410404</v>
      </c>
    </row>
    <row r="146" spans="1:20" x14ac:dyDescent="0.25">
      <c r="A146" s="98" t="s">
        <v>1057</v>
      </c>
      <c r="B146" s="98" t="s">
        <v>85</v>
      </c>
      <c r="C146" s="98" t="s">
        <v>406</v>
      </c>
      <c r="D146" s="98" t="s">
        <v>431</v>
      </c>
      <c r="E146" s="98" t="s">
        <v>211</v>
      </c>
      <c r="F146" s="46" t="s">
        <v>215</v>
      </c>
      <c r="G146" s="119" t="s">
        <v>1877</v>
      </c>
      <c r="H146" s="119" t="s">
        <v>20</v>
      </c>
      <c r="I146" s="121">
        <v>46108</v>
      </c>
      <c r="J146" s="119">
        <v>3</v>
      </c>
      <c r="K146" s="98" t="s">
        <v>865</v>
      </c>
      <c r="L146" s="123">
        <f>VLOOKUP($C146&amp;$E146,'Updated SES'!A:N,14,0)</f>
        <v>1.669</v>
      </c>
      <c r="M146" s="124">
        <f>VLOOKUP($K146,'Genre Penetration'!A:B,2,0)*VLOOKUP($C146&amp;$E146,'Updated SES'!A:I,9,0)</f>
        <v>0.33</v>
      </c>
      <c r="N146" s="124">
        <f>VLOOKUP(K:K,'Genre Penetration'!A:C,3,0)*VLOOKUP($C146&amp;$E146,'Updated SES'!A:J,10,0)</f>
        <v>0.18000000000000002</v>
      </c>
      <c r="O146" s="124">
        <f>VLOOKUP($B146,'Language Penetration'!$B$1:$BE$14,MATCH('Compile data Working'!$H138,'Language Penetration'!$B$1:$BE$1,0),0)</f>
        <v>0.1</v>
      </c>
      <c r="P146" s="124" t="str">
        <f ca="1">IF(ISBLANK(J146),RANDBETWEEN(1,2)&amp;"%",IF(J146=1,RANDBETWEEN(35,40)&amp;"%",IF(J146=2,RANDBETWEEN(30,35)&amp;"%",IF(J146=3,RANDBETWEEN(25,30)&amp;"%",IF(J146=4,RANDBETWEEN(20,25)&amp;"%",IF(J146=5,RANDBETWEEN(15,20)&amp;"%",IF(J146=6,RANDBETWEEN(10,15)&amp;"%",IF(J146=7,RANDBETWEEN(8,10)&amp;"%",IF(J146=8,RANDBETWEEN(6,8)&amp;"%",IF(J146=9,RANDBETWEEN(4,6)&amp;"%",IF(J146=10,RANDBETWEEN(2,4)&amp;"%","")))))))))))</f>
        <v>29%</v>
      </c>
      <c r="Q146" s="123">
        <f ca="1">IFERROR(L146*(M146+N146)*O146*P146,RANDBETWEEN(1,2)%*L146*(M146+N146)*O146)</f>
        <v>2.468451E-2</v>
      </c>
      <c r="R146" s="125">
        <f>VLOOKUP(D:D,ranking!W:X,2,0)</f>
        <v>0.6</v>
      </c>
      <c r="S146" s="126">
        <f ca="1">R146*Q146</f>
        <v>1.4810706E-2</v>
      </c>
      <c r="T146" s="123">
        <v>1.8392904526892369</v>
      </c>
    </row>
    <row r="147" spans="1:20" x14ac:dyDescent="0.25">
      <c r="A147" s="98" t="s">
        <v>1781</v>
      </c>
      <c r="B147" s="98" t="s">
        <v>85</v>
      </c>
      <c r="C147" s="46" t="s">
        <v>906</v>
      </c>
      <c r="D147" s="98" t="s">
        <v>456</v>
      </c>
      <c r="E147" s="98" t="s">
        <v>211</v>
      </c>
      <c r="F147" s="46" t="s">
        <v>1917</v>
      </c>
      <c r="G147" s="46" t="s">
        <v>1794</v>
      </c>
      <c r="H147" s="46" t="s">
        <v>19</v>
      </c>
      <c r="I147" s="129">
        <v>36710</v>
      </c>
      <c r="J147" s="98"/>
      <c r="K147" s="46" t="s">
        <v>950</v>
      </c>
      <c r="L147" s="123">
        <f>VLOOKUP($C147&amp;$E147,'Updated SES'!A:N,14,0)</f>
        <v>127.11702000000001</v>
      </c>
      <c r="M147" s="124" t="e">
        <f>VLOOKUP($K147,'Genre Penetration'!A:B,2,0)*VLOOKUP($C147&amp;$E147,'Updated SES'!A:I,9,0)</f>
        <v>#N/A</v>
      </c>
      <c r="N147" s="124" t="e">
        <f>VLOOKUP(K:K,'Genre Penetration'!A:C,3,0)*VLOOKUP($C147&amp;$E147,'Updated SES'!A:J,10,0)</f>
        <v>#N/A</v>
      </c>
      <c r="O147" s="124">
        <f>VLOOKUP($B147,'Language Penetration'!$B$1:$BE$14,MATCH('Compile data Working'!$H92,'Language Penetration'!$B$1:$BE$1,0),0)</f>
        <v>0.6</v>
      </c>
      <c r="P147" s="124" t="str">
        <f ca="1">IF(ISBLANK(J147),RANDBETWEEN(1,2)&amp;"%",IF(J147=1,RANDBETWEEN(35,40)&amp;"%",IF(J147=2,RANDBETWEEN(30,35)&amp;"%",IF(J147=3,RANDBETWEEN(25,30)&amp;"%",IF(J147=4,RANDBETWEEN(20,25)&amp;"%",IF(J147=5,RANDBETWEEN(15,20)&amp;"%",IF(J147=6,RANDBETWEEN(10,15)&amp;"%",IF(J147=7,RANDBETWEEN(8,10)&amp;"%",IF(J147=8,RANDBETWEEN(6,8)&amp;"%",IF(J147=9,RANDBETWEEN(4,6)&amp;"%",IF(J147=10,RANDBETWEEN(2,4)&amp;"%","")))))))))))</f>
        <v>2%</v>
      </c>
      <c r="Q147" s="123" t="e">
        <f ca="1">IFERROR(L147*(M147+N147)*O147*P147,RANDBETWEEN(1,2)%*L147*(M147+N147)*O147)</f>
        <v>#N/A</v>
      </c>
      <c r="R147" s="125">
        <f>VLOOKUP(D:D,ranking!W:X,2,0)</f>
        <v>0.3</v>
      </c>
      <c r="S147" s="126" t="e">
        <f ca="1">R147*Q147</f>
        <v>#N/A</v>
      </c>
      <c r="T147" s="123">
        <v>1.8040871185895537</v>
      </c>
    </row>
    <row r="148" spans="1:20" x14ac:dyDescent="0.25">
      <c r="A148" s="98" t="s">
        <v>1781</v>
      </c>
      <c r="B148" s="98" t="s">
        <v>85</v>
      </c>
      <c r="C148" s="46" t="s">
        <v>64</v>
      </c>
      <c r="D148" s="46" t="s">
        <v>1012</v>
      </c>
      <c r="E148" s="119" t="s">
        <v>211</v>
      </c>
      <c r="F148" s="46" t="s">
        <v>215</v>
      </c>
      <c r="G148" s="46" t="s">
        <v>1859</v>
      </c>
      <c r="H148" s="46" t="s">
        <v>19</v>
      </c>
      <c r="I148" s="129">
        <v>43125</v>
      </c>
      <c r="J148" s="119"/>
      <c r="K148" s="46" t="s">
        <v>966</v>
      </c>
      <c r="L148" s="123">
        <f>VLOOKUP($C148&amp;$E148,'Updated SES'!A:N,14,0)</f>
        <v>36.498239999999996</v>
      </c>
      <c r="M148" s="124">
        <f>VLOOKUP($K148,'Genre Penetration'!A:B,2,0)*VLOOKUP($C148&amp;$E148,'Updated SES'!A:I,9,0)</f>
        <v>0.26</v>
      </c>
      <c r="N148" s="124">
        <f>VLOOKUP(K:K,'Genre Penetration'!A:C,3,0)*VLOOKUP($C148&amp;$E148,'Updated SES'!A:J,10,0)</f>
        <v>0.24</v>
      </c>
      <c r="O148" s="124" t="e">
        <f>VLOOKUP($B148,'Language Penetration'!$B$1:$BE$14,MATCH('Compile data Working'!$H85,'Language Penetration'!$B$1:$BE$1,0),0)</f>
        <v>#N/A</v>
      </c>
      <c r="P148" s="124" t="str">
        <f ca="1">IF(ISBLANK(J148),RANDBETWEEN(1,2)&amp;"%",IF(J148=1,RANDBETWEEN(35,40)&amp;"%",IF(J148=2,RANDBETWEEN(30,35)&amp;"%",IF(J148=3,RANDBETWEEN(25,30)&amp;"%",IF(J148=4,RANDBETWEEN(20,25)&amp;"%",IF(J148=5,RANDBETWEEN(15,20)&amp;"%",IF(J148=6,RANDBETWEEN(10,15)&amp;"%",IF(J148=7,RANDBETWEEN(8,10)&amp;"%",IF(J148=8,RANDBETWEEN(6,8)&amp;"%",IF(J148=9,RANDBETWEEN(4,6)&amp;"%",IF(J148=10,RANDBETWEEN(2,4)&amp;"%","")))))))))))</f>
        <v>2%</v>
      </c>
      <c r="Q148" s="123" t="e">
        <f ca="1">IFERROR(L148*(M148+N148)*O148*P148,RANDBETWEEN(1,2)%*L148*(M148+N148)*O148)</f>
        <v>#N/A</v>
      </c>
      <c r="R148" s="125">
        <f>VLOOKUP(D:D,ranking!W:X,2,0)</f>
        <v>0.6</v>
      </c>
      <c r="S148" s="126" t="e">
        <f ca="1">R148*Q148</f>
        <v>#N/A</v>
      </c>
      <c r="T148" s="123">
        <v>1.739665422841973</v>
      </c>
    </row>
    <row r="149" spans="1:20" x14ac:dyDescent="0.25">
      <c r="A149" s="98" t="s">
        <v>1057</v>
      </c>
      <c r="B149" s="98" t="s">
        <v>85</v>
      </c>
      <c r="C149" s="98" t="s">
        <v>406</v>
      </c>
      <c r="D149" s="98" t="s">
        <v>431</v>
      </c>
      <c r="E149" s="98" t="s">
        <v>211</v>
      </c>
      <c r="F149" s="46" t="s">
        <v>215</v>
      </c>
      <c r="G149" s="120" t="s">
        <v>1878</v>
      </c>
      <c r="H149" s="119" t="s">
        <v>20</v>
      </c>
      <c r="I149" s="106">
        <v>46134</v>
      </c>
      <c r="J149" s="119">
        <v>9</v>
      </c>
      <c r="K149" s="120" t="s">
        <v>176</v>
      </c>
      <c r="L149" s="123">
        <f>VLOOKUP($C149&amp;$E149,'Updated SES'!A:N,14,0)</f>
        <v>1.669</v>
      </c>
      <c r="M149" s="124">
        <f>VLOOKUP($K149,'Genre Penetration'!A:B,2,0)*VLOOKUP($C149&amp;$E149,'Updated SES'!A:I,9,0)</f>
        <v>0.372</v>
      </c>
      <c r="N149" s="124">
        <f>VLOOKUP(K:K,'Genre Penetration'!A:C,3,0)*VLOOKUP($C149&amp;$E149,'Updated SES'!A:J,10,0)</f>
        <v>0.15200000000000002</v>
      </c>
      <c r="O149" s="124" t="e">
        <f>VLOOKUP($B149,'Language Penetration'!$B$1:$BE$14,MATCH('Compile data Working'!$H110,'Language Penetration'!$B$1:$BE$1,0),0)</f>
        <v>#N/A</v>
      </c>
      <c r="P149" s="124" t="str">
        <f ca="1">IF(ISBLANK(J149),RANDBETWEEN(1,2)&amp;"%",IF(J149=1,RANDBETWEEN(35,40)&amp;"%",IF(J149=2,RANDBETWEEN(30,35)&amp;"%",IF(J149=3,RANDBETWEEN(25,30)&amp;"%",IF(J149=4,RANDBETWEEN(20,25)&amp;"%",IF(J149=5,RANDBETWEEN(15,20)&amp;"%",IF(J149=6,RANDBETWEEN(10,15)&amp;"%",IF(J149=7,RANDBETWEEN(8,10)&amp;"%",IF(J149=8,RANDBETWEEN(6,8)&amp;"%",IF(J149=9,RANDBETWEEN(4,6)&amp;"%",IF(J149=10,RANDBETWEEN(2,4)&amp;"%","")))))))))))</f>
        <v>4%</v>
      </c>
      <c r="Q149" s="123" t="e">
        <f ca="1">IFERROR(L149*(M149+N149)*O149*P149,RANDBETWEEN(1,2)%*L149*(M149+N149)*O149)</f>
        <v>#N/A</v>
      </c>
      <c r="R149" s="125">
        <f>VLOOKUP(D:D,ranking!W:X,2,0)</f>
        <v>0.6</v>
      </c>
      <c r="S149" s="126" t="e">
        <f ca="1">R149*Q149</f>
        <v>#N/A</v>
      </c>
      <c r="T149" s="123">
        <v>1.7393434010496911</v>
      </c>
    </row>
    <row r="150" spans="1:20" x14ac:dyDescent="0.25">
      <c r="A150" s="98" t="s">
        <v>1057</v>
      </c>
      <c r="B150" s="98" t="s">
        <v>85</v>
      </c>
      <c r="C150" s="98" t="s">
        <v>132</v>
      </c>
      <c r="D150" s="98" t="s">
        <v>456</v>
      </c>
      <c r="E150" s="98" t="s">
        <v>219</v>
      </c>
      <c r="F150" s="46" t="s">
        <v>1917</v>
      </c>
      <c r="G150" s="46" t="s">
        <v>2100</v>
      </c>
      <c r="H150" s="98" t="s">
        <v>19</v>
      </c>
      <c r="I150" s="53">
        <v>46175</v>
      </c>
      <c r="J150" s="119">
        <v>2</v>
      </c>
      <c r="K150" s="46" t="s">
        <v>245</v>
      </c>
      <c r="L150" s="123">
        <f>VLOOKUP($C150&amp;$E150,'Updated SES'!A:N,14,0)</f>
        <v>5.2679999999999998</v>
      </c>
      <c r="M150" s="124">
        <f>VLOOKUP($K150,'Genre Penetration'!A:B,2,0)*VLOOKUP($C150&amp;$E150,'Updated SES'!A:I,9,0)</f>
        <v>0.38279999999999997</v>
      </c>
      <c r="N150" s="124">
        <f>VLOOKUP(K:K,'Genre Penetration'!A:C,3,0)*VLOOKUP($C150&amp;$E150,'Updated SES'!A:J,10,0)</f>
        <v>0.14280000000000001</v>
      </c>
      <c r="O150" s="124">
        <f>VLOOKUP($B150,'Language Penetration'!$B$1:$BE$14,MATCH('Compile data Working'!$H109,'Language Penetration'!$B$1:$BE$1,0),0)</f>
        <v>0.6</v>
      </c>
      <c r="P150" s="124" t="str">
        <f ca="1">IF(ISBLANK(J150),RANDBETWEEN(1,2)&amp;"%",IF(J150=1,RANDBETWEEN(35,40)&amp;"%",IF(J150=2,RANDBETWEEN(30,35)&amp;"%",IF(J150=3,RANDBETWEEN(25,30)&amp;"%",IF(J150=4,RANDBETWEEN(20,25)&amp;"%",IF(J150=5,RANDBETWEEN(15,20)&amp;"%",IF(J150=6,RANDBETWEEN(10,15)&amp;"%",IF(J150=7,RANDBETWEEN(8,10)&amp;"%",IF(J150=8,RANDBETWEEN(6,8)&amp;"%",IF(J150=9,RANDBETWEEN(4,6)&amp;"%",IF(J150=10,RANDBETWEEN(2,4)&amp;"%","")))))))))))</f>
        <v>35%</v>
      </c>
      <c r="Q150" s="123">
        <f ca="1">IFERROR(L150*(M150+N150)*O150*P150,RANDBETWEEN(1,2)%*L150*(M150+N150)*O150)</f>
        <v>0.58146076799999991</v>
      </c>
      <c r="R150" s="125">
        <f>VLOOKUP(D:D,ranking!W:X,2,0)</f>
        <v>0.3</v>
      </c>
      <c r="S150" s="126">
        <f ca="1">R150*Q150</f>
        <v>0.17443823039999998</v>
      </c>
      <c r="T150" s="123">
        <v>1.7367039099085997</v>
      </c>
    </row>
    <row r="151" spans="1:20" x14ac:dyDescent="0.25">
      <c r="A151" s="98" t="s">
        <v>1781</v>
      </c>
      <c r="B151" s="98" t="s">
        <v>85</v>
      </c>
      <c r="C151" s="46" t="s">
        <v>123</v>
      </c>
      <c r="D151" s="46" t="s">
        <v>1012</v>
      </c>
      <c r="E151" s="119" t="s">
        <v>211</v>
      </c>
      <c r="F151" s="46" t="s">
        <v>215</v>
      </c>
      <c r="G151" s="46" t="s">
        <v>1906</v>
      </c>
      <c r="H151" s="46" t="s">
        <v>19</v>
      </c>
      <c r="I151" s="129">
        <v>45512</v>
      </c>
      <c r="J151" s="46"/>
      <c r="K151" s="46" t="s">
        <v>1992</v>
      </c>
      <c r="L151" s="123">
        <f>VLOOKUP($C151&amp;$E151,'Updated SES'!A:N,14,0)</f>
        <v>55.459200000000003</v>
      </c>
      <c r="M151" s="124" t="e">
        <f>VLOOKUP($K151,'Genre Penetration'!A:B,2,0)*VLOOKUP($C151&amp;$E151,'Updated SES'!A:I,9,0)</f>
        <v>#N/A</v>
      </c>
      <c r="N151" s="124" t="e">
        <f>VLOOKUP(K:K,'Genre Penetration'!A:C,3,0)*VLOOKUP($C151&amp;$E151,'Updated SES'!A:J,10,0)</f>
        <v>#N/A</v>
      </c>
      <c r="O151" s="124" t="e">
        <f>VLOOKUP($B151,'Language Penetration'!$B$1:$BE$14,MATCH('Compile data Working'!#REF!,'Language Penetration'!$B$1:$BE$1,0),0)</f>
        <v>#REF!</v>
      </c>
      <c r="P151" s="124" t="str">
        <f ca="1">IF(ISBLANK(J151),RANDBETWEEN(1,2)&amp;"%",IF(J151=1,RANDBETWEEN(35,40)&amp;"%",IF(J151=2,RANDBETWEEN(30,35)&amp;"%",IF(J151=3,RANDBETWEEN(25,30)&amp;"%",IF(J151=4,RANDBETWEEN(20,25)&amp;"%",IF(J151=5,RANDBETWEEN(15,20)&amp;"%",IF(J151=6,RANDBETWEEN(10,15)&amp;"%",IF(J151=7,RANDBETWEEN(8,10)&amp;"%",IF(J151=8,RANDBETWEEN(6,8)&amp;"%",IF(J151=9,RANDBETWEEN(4,6)&amp;"%",IF(J151=10,RANDBETWEEN(2,4)&amp;"%","")))))))))))</f>
        <v>2%</v>
      </c>
      <c r="Q151" s="123" t="e">
        <f ca="1">IFERROR(L151*(M151+N151)*O151*P151,RANDBETWEEN(1,2)%*L151*(M151+N151)*O151)</f>
        <v>#N/A</v>
      </c>
      <c r="R151" s="125">
        <f>VLOOKUP(D:D,ranking!W:X,2,0)</f>
        <v>0.6</v>
      </c>
      <c r="S151" s="126" t="e">
        <f ca="1">R151*Q151</f>
        <v>#N/A</v>
      </c>
      <c r="T151" s="123">
        <v>1.7234491673820249</v>
      </c>
    </row>
    <row r="152" spans="1:20" x14ac:dyDescent="0.25">
      <c r="A152" s="98" t="s">
        <v>1057</v>
      </c>
      <c r="B152" s="98" t="s">
        <v>85</v>
      </c>
      <c r="C152" s="98" t="s">
        <v>906</v>
      </c>
      <c r="D152" s="98" t="s">
        <v>434</v>
      </c>
      <c r="E152" s="46" t="s">
        <v>211</v>
      </c>
      <c r="F152" s="46" t="s">
        <v>213</v>
      </c>
      <c r="G152" s="46" t="s">
        <v>2089</v>
      </c>
      <c r="H152" s="46" t="s">
        <v>40</v>
      </c>
      <c r="I152" s="53">
        <v>46178</v>
      </c>
      <c r="J152" s="119">
        <v>6</v>
      </c>
      <c r="K152" s="46" t="s">
        <v>173</v>
      </c>
      <c r="L152" s="123">
        <f>VLOOKUP($C152&amp;$E152,'Updated SES'!A:N,14,0)</f>
        <v>127.11702000000001</v>
      </c>
      <c r="M152" s="124">
        <f>VLOOKUP($K152,'Genre Penetration'!A:B,2,0)*VLOOKUP($C152&amp;$E152,'Updated SES'!A:I,9,0)</f>
        <v>0.36849999999999999</v>
      </c>
      <c r="N152" s="124">
        <f>VLOOKUP(K:K,'Genre Penetration'!A:C,3,0)*VLOOKUP($C152&amp;$E152,'Updated SES'!A:J,10,0)</f>
        <v>0.14849999999999999</v>
      </c>
      <c r="O152" s="124" t="e">
        <f>VLOOKUP($B152,'Language Penetration'!$B$1:$BE$14,MATCH('Compile data Working'!$H98,'Language Penetration'!$B$1:$BE$1,0),0)</f>
        <v>#N/A</v>
      </c>
      <c r="P152" s="124" t="str">
        <f ca="1">IF(ISBLANK(J152),RANDBETWEEN(1,2)&amp;"%",IF(J152=1,RANDBETWEEN(35,40)&amp;"%",IF(J152=2,RANDBETWEEN(30,35)&amp;"%",IF(J152=3,RANDBETWEEN(25,30)&amp;"%",IF(J152=4,RANDBETWEEN(20,25)&amp;"%",IF(J152=5,RANDBETWEEN(15,20)&amp;"%",IF(J152=6,RANDBETWEEN(10,15)&amp;"%",IF(J152=7,RANDBETWEEN(8,10)&amp;"%",IF(J152=8,RANDBETWEEN(6,8)&amp;"%",IF(J152=9,RANDBETWEEN(4,6)&amp;"%",IF(J152=10,RANDBETWEEN(2,4)&amp;"%","")))))))))))</f>
        <v>14%</v>
      </c>
      <c r="Q152" s="123" t="e">
        <f ca="1">IFERROR(L152*(M152+N152)*O152*P152,RANDBETWEEN(1,2)%*L152*(M152+N152)*O152)</f>
        <v>#N/A</v>
      </c>
      <c r="R152" s="125">
        <f>VLOOKUP(D:D,ranking!W:X,2,0)</f>
        <v>0.7</v>
      </c>
      <c r="S152" s="126" t="e">
        <f ca="1">R152*Q152</f>
        <v>#N/A</v>
      </c>
      <c r="T152" s="123">
        <v>1.6923814345959001</v>
      </c>
    </row>
    <row r="153" spans="1:20" x14ac:dyDescent="0.25">
      <c r="A153" s="98" t="s">
        <v>1057</v>
      </c>
      <c r="B153" s="98" t="s">
        <v>85</v>
      </c>
      <c r="C153" s="98" t="s">
        <v>906</v>
      </c>
      <c r="D153" s="98" t="s">
        <v>434</v>
      </c>
      <c r="E153" s="46" t="s">
        <v>211</v>
      </c>
      <c r="F153" s="46" t="s">
        <v>213</v>
      </c>
      <c r="G153" s="46" t="s">
        <v>1628</v>
      </c>
      <c r="H153" s="46" t="s">
        <v>19</v>
      </c>
      <c r="I153" s="53">
        <v>46171</v>
      </c>
      <c r="J153" s="119">
        <v>4</v>
      </c>
      <c r="K153" s="46" t="s">
        <v>138</v>
      </c>
      <c r="L153" s="123">
        <f>VLOOKUP($C153&amp;$E153,'Updated SES'!A:N,14,0)</f>
        <v>127.11702000000001</v>
      </c>
      <c r="M153" s="124">
        <f>VLOOKUP($K153,'Genre Penetration'!A:B,2,0)*VLOOKUP($C153&amp;$E153,'Updated SES'!A:I,9,0)</f>
        <v>0.31489999999999996</v>
      </c>
      <c r="N153" s="124">
        <f>VLOOKUP(K:K,'Genre Penetration'!A:C,3,0)*VLOOKUP($C153&amp;$E153,'Updated SES'!A:J,10,0)</f>
        <v>0.1749</v>
      </c>
      <c r="O153" s="124" t="e">
        <f>VLOOKUP($B153,'Language Penetration'!$B$1:$BE$14,MATCH('Compile data Working'!$H134,'Language Penetration'!$B$1:$BE$1,0),0)</f>
        <v>#N/A</v>
      </c>
      <c r="P153" s="124" t="str">
        <f ca="1">IF(ISBLANK(J153),RANDBETWEEN(1,2)&amp;"%",IF(J153=1,RANDBETWEEN(35,40)&amp;"%",IF(J153=2,RANDBETWEEN(30,35)&amp;"%",IF(J153=3,RANDBETWEEN(25,30)&amp;"%",IF(J153=4,RANDBETWEEN(20,25)&amp;"%",IF(J153=5,RANDBETWEEN(15,20)&amp;"%",IF(J153=6,RANDBETWEEN(10,15)&amp;"%",IF(J153=7,RANDBETWEEN(8,10)&amp;"%",IF(J153=8,RANDBETWEEN(6,8)&amp;"%",IF(J153=9,RANDBETWEEN(4,6)&amp;"%",IF(J153=10,RANDBETWEEN(2,4)&amp;"%","")))))))))))</f>
        <v>23%</v>
      </c>
      <c r="Q153" s="123" t="e">
        <f ca="1">IFERROR(L153*(M153+N153)*O153*P153,RANDBETWEEN(1,2)%*L153*(M153+N153)*O153)</f>
        <v>#N/A</v>
      </c>
      <c r="R153" s="125">
        <f>VLOOKUP(D:D,ranking!W:X,2,0)</f>
        <v>0.7</v>
      </c>
      <c r="S153" s="126" t="e">
        <f ca="1">R153*Q153</f>
        <v>#N/A</v>
      </c>
      <c r="T153" s="123">
        <v>1.6487709136939066</v>
      </c>
    </row>
    <row r="154" spans="1:20" x14ac:dyDescent="0.25">
      <c r="A154" s="98" t="s">
        <v>1781</v>
      </c>
      <c r="B154" s="98" t="s">
        <v>85</v>
      </c>
      <c r="C154" s="46" t="s">
        <v>906</v>
      </c>
      <c r="D154" s="46" t="s">
        <v>1012</v>
      </c>
      <c r="E154" s="119" t="s">
        <v>211</v>
      </c>
      <c r="F154" s="46" t="s">
        <v>215</v>
      </c>
      <c r="G154" s="46" t="s">
        <v>1925</v>
      </c>
      <c r="H154" s="46" t="s">
        <v>19</v>
      </c>
      <c r="I154" s="129">
        <v>43588</v>
      </c>
      <c r="J154" s="119"/>
      <c r="K154" s="46" t="s">
        <v>1974</v>
      </c>
      <c r="L154" s="123">
        <f>VLOOKUP($C154&amp;$E154,'Updated SES'!A:N,14,0)</f>
        <v>127.11702000000001</v>
      </c>
      <c r="M154" s="124" t="e">
        <f>VLOOKUP($K154,'Genre Penetration'!A:B,2,0)*VLOOKUP($C154&amp;$E154,'Updated SES'!A:I,9,0)</f>
        <v>#N/A</v>
      </c>
      <c r="N154" s="124" t="e">
        <f>VLOOKUP(K:K,'Genre Penetration'!A:C,3,0)*VLOOKUP($C154&amp;$E154,'Updated SES'!A:J,10,0)</f>
        <v>#N/A</v>
      </c>
      <c r="O154" s="124">
        <f>VLOOKUP($B154,'Language Penetration'!$B$1:$BE$14,MATCH('Compile data Working'!$H189,'Language Penetration'!$B$1:$BE$1,0),0)</f>
        <v>0.6</v>
      </c>
      <c r="P154" s="124" t="str">
        <f ca="1">IF(ISBLANK(J154),RANDBETWEEN(1,2)&amp;"%",IF(J154=1,RANDBETWEEN(35,40)&amp;"%",IF(J154=2,RANDBETWEEN(30,35)&amp;"%",IF(J154=3,RANDBETWEEN(25,30)&amp;"%",IF(J154=4,RANDBETWEEN(20,25)&amp;"%",IF(J154=5,RANDBETWEEN(15,20)&amp;"%",IF(J154=6,RANDBETWEEN(10,15)&amp;"%",IF(J154=7,RANDBETWEEN(8,10)&amp;"%",IF(J154=8,RANDBETWEEN(6,8)&amp;"%",IF(J154=9,RANDBETWEEN(4,6)&amp;"%",IF(J154=10,RANDBETWEEN(2,4)&amp;"%","")))))))))))</f>
        <v>2%</v>
      </c>
      <c r="Q154" s="123" t="e">
        <f ca="1">IFERROR(L154*(M154+N154)*O154*P154,RANDBETWEEN(1,2)%*L154*(M154+N154)*O154)</f>
        <v>#N/A</v>
      </c>
      <c r="R154" s="125">
        <f>VLOOKUP(D:D,ranking!W:X,2,0)</f>
        <v>0.6</v>
      </c>
      <c r="S154" s="126" t="e">
        <f ca="1">R154*Q154</f>
        <v>#N/A</v>
      </c>
      <c r="T154" s="123">
        <v>1.6376180360347796</v>
      </c>
    </row>
    <row r="155" spans="1:20" x14ac:dyDescent="0.25">
      <c r="A155" s="98" t="s">
        <v>1057</v>
      </c>
      <c r="B155" s="98" t="s">
        <v>85</v>
      </c>
      <c r="C155" s="98" t="s">
        <v>150</v>
      </c>
      <c r="D155" s="98" t="s">
        <v>431</v>
      </c>
      <c r="E155" s="98" t="s">
        <v>211</v>
      </c>
      <c r="F155" s="46" t="s">
        <v>215</v>
      </c>
      <c r="G155" s="119" t="s">
        <v>1844</v>
      </c>
      <c r="H155" s="119" t="s">
        <v>40</v>
      </c>
      <c r="I155" s="121">
        <v>45513</v>
      </c>
      <c r="J155" s="98">
        <v>7</v>
      </c>
      <c r="K155" s="119" t="s">
        <v>173</v>
      </c>
      <c r="L155" s="123">
        <f>VLOOKUP($C155&amp;$E155,'Updated SES'!A:N,14,0)</f>
        <v>60.152000000000001</v>
      </c>
      <c r="M155" s="124">
        <f>VLOOKUP($K155,'Genre Penetration'!A:B,2,0)*VLOOKUP($C155&amp;$E155,'Updated SES'!A:I,9,0)</f>
        <v>0.35750000000000004</v>
      </c>
      <c r="N155" s="124">
        <f>VLOOKUP(K:K,'Genre Penetration'!A:C,3,0)*VLOOKUP($C155&amp;$E155,'Updated SES'!A:J,10,0)</f>
        <v>0.1575</v>
      </c>
      <c r="O155" s="124" t="e">
        <f>VLOOKUP($B155,'Language Penetration'!$B$1:$BE$14,MATCH('Compile data Working'!#REF!,'Language Penetration'!$B$1:$BE$1,0),0)</f>
        <v>#REF!</v>
      </c>
      <c r="P155" s="124" t="str">
        <f ca="1">IF(ISBLANK(J155),RANDBETWEEN(1,2)&amp;"%",IF(J155=1,RANDBETWEEN(35,40)&amp;"%",IF(J155=2,RANDBETWEEN(30,35)&amp;"%",IF(J155=3,RANDBETWEEN(25,30)&amp;"%",IF(J155=4,RANDBETWEEN(20,25)&amp;"%",IF(J155=5,RANDBETWEEN(15,20)&amp;"%",IF(J155=6,RANDBETWEEN(10,15)&amp;"%",IF(J155=7,RANDBETWEEN(8,10)&amp;"%",IF(J155=8,RANDBETWEEN(6,8)&amp;"%",IF(J155=9,RANDBETWEEN(4,6)&amp;"%",IF(J155=10,RANDBETWEEN(2,4)&amp;"%","")))))))))))</f>
        <v>9%</v>
      </c>
      <c r="Q155" s="123" t="e">
        <f ca="1">IFERROR(L155*(M155+N155)*O155*P155,RANDBETWEEN(1,2)%*L155*(M155+N155)*O155)</f>
        <v>#REF!</v>
      </c>
      <c r="R155" s="125">
        <f>VLOOKUP(D:D,ranking!W:X,2,0)</f>
        <v>0.6</v>
      </c>
      <c r="S155" s="126" t="e">
        <f ca="1">R155*Q155</f>
        <v>#REF!</v>
      </c>
      <c r="T155" s="123">
        <v>1.6139086044796032</v>
      </c>
    </row>
    <row r="156" spans="1:20" x14ac:dyDescent="0.25">
      <c r="A156" s="98" t="s">
        <v>1781</v>
      </c>
      <c r="B156" s="98" t="s">
        <v>85</v>
      </c>
      <c r="C156" s="46" t="s">
        <v>64</v>
      </c>
      <c r="D156" s="46" t="s">
        <v>1013</v>
      </c>
      <c r="E156" s="119" t="s">
        <v>211</v>
      </c>
      <c r="F156" s="46" t="s">
        <v>213</v>
      </c>
      <c r="G156" s="46" t="s">
        <v>1898</v>
      </c>
      <c r="H156" s="46" t="s">
        <v>23</v>
      </c>
      <c r="I156" s="129">
        <v>46136</v>
      </c>
      <c r="J156" s="119"/>
      <c r="K156" s="46" t="s">
        <v>124</v>
      </c>
      <c r="L156" s="123">
        <f>VLOOKUP($C156&amp;$E156,'Updated SES'!A:N,14,0)</f>
        <v>36.498239999999996</v>
      </c>
      <c r="M156" s="124">
        <f>VLOOKUP($K156,'Genre Penetration'!A:B,2,0)*VLOOKUP($C156&amp;$E156,'Updated SES'!A:I,9,0)</f>
        <v>0.23400000000000001</v>
      </c>
      <c r="N156" s="124">
        <f>VLOOKUP(K:K,'Genre Penetration'!A:C,3,0)*VLOOKUP($C156&amp;$E156,'Updated SES'!A:J,10,0)</f>
        <v>0.26400000000000001</v>
      </c>
      <c r="O156" s="124">
        <f>VLOOKUP($B156,'Language Penetration'!$B$1:$BE$14,MATCH('Compile data Working'!$H112,'Language Penetration'!$B$1:$BE$1,0),0)</f>
        <v>0.6</v>
      </c>
      <c r="P156" s="124" t="str">
        <f ca="1">IF(ISBLANK(J156),RANDBETWEEN(1,2)&amp;"%",IF(J156=1,RANDBETWEEN(35,40)&amp;"%",IF(J156=2,RANDBETWEEN(30,35)&amp;"%",IF(J156=3,RANDBETWEEN(25,30)&amp;"%",IF(J156=4,RANDBETWEEN(20,25)&amp;"%",IF(J156=5,RANDBETWEEN(15,20)&amp;"%",IF(J156=6,RANDBETWEEN(10,15)&amp;"%",IF(J156=7,RANDBETWEEN(8,10)&amp;"%",IF(J156=8,RANDBETWEEN(6,8)&amp;"%",IF(J156=9,RANDBETWEEN(4,6)&amp;"%",IF(J156=10,RANDBETWEEN(2,4)&amp;"%","")))))))))))</f>
        <v>2%</v>
      </c>
      <c r="Q156" s="123">
        <f ca="1">IFERROR(L156*(M156+N156)*O156*P156,RANDBETWEEN(1,2)%*L156*(M156+N156)*O156)</f>
        <v>0.21811348223999996</v>
      </c>
      <c r="R156" s="125">
        <f>VLOOKUP(D:D,ranking!W:X,2,0)</f>
        <v>0.8</v>
      </c>
      <c r="S156" s="126">
        <f ca="1">R156*Q156</f>
        <v>0.17449078579199997</v>
      </c>
      <c r="T156" s="123">
        <v>1.6021802329171448</v>
      </c>
    </row>
    <row r="157" spans="1:20" x14ac:dyDescent="0.25">
      <c r="A157" s="98" t="s">
        <v>1781</v>
      </c>
      <c r="B157" s="98" t="s">
        <v>85</v>
      </c>
      <c r="C157" s="46" t="s">
        <v>123</v>
      </c>
      <c r="D157" s="46" t="s">
        <v>1013</v>
      </c>
      <c r="E157" s="119" t="s">
        <v>211</v>
      </c>
      <c r="F157" s="46" t="s">
        <v>213</v>
      </c>
      <c r="G157" s="46" t="s">
        <v>1938</v>
      </c>
      <c r="H157" s="46" t="s">
        <v>26</v>
      </c>
      <c r="I157" s="129">
        <v>46150</v>
      </c>
      <c r="J157" s="46"/>
      <c r="K157" s="46" t="s">
        <v>1971</v>
      </c>
      <c r="L157" s="123">
        <f>VLOOKUP($C157&amp;$E157,'Updated SES'!A:N,14,0)</f>
        <v>55.459200000000003</v>
      </c>
      <c r="M157" s="124" t="e">
        <f>VLOOKUP($K157,'Genre Penetration'!A:B,2,0)*VLOOKUP($C157&amp;$E157,'Updated SES'!A:I,9,0)</f>
        <v>#N/A</v>
      </c>
      <c r="N157" s="124" t="e">
        <f>VLOOKUP(K:K,'Genre Penetration'!A:C,3,0)*VLOOKUP($C157&amp;$E157,'Updated SES'!A:J,10,0)</f>
        <v>#N/A</v>
      </c>
      <c r="O157" s="124">
        <f>VLOOKUP($B157,'Language Penetration'!$B$1:$BE$14,MATCH('Compile data Working'!$H121,'Language Penetration'!$B$1:$BE$1,0),0)</f>
        <v>0.2</v>
      </c>
      <c r="P157" s="124" t="str">
        <f ca="1">IF(ISBLANK(J157),RANDBETWEEN(1,2)&amp;"%",IF(J157=1,RANDBETWEEN(35,40)&amp;"%",IF(J157=2,RANDBETWEEN(30,35)&amp;"%",IF(J157=3,RANDBETWEEN(25,30)&amp;"%",IF(J157=4,RANDBETWEEN(20,25)&amp;"%",IF(J157=5,RANDBETWEEN(15,20)&amp;"%",IF(J157=6,RANDBETWEEN(10,15)&amp;"%",IF(J157=7,RANDBETWEEN(8,10)&amp;"%",IF(J157=8,RANDBETWEEN(6,8)&amp;"%",IF(J157=9,RANDBETWEEN(4,6)&amp;"%",IF(J157=10,RANDBETWEEN(2,4)&amp;"%","")))))))))))</f>
        <v>2%</v>
      </c>
      <c r="Q157" s="123" t="e">
        <f ca="1">IFERROR(L157*(M157+N157)*O157*P157,RANDBETWEEN(1,2)%*L157*(M157+N157)*O157)</f>
        <v>#N/A</v>
      </c>
      <c r="R157" s="125">
        <f>VLOOKUP(D:D,ranking!W:X,2,0)</f>
        <v>0.8</v>
      </c>
      <c r="S157" s="126" t="e">
        <f ca="1">R157*Q157</f>
        <v>#N/A</v>
      </c>
      <c r="T157" s="123">
        <v>1.589657098383584</v>
      </c>
    </row>
    <row r="158" spans="1:20" x14ac:dyDescent="0.25">
      <c r="A158" s="98" t="s">
        <v>1781</v>
      </c>
      <c r="B158" s="98" t="s">
        <v>85</v>
      </c>
      <c r="C158" s="46" t="s">
        <v>906</v>
      </c>
      <c r="D158" s="46" t="s">
        <v>1013</v>
      </c>
      <c r="E158" s="119" t="s">
        <v>211</v>
      </c>
      <c r="F158" s="46" t="s">
        <v>213</v>
      </c>
      <c r="G158" s="46" t="s">
        <v>1957</v>
      </c>
      <c r="H158" s="46" t="s">
        <v>19</v>
      </c>
      <c r="I158" s="129">
        <v>45898</v>
      </c>
      <c r="J158" s="46"/>
      <c r="K158" s="46" t="s">
        <v>1111</v>
      </c>
      <c r="L158" s="123">
        <f>VLOOKUP($C158&amp;$E158,'Updated SES'!A:N,14,0)</f>
        <v>127.11702000000001</v>
      </c>
      <c r="M158" s="124">
        <f>VLOOKUP($K158,'Genre Penetration'!A:B,2,0)*VLOOKUP($C158&amp;$E158,'Updated SES'!A:I,9,0)</f>
        <v>0.4556</v>
      </c>
      <c r="N158" s="124">
        <f>VLOOKUP(K:K,'Genre Penetration'!A:C,3,0)*VLOOKUP($C158&amp;$E158,'Updated SES'!A:J,10,0)</f>
        <v>0.10559999999999999</v>
      </c>
      <c r="O158" s="124">
        <f>VLOOKUP($B158,'Language Penetration'!$B$1:$BE$14,MATCH('Compile data Working'!$H221,'Language Penetration'!$B$1:$BE$1,0),0)</f>
        <v>0.6</v>
      </c>
      <c r="P158" s="124" t="str">
        <f ca="1">IF(ISBLANK(J158),RANDBETWEEN(1,2)&amp;"%",IF(J158=1,RANDBETWEEN(35,40)&amp;"%",IF(J158=2,RANDBETWEEN(30,35)&amp;"%",IF(J158=3,RANDBETWEEN(25,30)&amp;"%",IF(J158=4,RANDBETWEEN(20,25)&amp;"%",IF(J158=5,RANDBETWEEN(15,20)&amp;"%",IF(J158=6,RANDBETWEEN(10,15)&amp;"%",IF(J158=7,RANDBETWEEN(8,10)&amp;"%",IF(J158=8,RANDBETWEEN(6,8)&amp;"%",IF(J158=9,RANDBETWEEN(4,6)&amp;"%",IF(J158=10,RANDBETWEEN(2,4)&amp;"%","")))))))))))</f>
        <v>1%</v>
      </c>
      <c r="Q158" s="123">
        <f ca="1">IFERROR(L158*(M158+N158)*O158*P158,RANDBETWEEN(1,2)%*L158*(M158+N158)*O158)</f>
        <v>0.42802842974400002</v>
      </c>
      <c r="R158" s="125">
        <f>VLOOKUP(D:D,ranking!W:X,2,0)</f>
        <v>0.8</v>
      </c>
      <c r="S158" s="126">
        <f ca="1">R158*Q158</f>
        <v>0.34242274379520005</v>
      </c>
      <c r="T158" s="123">
        <v>1.5468708613786468</v>
      </c>
    </row>
    <row r="159" spans="1:20" x14ac:dyDescent="0.25">
      <c r="A159" s="98" t="s">
        <v>1781</v>
      </c>
      <c r="B159" s="98" t="s">
        <v>85</v>
      </c>
      <c r="C159" s="46" t="s">
        <v>879</v>
      </c>
      <c r="D159" s="46" t="s">
        <v>220</v>
      </c>
      <c r="E159" s="98" t="s">
        <v>219</v>
      </c>
      <c r="F159" s="46" t="s">
        <v>213</v>
      </c>
      <c r="G159" s="46" t="s">
        <v>1944</v>
      </c>
      <c r="H159" s="46" t="s">
        <v>19</v>
      </c>
      <c r="I159" s="129">
        <v>45380</v>
      </c>
      <c r="J159" s="46"/>
      <c r="K159" s="46" t="s">
        <v>1983</v>
      </c>
      <c r="L159" s="123">
        <f>VLOOKUP($C159&amp;$E159,'Updated SES'!A:N,14,0)</f>
        <v>78.939870000000013</v>
      </c>
      <c r="M159" s="124" t="e">
        <f>VLOOKUP($K159,'Genre Penetration'!A:B,2,0)*VLOOKUP($C159&amp;$E159,'Updated SES'!A:I,9,0)</f>
        <v>#N/A</v>
      </c>
      <c r="N159" s="124" t="e">
        <f>VLOOKUP(K:K,'Genre Penetration'!A:C,3,0)*VLOOKUP($C159&amp;$E159,'Updated SES'!A:J,10,0)</f>
        <v>#N/A</v>
      </c>
      <c r="O159" s="124">
        <f>VLOOKUP($B159,'Language Penetration'!$B$1:$BE$14,MATCH('Compile data Working'!$H137,'Language Penetration'!$B$1:$BE$1,0),0)</f>
        <v>0.2</v>
      </c>
      <c r="P159" s="124" t="str">
        <f ca="1">IF(ISBLANK(J159),RANDBETWEEN(1,2)&amp;"%",IF(J159=1,RANDBETWEEN(35,40)&amp;"%",IF(J159=2,RANDBETWEEN(30,35)&amp;"%",IF(J159=3,RANDBETWEEN(25,30)&amp;"%",IF(J159=4,RANDBETWEEN(20,25)&amp;"%",IF(J159=5,RANDBETWEEN(15,20)&amp;"%",IF(J159=6,RANDBETWEEN(10,15)&amp;"%",IF(J159=7,RANDBETWEEN(8,10)&amp;"%",IF(J159=8,RANDBETWEEN(6,8)&amp;"%",IF(J159=9,RANDBETWEEN(4,6)&amp;"%",IF(J159=10,RANDBETWEEN(2,4)&amp;"%","")))))))))))</f>
        <v>1%</v>
      </c>
      <c r="Q159" s="123" t="e">
        <f ca="1">IFERROR(L159*(M159+N159)*O159*P159,RANDBETWEEN(1,2)%*L159*(M159+N159)*O159)</f>
        <v>#N/A</v>
      </c>
      <c r="R159" s="125" t="e">
        <f>VLOOKUP(D:D,ranking!W:X,2,0)</f>
        <v>#N/A</v>
      </c>
      <c r="S159" s="126" t="e">
        <f ca="1">R159*Q159</f>
        <v>#N/A</v>
      </c>
      <c r="T159" s="123">
        <v>1.5326331798775199</v>
      </c>
    </row>
    <row r="160" spans="1:20" x14ac:dyDescent="0.25">
      <c r="A160" s="98" t="s">
        <v>1781</v>
      </c>
      <c r="B160" s="98" t="s">
        <v>85</v>
      </c>
      <c r="C160" s="46" t="s">
        <v>906</v>
      </c>
      <c r="D160" s="98" t="s">
        <v>456</v>
      </c>
      <c r="E160" s="98" t="s">
        <v>211</v>
      </c>
      <c r="F160" s="46" t="s">
        <v>1917</v>
      </c>
      <c r="G160" s="46" t="s">
        <v>1798</v>
      </c>
      <c r="H160" s="46" t="s">
        <v>19</v>
      </c>
      <c r="I160" s="129">
        <v>39825</v>
      </c>
      <c r="J160" s="46"/>
      <c r="K160" s="46" t="s">
        <v>950</v>
      </c>
      <c r="L160" s="123">
        <f>VLOOKUP($C160&amp;$E160,'Updated SES'!A:N,14,0)</f>
        <v>127.11702000000001</v>
      </c>
      <c r="M160" s="124" t="e">
        <f>VLOOKUP($K160,'Genre Penetration'!A:B,2,0)*VLOOKUP($C160&amp;$E160,'Updated SES'!A:I,9,0)</f>
        <v>#N/A</v>
      </c>
      <c r="N160" s="124" t="e">
        <f>VLOOKUP(K:K,'Genre Penetration'!A:C,3,0)*VLOOKUP($C160&amp;$E160,'Updated SES'!A:J,10,0)</f>
        <v>#N/A</v>
      </c>
      <c r="O160" s="124" t="e">
        <f>VLOOKUP($B160,'Language Penetration'!$B$1:$BE$14,MATCH('Compile data Working'!#REF!,'Language Penetration'!$B$1:$BE$1,0),0)</f>
        <v>#REF!</v>
      </c>
      <c r="P160" s="124" t="str">
        <f ca="1">IF(ISBLANK(J160),RANDBETWEEN(1,2)&amp;"%",IF(J160=1,RANDBETWEEN(35,40)&amp;"%",IF(J160=2,RANDBETWEEN(30,35)&amp;"%",IF(J160=3,RANDBETWEEN(25,30)&amp;"%",IF(J160=4,RANDBETWEEN(20,25)&amp;"%",IF(J160=5,RANDBETWEEN(15,20)&amp;"%",IF(J160=6,RANDBETWEEN(10,15)&amp;"%",IF(J160=7,RANDBETWEEN(8,10)&amp;"%",IF(J160=8,RANDBETWEEN(6,8)&amp;"%",IF(J160=9,RANDBETWEEN(4,6)&amp;"%",IF(J160=10,RANDBETWEEN(2,4)&amp;"%","")))))))))))</f>
        <v>2%</v>
      </c>
      <c r="Q160" s="123" t="e">
        <f ca="1">IFERROR(L160*(M160+N160)*O160*P160,RANDBETWEEN(1,2)%*L160*(M160+N160)*O160)</f>
        <v>#N/A</v>
      </c>
      <c r="R160" s="125">
        <f>VLOOKUP(D:D,ranking!W:X,2,0)</f>
        <v>0.3</v>
      </c>
      <c r="S160" s="126" t="e">
        <f ca="1">R160*Q160</f>
        <v>#N/A</v>
      </c>
      <c r="T160" s="123">
        <v>1.5278689243238479</v>
      </c>
    </row>
    <row r="161" spans="1:20" x14ac:dyDescent="0.25">
      <c r="A161" s="98" t="s">
        <v>1781</v>
      </c>
      <c r="B161" s="98" t="s">
        <v>85</v>
      </c>
      <c r="C161" s="46" t="s">
        <v>906</v>
      </c>
      <c r="D161" s="98" t="s">
        <v>456</v>
      </c>
      <c r="E161" s="98" t="s">
        <v>211</v>
      </c>
      <c r="F161" s="46" t="s">
        <v>1917</v>
      </c>
      <c r="G161" s="46" t="s">
        <v>1955</v>
      </c>
      <c r="H161" s="46" t="s">
        <v>1967</v>
      </c>
      <c r="I161" s="129">
        <v>46139</v>
      </c>
      <c r="J161" s="46"/>
      <c r="K161" s="46" t="s">
        <v>950</v>
      </c>
      <c r="L161" s="123">
        <f>VLOOKUP($C161&amp;$E161,'Updated SES'!A:N,14,0)</f>
        <v>127.11702000000001</v>
      </c>
      <c r="M161" s="124" t="e">
        <f>VLOOKUP($K161,'Genre Penetration'!A:B,2,0)*VLOOKUP($C161&amp;$E161,'Updated SES'!A:I,9,0)</f>
        <v>#N/A</v>
      </c>
      <c r="N161" s="124" t="e">
        <f>VLOOKUP(K:K,'Genre Penetration'!A:C,3,0)*VLOOKUP($C161&amp;$E161,'Updated SES'!A:J,10,0)</f>
        <v>#N/A</v>
      </c>
      <c r="O161" s="124" t="e">
        <f>VLOOKUP($B161,'Language Penetration'!$B$1:$BE$14,MATCH('Compile data Working'!$H219,'Language Penetration'!$B$1:$BE$1,0),0)</f>
        <v>#N/A</v>
      </c>
      <c r="P161" s="124" t="str">
        <f ca="1">IF(ISBLANK(J161),RANDBETWEEN(1,2)&amp;"%",IF(J161=1,RANDBETWEEN(35,40)&amp;"%",IF(J161=2,RANDBETWEEN(30,35)&amp;"%",IF(J161=3,RANDBETWEEN(25,30)&amp;"%",IF(J161=4,RANDBETWEEN(20,25)&amp;"%",IF(J161=5,RANDBETWEEN(15,20)&amp;"%",IF(J161=6,RANDBETWEEN(10,15)&amp;"%",IF(J161=7,RANDBETWEEN(8,10)&amp;"%",IF(J161=8,RANDBETWEEN(6,8)&amp;"%",IF(J161=9,RANDBETWEEN(4,6)&amp;"%",IF(J161=10,RANDBETWEEN(2,4)&amp;"%","")))))))))))</f>
        <v>1%</v>
      </c>
      <c r="Q161" s="123" t="e">
        <f ca="1">IFERROR(L161*(M161+N161)*O161*P161,RANDBETWEEN(1,2)%*L161*(M161+N161)*O161)</f>
        <v>#N/A</v>
      </c>
      <c r="R161" s="125">
        <f>VLOOKUP(D:D,ranking!W:X,2,0)</f>
        <v>0.3</v>
      </c>
      <c r="S161" s="126" t="e">
        <f ca="1">R161*Q161</f>
        <v>#N/A</v>
      </c>
      <c r="T161" s="123">
        <v>1.5010755835653056</v>
      </c>
    </row>
    <row r="162" spans="1:20" x14ac:dyDescent="0.25">
      <c r="A162" s="98" t="s">
        <v>1057</v>
      </c>
      <c r="B162" s="98" t="s">
        <v>85</v>
      </c>
      <c r="C162" s="98" t="s">
        <v>64</v>
      </c>
      <c r="D162" s="98" t="s">
        <v>434</v>
      </c>
      <c r="E162" s="119" t="s">
        <v>211</v>
      </c>
      <c r="F162" s="46" t="s">
        <v>213</v>
      </c>
      <c r="G162" s="98" t="s">
        <v>1871</v>
      </c>
      <c r="H162" s="98" t="s">
        <v>1058</v>
      </c>
      <c r="I162" s="106">
        <v>46148</v>
      </c>
      <c r="J162" s="119">
        <v>10</v>
      </c>
      <c r="K162" s="98" t="s">
        <v>886</v>
      </c>
      <c r="L162" s="123">
        <f>VLOOKUP($C162&amp;$E162,'Updated SES'!A:N,14,0)</f>
        <v>36.498239999999996</v>
      </c>
      <c r="M162" s="124">
        <f>VLOOKUP($K162,'Genre Penetration'!A:B,2,0)*VLOOKUP($C162&amp;$E162,'Updated SES'!A:I,9,0)</f>
        <v>0.26</v>
      </c>
      <c r="N162" s="124">
        <f>VLOOKUP(K:K,'Genre Penetration'!A:C,3,0)*VLOOKUP($C162&amp;$E162,'Updated SES'!A:J,10,0)</f>
        <v>0.24</v>
      </c>
      <c r="O162" s="124" t="e">
        <f>VLOOKUP($B162,'Language Penetration'!$B$1:$BE$14,MATCH('Compile data Working'!#REF!,'Language Penetration'!$B$1:$BE$1,0),0)</f>
        <v>#REF!</v>
      </c>
      <c r="P162" s="124" t="str">
        <f ca="1">IF(ISBLANK(J162),RANDBETWEEN(1,2)&amp;"%",IF(J162=1,RANDBETWEEN(35,40)&amp;"%",IF(J162=2,RANDBETWEEN(30,35)&amp;"%",IF(J162=3,RANDBETWEEN(25,30)&amp;"%",IF(J162=4,RANDBETWEEN(20,25)&amp;"%",IF(J162=5,RANDBETWEEN(15,20)&amp;"%",IF(J162=6,RANDBETWEEN(10,15)&amp;"%",IF(J162=7,RANDBETWEEN(8,10)&amp;"%",IF(J162=8,RANDBETWEEN(6,8)&amp;"%",IF(J162=9,RANDBETWEEN(4,6)&amp;"%",IF(J162=10,RANDBETWEEN(2,4)&amp;"%","")))))))))))</f>
        <v>3%</v>
      </c>
      <c r="Q162" s="123" t="e">
        <f ca="1">IFERROR(L162*(M162+N162)*O162*P162,RANDBETWEEN(1,2)%*L162*(M162+N162)*O162)</f>
        <v>#REF!</v>
      </c>
      <c r="R162" s="125">
        <f>VLOOKUP(D:D,ranking!W:X,2,0)</f>
        <v>0.7</v>
      </c>
      <c r="S162" s="126" t="e">
        <f ca="1">R162*Q162</f>
        <v>#REF!</v>
      </c>
      <c r="T162" s="123">
        <v>1.4959720137142285</v>
      </c>
    </row>
    <row r="163" spans="1:20" x14ac:dyDescent="0.25">
      <c r="A163" s="98" t="s">
        <v>1781</v>
      </c>
      <c r="B163" s="98" t="s">
        <v>85</v>
      </c>
      <c r="C163" s="46" t="s">
        <v>879</v>
      </c>
      <c r="D163" s="46" t="s">
        <v>220</v>
      </c>
      <c r="E163" s="98" t="s">
        <v>219</v>
      </c>
      <c r="F163" s="46" t="s">
        <v>213</v>
      </c>
      <c r="G163" s="46" t="s">
        <v>1920</v>
      </c>
      <c r="H163" s="46" t="s">
        <v>19</v>
      </c>
      <c r="I163" s="129">
        <v>44455</v>
      </c>
      <c r="J163" s="119"/>
      <c r="K163" s="46" t="s">
        <v>1970</v>
      </c>
      <c r="L163" s="123">
        <f>VLOOKUP($C163&amp;$E163,'Updated SES'!A:N,14,0)</f>
        <v>78.939870000000013</v>
      </c>
      <c r="M163" s="124" t="e">
        <f>VLOOKUP($K163,'Genre Penetration'!A:B,2,0)*VLOOKUP($C163&amp;$E163,'Updated SES'!A:I,9,0)</f>
        <v>#N/A</v>
      </c>
      <c r="N163" s="124" t="e">
        <f>VLOOKUP(K:K,'Genre Penetration'!A:C,3,0)*VLOOKUP($C163&amp;$E163,'Updated SES'!A:J,10,0)</f>
        <v>#N/A</v>
      </c>
      <c r="O163" s="124" t="e">
        <f>VLOOKUP($B163,'Language Penetration'!$B$1:$BE$14,MATCH('Compile data Working'!#REF!,'Language Penetration'!$B$1:$BE$1,0),0)</f>
        <v>#REF!</v>
      </c>
      <c r="P163" s="124" t="str">
        <f ca="1">IF(ISBLANK(J163),RANDBETWEEN(1,2)&amp;"%",IF(J163=1,RANDBETWEEN(35,40)&amp;"%",IF(J163=2,RANDBETWEEN(30,35)&amp;"%",IF(J163=3,RANDBETWEEN(25,30)&amp;"%",IF(J163=4,RANDBETWEEN(20,25)&amp;"%",IF(J163=5,RANDBETWEEN(15,20)&amp;"%",IF(J163=6,RANDBETWEEN(10,15)&amp;"%",IF(J163=7,RANDBETWEEN(8,10)&amp;"%",IF(J163=8,RANDBETWEEN(6,8)&amp;"%",IF(J163=9,RANDBETWEEN(4,6)&amp;"%",IF(J163=10,RANDBETWEEN(2,4)&amp;"%","")))))))))))</f>
        <v>2%</v>
      </c>
      <c r="Q163" s="123" t="e">
        <f ca="1">IFERROR(L163*(M163+N163)*O163*P163,RANDBETWEEN(1,2)%*L163*(M163+N163)*O163)</f>
        <v>#N/A</v>
      </c>
      <c r="R163" s="125" t="e">
        <f>VLOOKUP(D:D,ranking!W:X,2,0)</f>
        <v>#N/A</v>
      </c>
      <c r="S163" s="126" t="e">
        <f ca="1">R163*Q163</f>
        <v>#N/A</v>
      </c>
      <c r="T163" s="123">
        <v>1.4674838633094638</v>
      </c>
    </row>
    <row r="164" spans="1:20" x14ac:dyDescent="0.25">
      <c r="A164" s="98" t="s">
        <v>1781</v>
      </c>
      <c r="B164" s="98" t="s">
        <v>85</v>
      </c>
      <c r="C164" s="46" t="s">
        <v>879</v>
      </c>
      <c r="D164" s="46" t="s">
        <v>1854</v>
      </c>
      <c r="E164" s="98" t="s">
        <v>219</v>
      </c>
      <c r="F164" s="46" t="s">
        <v>215</v>
      </c>
      <c r="G164" s="46" t="s">
        <v>1939</v>
      </c>
      <c r="H164" s="46" t="s">
        <v>19</v>
      </c>
      <c r="I164" s="129">
        <v>44468</v>
      </c>
      <c r="J164" s="46"/>
      <c r="K164" s="46" t="s">
        <v>216</v>
      </c>
      <c r="L164" s="123">
        <f>VLOOKUP($C164&amp;$E164,'Updated SES'!A:N,14,0)</f>
        <v>78.939870000000013</v>
      </c>
      <c r="M164" s="124">
        <f>VLOOKUP($K164,'Genre Penetration'!A:B,2,0)*VLOOKUP($C164&amp;$E164,'Updated SES'!A:I,9,0)</f>
        <v>0.4</v>
      </c>
      <c r="N164" s="124">
        <f>VLOOKUP(K:K,'Genre Penetration'!A:C,3,0)*VLOOKUP($C164&amp;$E164,'Updated SES'!A:J,10,0)</f>
        <v>0.1</v>
      </c>
      <c r="O164" s="124" t="e">
        <f>VLOOKUP($B164,'Language Penetration'!$B$1:$BE$14,MATCH('Compile data Working'!$H123,'Language Penetration'!$B$1:$BE$1,0),0)</f>
        <v>#N/A</v>
      </c>
      <c r="P164" s="124" t="str">
        <f ca="1">IF(ISBLANK(J164),RANDBETWEEN(1,2)&amp;"%",IF(J164=1,RANDBETWEEN(35,40)&amp;"%",IF(J164=2,RANDBETWEEN(30,35)&amp;"%",IF(J164=3,RANDBETWEEN(25,30)&amp;"%",IF(J164=4,RANDBETWEEN(20,25)&amp;"%",IF(J164=5,RANDBETWEEN(15,20)&amp;"%",IF(J164=6,RANDBETWEEN(10,15)&amp;"%",IF(J164=7,RANDBETWEEN(8,10)&amp;"%",IF(J164=8,RANDBETWEEN(6,8)&amp;"%",IF(J164=9,RANDBETWEEN(4,6)&amp;"%",IF(J164=10,RANDBETWEEN(2,4)&amp;"%","")))))))))))</f>
        <v>2%</v>
      </c>
      <c r="Q164" s="123" t="e">
        <f ca="1">IFERROR(L164*(M164+N164)*O164*P164,RANDBETWEEN(1,2)%*L164*(M164+N164)*O164)</f>
        <v>#N/A</v>
      </c>
      <c r="R164" s="125">
        <f>VLOOKUP(D:D,ranking!W:X,2,0)</f>
        <v>0.6</v>
      </c>
      <c r="S164" s="126" t="e">
        <f ca="1">R164*Q164</f>
        <v>#N/A</v>
      </c>
      <c r="T164" s="123">
        <v>1.4626386404260905</v>
      </c>
    </row>
    <row r="165" spans="1:20" x14ac:dyDescent="0.25">
      <c r="A165" s="98" t="s">
        <v>1781</v>
      </c>
      <c r="B165" s="98" t="s">
        <v>85</v>
      </c>
      <c r="C165" s="46" t="s">
        <v>906</v>
      </c>
      <c r="D165" s="98" t="s">
        <v>456</v>
      </c>
      <c r="E165" s="98" t="s">
        <v>211</v>
      </c>
      <c r="F165" s="46" t="s">
        <v>1917</v>
      </c>
      <c r="G165" s="46" t="s">
        <v>1950</v>
      </c>
      <c r="H165" s="46" t="s">
        <v>1967</v>
      </c>
      <c r="I165" s="129">
        <v>44949</v>
      </c>
      <c r="J165" s="46"/>
      <c r="K165" s="46" t="s">
        <v>950</v>
      </c>
      <c r="L165" s="123">
        <f>VLOOKUP($C165&amp;$E165,'Updated SES'!A:N,14,0)</f>
        <v>127.11702000000001</v>
      </c>
      <c r="M165" s="124" t="e">
        <f>VLOOKUP($K165,'Genre Penetration'!A:B,2,0)*VLOOKUP($C165&amp;$E165,'Updated SES'!A:I,9,0)</f>
        <v>#N/A</v>
      </c>
      <c r="N165" s="124" t="e">
        <f>VLOOKUP(K:K,'Genre Penetration'!A:C,3,0)*VLOOKUP($C165&amp;$E165,'Updated SES'!A:J,10,0)</f>
        <v>#N/A</v>
      </c>
      <c r="O165" s="124">
        <f>VLOOKUP($B165,'Language Penetration'!$B$1:$BE$14,MATCH('Compile data Working'!$H197,'Language Penetration'!$B$1:$BE$1,0),0)</f>
        <v>0.6</v>
      </c>
      <c r="P165" s="124" t="str">
        <f ca="1">IF(ISBLANK(J165),RANDBETWEEN(1,2)&amp;"%",IF(J165=1,RANDBETWEEN(35,40)&amp;"%",IF(J165=2,RANDBETWEEN(30,35)&amp;"%",IF(J165=3,RANDBETWEEN(25,30)&amp;"%",IF(J165=4,RANDBETWEEN(20,25)&amp;"%",IF(J165=5,RANDBETWEEN(15,20)&amp;"%",IF(J165=6,RANDBETWEEN(10,15)&amp;"%",IF(J165=7,RANDBETWEEN(8,10)&amp;"%",IF(J165=8,RANDBETWEEN(6,8)&amp;"%",IF(J165=9,RANDBETWEEN(4,6)&amp;"%",IF(J165=10,RANDBETWEEN(2,4)&amp;"%","")))))))))))</f>
        <v>2%</v>
      </c>
      <c r="Q165" s="123" t="e">
        <f ca="1">IFERROR(L165*(M165+N165)*O165*P165,RANDBETWEEN(1,2)%*L165*(M165+N165)*O165)</f>
        <v>#N/A</v>
      </c>
      <c r="R165" s="125">
        <f>VLOOKUP(D:D,ranking!W:X,2,0)</f>
        <v>0.3</v>
      </c>
      <c r="S165" s="126" t="e">
        <f ca="1">R165*Q165</f>
        <v>#N/A</v>
      </c>
      <c r="T165" s="123">
        <v>1.4553403888690879</v>
      </c>
    </row>
    <row r="166" spans="1:20" x14ac:dyDescent="0.25">
      <c r="A166" s="98" t="s">
        <v>2005</v>
      </c>
      <c r="B166" s="98" t="s">
        <v>85</v>
      </c>
      <c r="C166" s="46" t="s">
        <v>49</v>
      </c>
      <c r="D166" s="98" t="s">
        <v>434</v>
      </c>
      <c r="E166" s="46" t="s">
        <v>211</v>
      </c>
      <c r="F166" s="46" t="s">
        <v>213</v>
      </c>
      <c r="G166" s="46" t="s">
        <v>1996</v>
      </c>
      <c r="H166" s="46" t="s">
        <v>23</v>
      </c>
      <c r="I166" s="53">
        <v>46174</v>
      </c>
      <c r="J166" s="98">
        <v>4</v>
      </c>
      <c r="K166" s="46" t="s">
        <v>145</v>
      </c>
      <c r="L166" s="123">
        <f>VLOOKUP($C166&amp;$E166,'Updated SES'!A:N,14,0)</f>
        <v>12.626640000000002</v>
      </c>
      <c r="M166" s="124">
        <f>VLOOKUP($K166,'Genre Penetration'!A:B,2,0)*VLOOKUP($C166&amp;$E166,'Updated SES'!A:I,9,0)</f>
        <v>0.28120000000000001</v>
      </c>
      <c r="N166" s="124">
        <f>VLOOKUP(K:K,'Genre Penetration'!A:C,3,0)*VLOOKUP($C166&amp;$E166,'Updated SES'!A:J,10,0)</f>
        <v>0.1512</v>
      </c>
      <c r="O166" s="124" t="e">
        <f>VLOOKUP($B166,'Language Penetration'!$B$1:$BE$14,MATCH('Compile data Working'!$H43,'Language Penetration'!$B$1:$BE$1,0),0)</f>
        <v>#N/A</v>
      </c>
      <c r="P166" s="124" t="str">
        <f ca="1">IF(ISBLANK(J166),RANDBETWEEN(1,2)&amp;"%",IF(J166=1,RANDBETWEEN(35,40)&amp;"%",IF(J166=2,RANDBETWEEN(30,35)&amp;"%",IF(J166=3,RANDBETWEEN(25,30)&amp;"%",IF(J166=4,RANDBETWEEN(20,25)&amp;"%",IF(J166=5,RANDBETWEEN(15,20)&amp;"%",IF(J166=6,RANDBETWEEN(10,15)&amp;"%",IF(J166=7,RANDBETWEEN(8,10)&amp;"%",IF(J166=8,RANDBETWEEN(6,8)&amp;"%",IF(J166=9,RANDBETWEEN(4,6)&amp;"%",IF(J166=10,RANDBETWEEN(2,4)&amp;"%","")))))))))))</f>
        <v>21%</v>
      </c>
      <c r="Q166" s="123" t="e">
        <f ca="1">IFERROR(L166*(M166+N166)*O166*P166,RANDBETWEEN(1,2)%*L166*(M166+N166)*O166)</f>
        <v>#N/A</v>
      </c>
      <c r="R166" s="125">
        <f>VLOOKUP(D:D,ranking!W:X,2,0)</f>
        <v>0.7</v>
      </c>
      <c r="S166" s="126" t="e">
        <f ca="1">R166*Q166</f>
        <v>#N/A</v>
      </c>
      <c r="T166" s="123">
        <v>1.43423643560375</v>
      </c>
    </row>
    <row r="167" spans="1:20" x14ac:dyDescent="0.25">
      <c r="A167" s="98" t="s">
        <v>1781</v>
      </c>
      <c r="B167" s="98" t="s">
        <v>85</v>
      </c>
      <c r="C167" s="46" t="s">
        <v>906</v>
      </c>
      <c r="D167" s="98" t="s">
        <v>456</v>
      </c>
      <c r="E167" s="98" t="s">
        <v>211</v>
      </c>
      <c r="F167" s="46" t="s">
        <v>1917</v>
      </c>
      <c r="G167" s="46" t="s">
        <v>1926</v>
      </c>
      <c r="H167" s="46" t="s">
        <v>23</v>
      </c>
      <c r="I167" s="129">
        <v>45499</v>
      </c>
      <c r="J167" s="98"/>
      <c r="K167" s="46" t="s">
        <v>1976</v>
      </c>
      <c r="L167" s="123">
        <f>VLOOKUP($C167&amp;$E167,'Updated SES'!A:N,14,0)</f>
        <v>127.11702000000001</v>
      </c>
      <c r="M167" s="124" t="e">
        <f>VLOOKUP($K167,'Genre Penetration'!A:B,2,0)*VLOOKUP($C167&amp;$E167,'Updated SES'!A:I,9,0)</f>
        <v>#N/A</v>
      </c>
      <c r="N167" s="124" t="e">
        <f>VLOOKUP(K:K,'Genre Penetration'!A:C,3,0)*VLOOKUP($C167&amp;$E167,'Updated SES'!A:J,10,0)</f>
        <v>#N/A</v>
      </c>
      <c r="O167" s="124" t="e">
        <f>VLOOKUP($B167,'Language Penetration'!$B$1:$BE$14,MATCH('Compile data Working'!#REF!,'Language Penetration'!$B$1:$BE$1,0),0)</f>
        <v>#REF!</v>
      </c>
      <c r="P167" s="124" t="str">
        <f ca="1">IF(ISBLANK(J167),RANDBETWEEN(1,2)&amp;"%",IF(J167=1,RANDBETWEEN(35,40)&amp;"%",IF(J167=2,RANDBETWEEN(30,35)&amp;"%",IF(J167=3,RANDBETWEEN(25,30)&amp;"%",IF(J167=4,RANDBETWEEN(20,25)&amp;"%",IF(J167=5,RANDBETWEEN(15,20)&amp;"%",IF(J167=6,RANDBETWEEN(10,15)&amp;"%",IF(J167=7,RANDBETWEEN(8,10)&amp;"%",IF(J167=8,RANDBETWEEN(6,8)&amp;"%",IF(J167=9,RANDBETWEEN(4,6)&amp;"%",IF(J167=10,RANDBETWEEN(2,4)&amp;"%","")))))))))))</f>
        <v>2%</v>
      </c>
      <c r="Q167" s="123" t="e">
        <f ca="1">IFERROR(L167*(M167+N167)*O167*P167,RANDBETWEEN(1,2)%*L167*(M167+N167)*O167)</f>
        <v>#N/A</v>
      </c>
      <c r="R167" s="125">
        <f>VLOOKUP(D:D,ranking!W:X,2,0)</f>
        <v>0.3</v>
      </c>
      <c r="S167" s="126" t="e">
        <f ca="1">R167*Q167</f>
        <v>#N/A</v>
      </c>
      <c r="T167" s="123">
        <v>1.4333474484677651</v>
      </c>
    </row>
    <row r="168" spans="1:20" x14ac:dyDescent="0.25">
      <c r="A168" s="98" t="s">
        <v>1781</v>
      </c>
      <c r="B168" s="98" t="s">
        <v>85</v>
      </c>
      <c r="C168" s="46" t="s">
        <v>906</v>
      </c>
      <c r="D168" s="46" t="s">
        <v>1012</v>
      </c>
      <c r="E168" s="119" t="s">
        <v>211</v>
      </c>
      <c r="F168" s="46" t="s">
        <v>215</v>
      </c>
      <c r="G168" s="46" t="s">
        <v>1966</v>
      </c>
      <c r="H168" s="46" t="s">
        <v>19</v>
      </c>
      <c r="I168" s="129">
        <v>44211</v>
      </c>
      <c r="J168" s="46"/>
      <c r="K168" s="46" t="s">
        <v>1992</v>
      </c>
      <c r="L168" s="123">
        <f>VLOOKUP($C168&amp;$E168,'Updated SES'!A:N,14,0)</f>
        <v>127.11702000000001</v>
      </c>
      <c r="M168" s="124" t="e">
        <f>VLOOKUP($K168,'Genre Penetration'!A:B,2,0)*VLOOKUP($C168&amp;$E168,'Updated SES'!A:I,9,0)</f>
        <v>#N/A</v>
      </c>
      <c r="N168" s="124" t="e">
        <f>VLOOKUP(K:K,'Genre Penetration'!A:C,3,0)*VLOOKUP($C168&amp;$E168,'Updated SES'!A:J,10,0)</f>
        <v>#N/A</v>
      </c>
      <c r="O168" s="124" t="e">
        <f>VLOOKUP($B168,'Language Penetration'!$B$1:$BE$14,MATCH('Compile data Working'!#REF!,'Language Penetration'!$B$1:$BE$1,0),0)</f>
        <v>#REF!</v>
      </c>
      <c r="P168" s="124" t="str">
        <f ca="1">IF(ISBLANK(J168),RANDBETWEEN(1,2)&amp;"%",IF(J168=1,RANDBETWEEN(35,40)&amp;"%",IF(J168=2,RANDBETWEEN(30,35)&amp;"%",IF(J168=3,RANDBETWEEN(25,30)&amp;"%",IF(J168=4,RANDBETWEEN(20,25)&amp;"%",IF(J168=5,RANDBETWEEN(15,20)&amp;"%",IF(J168=6,RANDBETWEEN(10,15)&amp;"%",IF(J168=7,RANDBETWEEN(8,10)&amp;"%",IF(J168=8,RANDBETWEEN(6,8)&amp;"%",IF(J168=9,RANDBETWEEN(4,6)&amp;"%",IF(J168=10,RANDBETWEEN(2,4)&amp;"%","")))))))))))</f>
        <v>1%</v>
      </c>
      <c r="Q168" s="123" t="e">
        <f ca="1">IFERROR(L168*(M168+N168)*O168*P168,RANDBETWEEN(1,2)%*L168*(M168+N168)*O168)</f>
        <v>#N/A</v>
      </c>
      <c r="R168" s="125">
        <f>VLOOKUP(D:D,ranking!W:X,2,0)</f>
        <v>0.6</v>
      </c>
      <c r="S168" s="126" t="e">
        <f ca="1">R168*Q168</f>
        <v>#N/A</v>
      </c>
      <c r="T168" s="123">
        <v>1.3626897756895766</v>
      </c>
    </row>
    <row r="169" spans="1:20" x14ac:dyDescent="0.25">
      <c r="A169" s="98" t="s">
        <v>1057</v>
      </c>
      <c r="B169" s="98" t="s">
        <v>85</v>
      </c>
      <c r="C169" s="98" t="s">
        <v>150</v>
      </c>
      <c r="D169" s="98" t="s">
        <v>434</v>
      </c>
      <c r="E169" s="98" t="s">
        <v>211</v>
      </c>
      <c r="F169" s="46" t="s">
        <v>213</v>
      </c>
      <c r="G169" s="46" t="s">
        <v>2104</v>
      </c>
      <c r="H169" s="98" t="s">
        <v>25</v>
      </c>
      <c r="I169" s="53">
        <v>46150</v>
      </c>
      <c r="J169" s="119">
        <v>6</v>
      </c>
      <c r="K169" s="46" t="s">
        <v>216</v>
      </c>
      <c r="L169" s="123">
        <f>VLOOKUP($C169&amp;$E169,'Updated SES'!A:N,14,0)</f>
        <v>60.152000000000001</v>
      </c>
      <c r="M169" s="124">
        <f>VLOOKUP($K169,'Genre Penetration'!A:B,2,0)*VLOOKUP($C169&amp;$E169,'Updated SES'!A:I,9,0)</f>
        <v>0.32500000000000001</v>
      </c>
      <c r="N169" s="124">
        <f>VLOOKUP(K:K,'Genre Penetration'!A:C,3,0)*VLOOKUP($C169&amp;$E169,'Updated SES'!A:J,10,0)</f>
        <v>0.17499999999999999</v>
      </c>
      <c r="O169" s="124" t="e">
        <f>VLOOKUP($B169,'Language Penetration'!$B$1:$BE$14,MATCH('Compile data Working'!#REF!,'Language Penetration'!$B$1:$BE$1,0),0)</f>
        <v>#REF!</v>
      </c>
      <c r="P169" s="124" t="str">
        <f ca="1">IF(ISBLANK(J169),RANDBETWEEN(1,2)&amp;"%",IF(J169=1,RANDBETWEEN(35,40)&amp;"%",IF(J169=2,RANDBETWEEN(30,35)&amp;"%",IF(J169=3,RANDBETWEEN(25,30)&amp;"%",IF(J169=4,RANDBETWEEN(20,25)&amp;"%",IF(J169=5,RANDBETWEEN(15,20)&amp;"%",IF(J169=6,RANDBETWEEN(10,15)&amp;"%",IF(J169=7,RANDBETWEEN(8,10)&amp;"%",IF(J169=8,RANDBETWEEN(6,8)&amp;"%",IF(J169=9,RANDBETWEEN(4,6)&amp;"%",IF(J169=10,RANDBETWEEN(2,4)&amp;"%","")))))))))))</f>
        <v>13%</v>
      </c>
      <c r="Q169" s="123" t="e">
        <f ca="1">IFERROR(L169*(M169+N169)*O169*P169,RANDBETWEEN(1,2)%*L169*(M169+N169)*O169)</f>
        <v>#REF!</v>
      </c>
      <c r="R169" s="125">
        <f>VLOOKUP(D:D,ranking!W:X,2,0)</f>
        <v>0.7</v>
      </c>
      <c r="S169" s="126" t="e">
        <f ca="1">R169*Q169</f>
        <v>#REF!</v>
      </c>
      <c r="T169" s="123">
        <v>1.34632514</v>
      </c>
    </row>
    <row r="170" spans="1:20" x14ac:dyDescent="0.25">
      <c r="A170" s="98" t="s">
        <v>1781</v>
      </c>
      <c r="B170" s="98" t="s">
        <v>85</v>
      </c>
      <c r="C170" s="46" t="s">
        <v>906</v>
      </c>
      <c r="D170" s="46" t="s">
        <v>1013</v>
      </c>
      <c r="E170" s="119" t="s">
        <v>211</v>
      </c>
      <c r="F170" s="46" t="s">
        <v>213</v>
      </c>
      <c r="G170" s="46" t="s">
        <v>1945</v>
      </c>
      <c r="H170" s="46" t="s">
        <v>19</v>
      </c>
      <c r="I170" s="129">
        <v>46136</v>
      </c>
      <c r="J170" s="46"/>
      <c r="K170" s="46" t="s">
        <v>168</v>
      </c>
      <c r="L170" s="123">
        <f>VLOOKUP($C170&amp;$E170,'Updated SES'!A:N,14,0)</f>
        <v>127.11702000000001</v>
      </c>
      <c r="M170" s="124">
        <f>VLOOKUP($K170,'Genre Penetration'!A:B,2,0)*VLOOKUP($C170&amp;$E170,'Updated SES'!A:I,9,0)</f>
        <v>0.42879999999999996</v>
      </c>
      <c r="N170" s="124">
        <f>VLOOKUP(K:K,'Genre Penetration'!A:C,3,0)*VLOOKUP($C170&amp;$E170,'Updated SES'!A:J,10,0)</f>
        <v>0.11879999999999998</v>
      </c>
      <c r="O170" s="124">
        <f>VLOOKUP($B170,'Language Penetration'!$B$1:$BE$14,MATCH('Compile data Working'!$H139,'Language Penetration'!$B$1:$BE$1,0),0)</f>
        <v>0.6</v>
      </c>
      <c r="P170" s="124" t="str">
        <f ca="1">IF(ISBLANK(J170),RANDBETWEEN(1,2)&amp;"%",IF(J170=1,RANDBETWEEN(35,40)&amp;"%",IF(J170=2,RANDBETWEEN(30,35)&amp;"%",IF(J170=3,RANDBETWEEN(25,30)&amp;"%",IF(J170=4,RANDBETWEEN(20,25)&amp;"%",IF(J170=5,RANDBETWEEN(15,20)&amp;"%",IF(J170=6,RANDBETWEEN(10,15)&amp;"%",IF(J170=7,RANDBETWEEN(8,10)&amp;"%",IF(J170=8,RANDBETWEEN(6,8)&amp;"%",IF(J170=9,RANDBETWEEN(4,6)&amp;"%",IF(J170=10,RANDBETWEEN(2,4)&amp;"%","")))))))))))</f>
        <v>1%</v>
      </c>
      <c r="Q170" s="123">
        <f ca="1">IFERROR(L170*(M170+N170)*O170*P170,RANDBETWEEN(1,2)%*L170*(M170+N170)*O170)</f>
        <v>0.41765568091199995</v>
      </c>
      <c r="R170" s="125">
        <f>VLOOKUP(D:D,ranking!W:X,2,0)</f>
        <v>0.8</v>
      </c>
      <c r="S170" s="126">
        <f ca="1">R170*Q170</f>
        <v>0.33412454472959996</v>
      </c>
      <c r="T170" s="123">
        <v>1.3203809281225711</v>
      </c>
    </row>
    <row r="171" spans="1:20" x14ac:dyDescent="0.25">
      <c r="A171" s="98" t="s">
        <v>1057</v>
      </c>
      <c r="B171" s="98" t="s">
        <v>85</v>
      </c>
      <c r="C171" s="46" t="s">
        <v>1229</v>
      </c>
      <c r="D171" s="46" t="s">
        <v>433</v>
      </c>
      <c r="E171" s="46" t="s">
        <v>219</v>
      </c>
      <c r="F171" s="46" t="s">
        <v>215</v>
      </c>
      <c r="G171" s="46" t="s">
        <v>369</v>
      </c>
      <c r="H171" s="46" t="s">
        <v>19</v>
      </c>
      <c r="I171" s="53">
        <v>46095</v>
      </c>
      <c r="J171" s="119">
        <v>7</v>
      </c>
      <c r="K171" s="46" t="s">
        <v>138</v>
      </c>
      <c r="L171" s="123">
        <f>VLOOKUP($C171&amp;$E171,'Updated SES'!A:N,14,0)</f>
        <v>78.939870000000013</v>
      </c>
      <c r="M171" s="124">
        <f>VLOOKUP($K171,'Genre Penetration'!A:B,2,0)*VLOOKUP($C171&amp;$E171,'Updated SES'!A:I,9,0)</f>
        <v>0.376</v>
      </c>
      <c r="N171" s="124">
        <f>VLOOKUP(K:K,'Genre Penetration'!A:C,3,0)*VLOOKUP($C171&amp;$E171,'Updated SES'!A:J,10,0)</f>
        <v>0.10600000000000001</v>
      </c>
      <c r="O171" s="124" t="e">
        <f>VLOOKUP($B171,'Language Penetration'!$B$1:$BE$14,MATCH('Compile data Working'!$H47,'Language Penetration'!$B$1:$BE$1,0),0)</f>
        <v>#N/A</v>
      </c>
      <c r="P171" s="124" t="str">
        <f ca="1">IF(ISBLANK(J171),RANDBETWEEN(1,2)&amp;"%",IF(J171=1,RANDBETWEEN(35,40)&amp;"%",IF(J171=2,RANDBETWEEN(30,35)&amp;"%",IF(J171=3,RANDBETWEEN(25,30)&amp;"%",IF(J171=4,RANDBETWEEN(20,25)&amp;"%",IF(J171=5,RANDBETWEEN(15,20)&amp;"%",IF(J171=6,RANDBETWEEN(10,15)&amp;"%",IF(J171=7,RANDBETWEEN(8,10)&amp;"%",IF(J171=8,RANDBETWEEN(6,8)&amp;"%",IF(J171=9,RANDBETWEEN(4,6)&amp;"%",IF(J171=10,RANDBETWEEN(2,4)&amp;"%","")))))))))))</f>
        <v>8%</v>
      </c>
      <c r="Q171" s="123" t="e">
        <f ca="1">IFERROR(L171*(M171+N171)*O171*P171,RANDBETWEEN(1,2)%*L171*(M171+N171)*O171)</f>
        <v>#N/A</v>
      </c>
      <c r="R171" s="125">
        <f>VLOOKUP(D:D,ranking!W:X,2,0)</f>
        <v>0.6</v>
      </c>
      <c r="S171" s="126" t="e">
        <f ca="1">R171*Q171</f>
        <v>#N/A</v>
      </c>
      <c r="T171" s="123">
        <v>1.2197472239998</v>
      </c>
    </row>
    <row r="172" spans="1:20" x14ac:dyDescent="0.25">
      <c r="A172" s="98" t="s">
        <v>1781</v>
      </c>
      <c r="B172" s="98" t="s">
        <v>85</v>
      </c>
      <c r="C172" s="46" t="s">
        <v>879</v>
      </c>
      <c r="D172" s="46" t="s">
        <v>1854</v>
      </c>
      <c r="E172" s="98" t="s">
        <v>219</v>
      </c>
      <c r="F172" s="46" t="s">
        <v>215</v>
      </c>
      <c r="G172" s="46" t="s">
        <v>1963</v>
      </c>
      <c r="H172" s="46" t="s">
        <v>19</v>
      </c>
      <c r="I172" s="129">
        <v>44174</v>
      </c>
      <c r="J172" s="46"/>
      <c r="K172" s="46" t="s">
        <v>1084</v>
      </c>
      <c r="L172" s="123">
        <f>VLOOKUP($C172&amp;$E172,'Updated SES'!A:N,14,0)</f>
        <v>78.939870000000013</v>
      </c>
      <c r="M172" s="124">
        <f>VLOOKUP($K172,'Genre Penetration'!A:B,2,0)*VLOOKUP($C172&amp;$E172,'Updated SES'!A:I,9,0)</f>
        <v>0.4</v>
      </c>
      <c r="N172" s="124">
        <f>VLOOKUP(K:K,'Genre Penetration'!A:C,3,0)*VLOOKUP($C172&amp;$E172,'Updated SES'!A:J,10,0)</f>
        <v>0.1</v>
      </c>
      <c r="O172" s="124" t="e">
        <f>VLOOKUP($B172,'Language Penetration'!$B$1:$BE$14,MATCH('Compile data Working'!#REF!,'Language Penetration'!$B$1:$BE$1,0),0)</f>
        <v>#REF!</v>
      </c>
      <c r="P172" s="124" t="str">
        <f ca="1">IF(ISBLANK(J172),RANDBETWEEN(1,2)&amp;"%",IF(J172=1,RANDBETWEEN(35,40)&amp;"%",IF(J172=2,RANDBETWEEN(30,35)&amp;"%",IF(J172=3,RANDBETWEEN(25,30)&amp;"%",IF(J172=4,RANDBETWEEN(20,25)&amp;"%",IF(J172=5,RANDBETWEEN(15,20)&amp;"%",IF(J172=6,RANDBETWEEN(10,15)&amp;"%",IF(J172=7,RANDBETWEEN(8,10)&amp;"%",IF(J172=8,RANDBETWEEN(6,8)&amp;"%",IF(J172=9,RANDBETWEEN(4,6)&amp;"%",IF(J172=10,RANDBETWEEN(2,4)&amp;"%","")))))))))))</f>
        <v>2%</v>
      </c>
      <c r="Q172" s="123" t="e">
        <f ca="1">IFERROR(L172*(M172+N172)*O172*P172,RANDBETWEEN(1,2)%*L172*(M172+N172)*O172)</f>
        <v>#REF!</v>
      </c>
      <c r="R172" s="125">
        <f>VLOOKUP(D:D,ranking!W:X,2,0)</f>
        <v>0.6</v>
      </c>
      <c r="S172" s="126" t="e">
        <f ca="1">R172*Q172</f>
        <v>#REF!</v>
      </c>
      <c r="T172" s="123">
        <v>1.2119311086903823</v>
      </c>
    </row>
    <row r="173" spans="1:20" x14ac:dyDescent="0.25">
      <c r="A173" s="98" t="s">
        <v>1781</v>
      </c>
      <c r="B173" s="98" t="s">
        <v>85</v>
      </c>
      <c r="C173" s="46" t="s">
        <v>64</v>
      </c>
      <c r="D173" s="46" t="s">
        <v>1013</v>
      </c>
      <c r="E173" s="119" t="s">
        <v>211</v>
      </c>
      <c r="F173" s="46" t="s">
        <v>213</v>
      </c>
      <c r="G173" s="98" t="s">
        <v>1916</v>
      </c>
      <c r="H173" s="46" t="s">
        <v>1967</v>
      </c>
      <c r="I173" s="129">
        <v>46050</v>
      </c>
      <c r="J173" s="119"/>
      <c r="K173" s="46" t="s">
        <v>216</v>
      </c>
      <c r="L173" s="123">
        <f>VLOOKUP($C173&amp;$E173,'Updated SES'!A:N,14,0)</f>
        <v>36.498239999999996</v>
      </c>
      <c r="M173" s="124">
        <f>VLOOKUP($K173,'Genre Penetration'!A:B,2,0)*VLOOKUP($C173&amp;$E173,'Updated SES'!A:I,9,0)</f>
        <v>0.26</v>
      </c>
      <c r="N173" s="124">
        <f>VLOOKUP(K:K,'Genre Penetration'!A:C,3,0)*VLOOKUP($C173&amp;$E173,'Updated SES'!A:J,10,0)</f>
        <v>0.24</v>
      </c>
      <c r="O173" s="124" t="e">
        <f>VLOOKUP($B173,'Language Penetration'!$B$1:$BE$14,MATCH('Compile data Working'!$H38,'Language Penetration'!$B$1:$BE$1,0),0)</f>
        <v>#N/A</v>
      </c>
      <c r="P173" s="124" t="str">
        <f ca="1">IF(ISBLANK(J173),RANDBETWEEN(1,2)&amp;"%",IF(J173=1,RANDBETWEEN(35,40)&amp;"%",IF(J173=2,RANDBETWEEN(30,35)&amp;"%",IF(J173=3,RANDBETWEEN(25,30)&amp;"%",IF(J173=4,RANDBETWEEN(20,25)&amp;"%",IF(J173=5,RANDBETWEEN(15,20)&amp;"%",IF(J173=6,RANDBETWEEN(10,15)&amp;"%",IF(J173=7,RANDBETWEEN(8,10)&amp;"%",IF(J173=8,RANDBETWEEN(6,8)&amp;"%",IF(J173=9,RANDBETWEEN(4,6)&amp;"%",IF(J173=10,RANDBETWEEN(2,4)&amp;"%","")))))))))))</f>
        <v>1%</v>
      </c>
      <c r="Q173" s="123" t="e">
        <f ca="1">IFERROR(L173*(M173+N173)*O173*P173,RANDBETWEEN(1,2)%*L173*(M173+N173)*O173)</f>
        <v>#N/A</v>
      </c>
      <c r="R173" s="125">
        <f>VLOOKUP(D:D,ranking!W:X,2,0)</f>
        <v>0.8</v>
      </c>
      <c r="S173" s="126" t="e">
        <f ca="1">R173*Q173</f>
        <v>#N/A</v>
      </c>
      <c r="T173" s="123">
        <v>1.190159880237339</v>
      </c>
    </row>
    <row r="174" spans="1:20" x14ac:dyDescent="0.25">
      <c r="A174" s="98" t="s">
        <v>1781</v>
      </c>
      <c r="B174" s="98" t="s">
        <v>85</v>
      </c>
      <c r="C174" s="46" t="s">
        <v>906</v>
      </c>
      <c r="D174" s="46" t="s">
        <v>1013</v>
      </c>
      <c r="E174" s="119" t="s">
        <v>211</v>
      </c>
      <c r="F174" s="46" t="s">
        <v>213</v>
      </c>
      <c r="G174" s="46" t="s">
        <v>1922</v>
      </c>
      <c r="H174" s="46" t="s">
        <v>19</v>
      </c>
      <c r="I174" s="129">
        <v>44785</v>
      </c>
      <c r="J174" s="119"/>
      <c r="K174" s="46" t="s">
        <v>1973</v>
      </c>
      <c r="L174" s="123">
        <f>VLOOKUP($C174&amp;$E174,'Updated SES'!A:N,14,0)</f>
        <v>127.11702000000001</v>
      </c>
      <c r="M174" s="124" t="e">
        <f>VLOOKUP($K174,'Genre Penetration'!A:B,2,0)*VLOOKUP($C174&amp;$E174,'Updated SES'!A:I,9,0)</f>
        <v>#N/A</v>
      </c>
      <c r="N174" s="124" t="e">
        <f>VLOOKUP(K:K,'Genre Penetration'!A:C,3,0)*VLOOKUP($C174&amp;$E174,'Updated SES'!A:J,10,0)</f>
        <v>#N/A</v>
      </c>
      <c r="O174" s="124">
        <f>VLOOKUP($B174,'Language Penetration'!$B$1:$BE$14,MATCH('Compile data Working'!$H16,'Language Penetration'!$B$1:$BE$1,0),0)</f>
        <v>0.2</v>
      </c>
      <c r="P174" s="124" t="str">
        <f ca="1">IF(ISBLANK(J174),RANDBETWEEN(1,2)&amp;"%",IF(J174=1,RANDBETWEEN(35,40)&amp;"%",IF(J174=2,RANDBETWEEN(30,35)&amp;"%",IF(J174=3,RANDBETWEEN(25,30)&amp;"%",IF(J174=4,RANDBETWEEN(20,25)&amp;"%",IF(J174=5,RANDBETWEEN(15,20)&amp;"%",IF(J174=6,RANDBETWEEN(10,15)&amp;"%",IF(J174=7,RANDBETWEEN(8,10)&amp;"%",IF(J174=8,RANDBETWEEN(6,8)&amp;"%",IF(J174=9,RANDBETWEEN(4,6)&amp;"%",IF(J174=10,RANDBETWEEN(2,4)&amp;"%","")))))))))))</f>
        <v>2%</v>
      </c>
      <c r="Q174" s="123" t="e">
        <f ca="1">IFERROR(L174*(M174+N174)*O174*P174,RANDBETWEEN(1,2)%*L174*(M174+N174)*O174)</f>
        <v>#N/A</v>
      </c>
      <c r="R174" s="125">
        <f>VLOOKUP(D:D,ranking!W:X,2,0)</f>
        <v>0.8</v>
      </c>
      <c r="S174" s="126" t="e">
        <f ca="1">R174*Q174</f>
        <v>#N/A</v>
      </c>
      <c r="T174" s="123">
        <v>1.1855504603369074</v>
      </c>
    </row>
    <row r="175" spans="1:20" x14ac:dyDescent="0.25">
      <c r="A175" s="98" t="s">
        <v>1781</v>
      </c>
      <c r="B175" s="98" t="s">
        <v>85</v>
      </c>
      <c r="C175" s="46" t="s">
        <v>49</v>
      </c>
      <c r="D175" s="46" t="s">
        <v>1012</v>
      </c>
      <c r="E175" s="119" t="s">
        <v>211</v>
      </c>
      <c r="F175" s="46" t="s">
        <v>215</v>
      </c>
      <c r="G175" s="98" t="s">
        <v>1947</v>
      </c>
      <c r="H175" s="46" t="s">
        <v>23</v>
      </c>
      <c r="I175" s="129">
        <v>46080</v>
      </c>
      <c r="J175" s="46"/>
      <c r="K175" s="46" t="s">
        <v>1985</v>
      </c>
      <c r="L175" s="123">
        <f>VLOOKUP($C175&amp;$E175,'Updated SES'!A:N,14,0)</f>
        <v>12.626640000000002</v>
      </c>
      <c r="M175" s="124" t="e">
        <f>VLOOKUP($K175,'Genre Penetration'!A:B,2,0)*VLOOKUP($C175&amp;$E175,'Updated SES'!A:I,9,0)</f>
        <v>#N/A</v>
      </c>
      <c r="N175" s="124" t="e">
        <f>VLOOKUP(K:K,'Genre Penetration'!A:C,3,0)*VLOOKUP($C175&amp;$E175,'Updated SES'!A:J,10,0)</f>
        <v>#N/A</v>
      </c>
      <c r="O175" s="124">
        <f>VLOOKUP($B175,'Language Penetration'!$B$1:$BE$14,MATCH('Compile data Working'!$H179,'Language Penetration'!$B$1:$BE$1,0),0)</f>
        <v>0.12</v>
      </c>
      <c r="P175" s="124" t="str">
        <f ca="1">IF(ISBLANK(J175),RANDBETWEEN(1,2)&amp;"%",IF(J175=1,RANDBETWEEN(35,40)&amp;"%",IF(J175=2,RANDBETWEEN(30,35)&amp;"%",IF(J175=3,RANDBETWEEN(25,30)&amp;"%",IF(J175=4,RANDBETWEEN(20,25)&amp;"%",IF(J175=5,RANDBETWEEN(15,20)&amp;"%",IF(J175=6,RANDBETWEEN(10,15)&amp;"%",IF(J175=7,RANDBETWEEN(8,10)&amp;"%",IF(J175=8,RANDBETWEEN(6,8)&amp;"%",IF(J175=9,RANDBETWEEN(4,6)&amp;"%",IF(J175=10,RANDBETWEEN(2,4)&amp;"%","")))))))))))</f>
        <v>2%</v>
      </c>
      <c r="Q175" s="123" t="e">
        <f ca="1">IFERROR(L175*(M175+N175)*O175*P175,RANDBETWEEN(1,2)%*L175*(M175+N175)*O175)</f>
        <v>#N/A</v>
      </c>
      <c r="R175" s="125">
        <f>VLOOKUP(D:D,ranking!W:X,2,0)</f>
        <v>0.6</v>
      </c>
      <c r="S175" s="126" t="e">
        <f ca="1">R175*Q175</f>
        <v>#N/A</v>
      </c>
      <c r="T175" s="123">
        <v>1.1810013348058579</v>
      </c>
    </row>
    <row r="176" spans="1:20" x14ac:dyDescent="0.25">
      <c r="A176" s="98" t="s">
        <v>1781</v>
      </c>
      <c r="B176" s="98" t="s">
        <v>85</v>
      </c>
      <c r="C176" s="46" t="s">
        <v>906</v>
      </c>
      <c r="D176" s="46" t="s">
        <v>1012</v>
      </c>
      <c r="E176" s="119" t="s">
        <v>211</v>
      </c>
      <c r="F176" s="46" t="s">
        <v>215</v>
      </c>
      <c r="G176" s="46" t="s">
        <v>1921</v>
      </c>
      <c r="H176" s="46" t="s">
        <v>1968</v>
      </c>
      <c r="I176" s="129">
        <v>45303</v>
      </c>
      <c r="J176" s="119"/>
      <c r="K176" s="46" t="s">
        <v>1972</v>
      </c>
      <c r="L176" s="123">
        <f>VLOOKUP($C176&amp;$E176,'Updated SES'!A:N,14,0)</f>
        <v>127.11702000000001</v>
      </c>
      <c r="M176" s="124" t="e">
        <f>VLOOKUP($K176,'Genre Penetration'!A:B,2,0)*VLOOKUP($C176&amp;$E176,'Updated SES'!A:I,9,0)</f>
        <v>#N/A</v>
      </c>
      <c r="N176" s="124" t="e">
        <f>VLOOKUP(K:K,'Genre Penetration'!A:C,3,0)*VLOOKUP($C176&amp;$E176,'Updated SES'!A:J,10,0)</f>
        <v>#N/A</v>
      </c>
      <c r="O176" s="124">
        <f>VLOOKUP($B176,'Language Penetration'!$B$1:$BE$14,MATCH('Compile data Working'!$H230,'Language Penetration'!$B$1:$BE$1,0),0)</f>
        <v>0.6</v>
      </c>
      <c r="P176" s="124" t="str">
        <f ca="1">IF(ISBLANK(J176),RANDBETWEEN(1,2)&amp;"%",IF(J176=1,RANDBETWEEN(35,40)&amp;"%",IF(J176=2,RANDBETWEEN(30,35)&amp;"%",IF(J176=3,RANDBETWEEN(25,30)&amp;"%",IF(J176=4,RANDBETWEEN(20,25)&amp;"%",IF(J176=5,RANDBETWEEN(15,20)&amp;"%",IF(J176=6,RANDBETWEEN(10,15)&amp;"%",IF(J176=7,RANDBETWEEN(8,10)&amp;"%",IF(J176=8,RANDBETWEEN(6,8)&amp;"%",IF(J176=9,RANDBETWEEN(4,6)&amp;"%",IF(J176=10,RANDBETWEEN(2,4)&amp;"%","")))))))))))</f>
        <v>1%</v>
      </c>
      <c r="Q176" s="123" t="e">
        <f ca="1">IFERROR(L176*(M176+N176)*O176*P176,RANDBETWEEN(1,2)%*L176*(M176+N176)*O176)</f>
        <v>#N/A</v>
      </c>
      <c r="R176" s="125">
        <f>VLOOKUP(D:D,ranking!W:X,2,0)</f>
        <v>0.6</v>
      </c>
      <c r="S176" s="126" t="e">
        <f ca="1">R176*Q176</f>
        <v>#N/A</v>
      </c>
      <c r="T176" s="123">
        <v>1.1726789403566753</v>
      </c>
    </row>
    <row r="177" spans="1:20" x14ac:dyDescent="0.25">
      <c r="A177" s="98" t="s">
        <v>1781</v>
      </c>
      <c r="B177" s="98" t="s">
        <v>85</v>
      </c>
      <c r="C177" s="46" t="s">
        <v>906</v>
      </c>
      <c r="D177" s="46" t="s">
        <v>1012</v>
      </c>
      <c r="E177" s="119" t="s">
        <v>211</v>
      </c>
      <c r="F177" s="46" t="s">
        <v>215</v>
      </c>
      <c r="G177" s="46" t="s">
        <v>1958</v>
      </c>
      <c r="H177" s="46" t="s">
        <v>19</v>
      </c>
      <c r="I177" s="129">
        <v>44274</v>
      </c>
      <c r="J177" s="46"/>
      <c r="K177" s="46" t="s">
        <v>1990</v>
      </c>
      <c r="L177" s="123">
        <f>VLOOKUP($C177&amp;$E177,'Updated SES'!A:N,14,0)</f>
        <v>127.11702000000001</v>
      </c>
      <c r="M177" s="124" t="e">
        <f>VLOOKUP($K177,'Genre Penetration'!A:B,2,0)*VLOOKUP($C177&amp;$E177,'Updated SES'!A:I,9,0)</f>
        <v>#N/A</v>
      </c>
      <c r="N177" s="124" t="e">
        <f>VLOOKUP(K:K,'Genre Penetration'!A:C,3,0)*VLOOKUP($C177&amp;$E177,'Updated SES'!A:J,10,0)</f>
        <v>#N/A</v>
      </c>
      <c r="O177" s="124">
        <f>VLOOKUP($B177,'Language Penetration'!$B$1:$BE$14,MATCH('Compile data Working'!$H222,'Language Penetration'!$B$1:$BE$1,0),0)</f>
        <v>0.2</v>
      </c>
      <c r="P177" s="124" t="str">
        <f ca="1">IF(ISBLANK(J177),RANDBETWEEN(1,2)&amp;"%",IF(J177=1,RANDBETWEEN(35,40)&amp;"%",IF(J177=2,RANDBETWEEN(30,35)&amp;"%",IF(J177=3,RANDBETWEEN(25,30)&amp;"%",IF(J177=4,RANDBETWEEN(20,25)&amp;"%",IF(J177=5,RANDBETWEEN(15,20)&amp;"%",IF(J177=6,RANDBETWEEN(10,15)&amp;"%",IF(J177=7,RANDBETWEEN(8,10)&amp;"%",IF(J177=8,RANDBETWEEN(6,8)&amp;"%",IF(J177=9,RANDBETWEEN(4,6)&amp;"%",IF(J177=10,RANDBETWEEN(2,4)&amp;"%","")))))))))))</f>
        <v>1%</v>
      </c>
      <c r="Q177" s="123" t="e">
        <f ca="1">IFERROR(L177*(M177+N177)*O177*P177,RANDBETWEEN(1,2)%*L177*(M177+N177)*O177)</f>
        <v>#N/A</v>
      </c>
      <c r="R177" s="125">
        <f>VLOOKUP(D:D,ranking!W:X,2,0)</f>
        <v>0.6</v>
      </c>
      <c r="S177" s="126" t="e">
        <f ca="1">R177*Q177</f>
        <v>#N/A</v>
      </c>
      <c r="T177" s="123">
        <v>1.1614604373083528</v>
      </c>
    </row>
    <row r="178" spans="1:20" x14ac:dyDescent="0.25">
      <c r="A178" s="98" t="s">
        <v>1057</v>
      </c>
      <c r="B178" s="98" t="s">
        <v>85</v>
      </c>
      <c r="C178" s="98" t="s">
        <v>132</v>
      </c>
      <c r="D178" s="98" t="s">
        <v>456</v>
      </c>
      <c r="E178" s="98" t="s">
        <v>211</v>
      </c>
      <c r="F178" s="46" t="s">
        <v>1917</v>
      </c>
      <c r="G178" s="98" t="s">
        <v>1843</v>
      </c>
      <c r="H178" s="98" t="s">
        <v>19</v>
      </c>
      <c r="I178" s="106">
        <v>46118</v>
      </c>
      <c r="J178" s="119">
        <v>6</v>
      </c>
      <c r="K178" s="98" t="s">
        <v>216</v>
      </c>
      <c r="L178" s="123">
        <f>VLOOKUP($C178&amp;$E178,'Updated SES'!A:N,14,0)</f>
        <v>21.682040000000004</v>
      </c>
      <c r="M178" s="124">
        <f>VLOOKUP($K178,'Genre Penetration'!A:B,2,0)*VLOOKUP($C178&amp;$E178,'Updated SES'!A:I,9,0)</f>
        <v>0.32500000000000001</v>
      </c>
      <c r="N178" s="124">
        <f>VLOOKUP(K:K,'Genre Penetration'!A:C,3,0)*VLOOKUP($C178&amp;$E178,'Updated SES'!A:J,10,0)</f>
        <v>0.17499999999999999</v>
      </c>
      <c r="O178" s="124" t="e">
        <f>VLOOKUP($B178,'Language Penetration'!$B$1:$BE$14,MATCH('Compile data Working'!#REF!,'Language Penetration'!$B$1:$BE$1,0),0)</f>
        <v>#REF!</v>
      </c>
      <c r="P178" s="124" t="str">
        <f ca="1">IF(ISBLANK(J178),RANDBETWEEN(1,2)&amp;"%",IF(J178=1,RANDBETWEEN(35,40)&amp;"%",IF(J178=2,RANDBETWEEN(30,35)&amp;"%",IF(J178=3,RANDBETWEEN(25,30)&amp;"%",IF(J178=4,RANDBETWEEN(20,25)&amp;"%",IF(J178=5,RANDBETWEEN(15,20)&amp;"%",IF(J178=6,RANDBETWEEN(10,15)&amp;"%",IF(J178=7,RANDBETWEEN(8,10)&amp;"%",IF(J178=8,RANDBETWEEN(6,8)&amp;"%",IF(J178=9,RANDBETWEEN(4,6)&amp;"%",IF(J178=10,RANDBETWEEN(2,4)&amp;"%","")))))))))))</f>
        <v>12%</v>
      </c>
      <c r="Q178" s="123" t="e">
        <f ca="1">IFERROR(L178*(M178+N178)*O178*P178,RANDBETWEEN(1,2)%*L178*(M178+N178)*O178)</f>
        <v>#REF!</v>
      </c>
      <c r="R178" s="125">
        <f>VLOOKUP(D:D,ranking!W:X,2,0)</f>
        <v>0.3</v>
      </c>
      <c r="S178" s="126" t="e">
        <f ca="1">R178*Q178</f>
        <v>#REF!</v>
      </c>
      <c r="T178" s="123">
        <v>1.148398932790947</v>
      </c>
    </row>
    <row r="179" spans="1:20" x14ac:dyDescent="0.25">
      <c r="A179" s="98" t="s">
        <v>1781</v>
      </c>
      <c r="B179" s="98" t="s">
        <v>85</v>
      </c>
      <c r="C179" s="46" t="s">
        <v>906</v>
      </c>
      <c r="D179" s="98" t="s">
        <v>456</v>
      </c>
      <c r="E179" s="98" t="s">
        <v>211</v>
      </c>
      <c r="F179" s="46" t="s">
        <v>1917</v>
      </c>
      <c r="G179" s="134" t="s">
        <v>1954</v>
      </c>
      <c r="H179" s="46" t="s">
        <v>29</v>
      </c>
      <c r="I179" s="129">
        <v>45317</v>
      </c>
      <c r="J179" s="133"/>
      <c r="K179" s="46" t="s">
        <v>216</v>
      </c>
      <c r="L179" s="123">
        <f>VLOOKUP($C179&amp;$E179,'Updated SES'!A:N,14,0)</f>
        <v>127.11702000000001</v>
      </c>
      <c r="M179" s="124">
        <f>VLOOKUP($K179,'Genre Penetration'!A:B,2,0)*VLOOKUP($C179&amp;$E179,'Updated SES'!A:I,9,0)</f>
        <v>0.33499999999999996</v>
      </c>
      <c r="N179" s="124">
        <f>VLOOKUP(K:K,'Genre Penetration'!A:C,3,0)*VLOOKUP($C179&amp;$E179,'Updated SES'!A:J,10,0)</f>
        <v>0.16499999999999998</v>
      </c>
      <c r="O179" s="124" t="e">
        <f>VLOOKUP($B179,'Language Penetration'!$B$1:$BE$14,MATCH('Compile data Working'!#REF!,'Language Penetration'!$B$1:$BE$1,0),0)</f>
        <v>#REF!</v>
      </c>
      <c r="P179" s="124" t="str">
        <f ca="1">IF(ISBLANK(J179),RANDBETWEEN(1,2)&amp;"%",IF(J179=1,RANDBETWEEN(35,40)&amp;"%",IF(J179=2,RANDBETWEEN(30,35)&amp;"%",IF(J179=3,RANDBETWEEN(25,30)&amp;"%",IF(J179=4,RANDBETWEEN(20,25)&amp;"%",IF(J179=5,RANDBETWEEN(15,20)&amp;"%",IF(J179=6,RANDBETWEEN(10,15)&amp;"%",IF(J179=7,RANDBETWEEN(8,10)&amp;"%",IF(J179=8,RANDBETWEEN(6,8)&amp;"%",IF(J179=9,RANDBETWEEN(4,6)&amp;"%",IF(J179=10,RANDBETWEEN(2,4)&amp;"%","")))))))))))</f>
        <v>1%</v>
      </c>
      <c r="Q179" s="123" t="e">
        <f ca="1">IFERROR(L179*(M179+N179)*O179*P179,RANDBETWEEN(1,2)%*L179*(M179+N179)*O179)</f>
        <v>#REF!</v>
      </c>
      <c r="R179" s="125">
        <f>VLOOKUP(D:D,ranking!W:X,2,0)</f>
        <v>0.3</v>
      </c>
      <c r="S179" s="126" t="e">
        <f ca="1">R179*Q179</f>
        <v>#REF!</v>
      </c>
      <c r="T179" s="123">
        <v>1.1270004758812799</v>
      </c>
    </row>
    <row r="180" spans="1:20" x14ac:dyDescent="0.25">
      <c r="A180" s="98" t="s">
        <v>1781</v>
      </c>
      <c r="B180" s="98" t="s">
        <v>85</v>
      </c>
      <c r="C180" s="46" t="s">
        <v>906</v>
      </c>
      <c r="D180" s="98" t="s">
        <v>456</v>
      </c>
      <c r="E180" s="98" t="s">
        <v>211</v>
      </c>
      <c r="F180" s="46" t="s">
        <v>1917</v>
      </c>
      <c r="G180" s="134" t="s">
        <v>1901</v>
      </c>
      <c r="H180" s="46" t="s">
        <v>19</v>
      </c>
      <c r="I180" s="129">
        <v>46132</v>
      </c>
      <c r="J180" s="133"/>
      <c r="K180" s="46" t="s">
        <v>970</v>
      </c>
      <c r="L180" s="123">
        <f>VLOOKUP($C180&amp;$E180,'Updated SES'!A:N,14,0)</f>
        <v>127.11702000000001</v>
      </c>
      <c r="M180" s="124">
        <f>VLOOKUP($K180,'Genre Penetration'!A:B,2,0)*VLOOKUP($C180&amp;$E180,'Updated SES'!A:I,9,0)</f>
        <v>0.33499999999999996</v>
      </c>
      <c r="N180" s="124">
        <f>VLOOKUP(K:K,'Genre Penetration'!A:C,3,0)*VLOOKUP($C180&amp;$E180,'Updated SES'!A:J,10,0)</f>
        <v>0.16499999999999998</v>
      </c>
      <c r="O180" s="124">
        <f>VLOOKUP($B180,'Language Penetration'!$B$1:$BE$14,MATCH('Compile data Working'!$H133,'Language Penetration'!$B$1:$BE$1,0),0)</f>
        <v>0.12</v>
      </c>
      <c r="P180" s="124" t="str">
        <f ca="1">IF(ISBLANK(J180),RANDBETWEEN(1,2)&amp;"%",IF(J180=1,RANDBETWEEN(35,40)&amp;"%",IF(J180=2,RANDBETWEEN(30,35)&amp;"%",IF(J180=3,RANDBETWEEN(25,30)&amp;"%",IF(J180=4,RANDBETWEEN(20,25)&amp;"%",IF(J180=5,RANDBETWEEN(15,20)&amp;"%",IF(J180=6,RANDBETWEEN(10,15)&amp;"%",IF(J180=7,RANDBETWEEN(8,10)&amp;"%",IF(J180=8,RANDBETWEEN(6,8)&amp;"%",IF(J180=9,RANDBETWEEN(4,6)&amp;"%",IF(J180=10,RANDBETWEEN(2,4)&amp;"%","")))))))))))</f>
        <v>2%</v>
      </c>
      <c r="Q180" s="123">
        <f ca="1">IFERROR(L180*(M180+N180)*O180*P180,RANDBETWEEN(1,2)%*L180*(M180+N180)*O180)</f>
        <v>0.15254042400000001</v>
      </c>
      <c r="R180" s="125">
        <f>VLOOKUP(D:D,ranking!W:X,2,0)</f>
        <v>0.3</v>
      </c>
      <c r="S180" s="126">
        <f ca="1">R180*Q180</f>
        <v>4.5762127200000002E-2</v>
      </c>
      <c r="T180" s="123">
        <v>1.1087972328960001</v>
      </c>
    </row>
    <row r="181" spans="1:20" x14ac:dyDescent="0.25">
      <c r="A181" s="98" t="s">
        <v>1781</v>
      </c>
      <c r="B181" s="98" t="s">
        <v>85</v>
      </c>
      <c r="C181" s="46" t="s">
        <v>906</v>
      </c>
      <c r="D181" s="46" t="s">
        <v>1013</v>
      </c>
      <c r="E181" s="119" t="s">
        <v>211</v>
      </c>
      <c r="F181" s="46" t="s">
        <v>213</v>
      </c>
      <c r="G181" s="134" t="s">
        <v>1961</v>
      </c>
      <c r="H181" s="46" t="s">
        <v>19</v>
      </c>
      <c r="I181" s="129">
        <v>43858</v>
      </c>
      <c r="J181" s="133"/>
      <c r="K181" s="46" t="s">
        <v>1991</v>
      </c>
      <c r="L181" s="123">
        <f>VLOOKUP($C181&amp;$E181,'Updated SES'!A:N,14,0)</f>
        <v>127.11702000000001</v>
      </c>
      <c r="M181" s="124" t="e">
        <f>VLOOKUP($K181,'Genre Penetration'!A:B,2,0)*VLOOKUP($C181&amp;$E181,'Updated SES'!A:I,9,0)</f>
        <v>#N/A</v>
      </c>
      <c r="N181" s="124" t="e">
        <f>VLOOKUP(K:K,'Genre Penetration'!A:C,3,0)*VLOOKUP($C181&amp;$E181,'Updated SES'!A:J,10,0)</f>
        <v>#N/A</v>
      </c>
      <c r="O181" s="124" t="e">
        <f>VLOOKUP($B181,'Language Penetration'!$B$1:$BE$14,MATCH('Compile data Working'!#REF!,'Language Penetration'!$B$1:$BE$1,0),0)</f>
        <v>#REF!</v>
      </c>
      <c r="P181" s="124" t="str">
        <f ca="1">IF(ISBLANK(J181),RANDBETWEEN(1,2)&amp;"%",IF(J181=1,RANDBETWEEN(35,40)&amp;"%",IF(J181=2,RANDBETWEEN(30,35)&amp;"%",IF(J181=3,RANDBETWEEN(25,30)&amp;"%",IF(J181=4,RANDBETWEEN(20,25)&amp;"%",IF(J181=5,RANDBETWEEN(15,20)&amp;"%",IF(J181=6,RANDBETWEEN(10,15)&amp;"%",IF(J181=7,RANDBETWEEN(8,10)&amp;"%",IF(J181=8,RANDBETWEEN(6,8)&amp;"%",IF(J181=9,RANDBETWEEN(4,6)&amp;"%",IF(J181=10,RANDBETWEEN(2,4)&amp;"%","")))))))))))</f>
        <v>2%</v>
      </c>
      <c r="Q181" s="123" t="e">
        <f ca="1">IFERROR(L181*(M181+N181)*O181*P181,RANDBETWEEN(1,2)%*L181*(M181+N181)*O181)</f>
        <v>#N/A</v>
      </c>
      <c r="R181" s="125">
        <f>VLOOKUP(D:D,ranking!W:X,2,0)</f>
        <v>0.8</v>
      </c>
      <c r="S181" s="126" t="e">
        <f ca="1">R181*Q181</f>
        <v>#N/A</v>
      </c>
      <c r="T181" s="123">
        <v>1.1029693712215247</v>
      </c>
    </row>
    <row r="182" spans="1:20" x14ac:dyDescent="0.25">
      <c r="A182" s="98" t="s">
        <v>1781</v>
      </c>
      <c r="B182" s="98" t="s">
        <v>85</v>
      </c>
      <c r="C182" s="46" t="s">
        <v>123</v>
      </c>
      <c r="D182" s="46" t="s">
        <v>1012</v>
      </c>
      <c r="E182" s="119" t="s">
        <v>211</v>
      </c>
      <c r="F182" s="46" t="s">
        <v>215</v>
      </c>
      <c r="G182" s="134" t="s">
        <v>1956</v>
      </c>
      <c r="H182" s="46" t="s">
        <v>19</v>
      </c>
      <c r="I182" s="129">
        <v>42678</v>
      </c>
      <c r="J182" s="133"/>
      <c r="K182" s="46" t="s">
        <v>1989</v>
      </c>
      <c r="L182" s="123">
        <f>VLOOKUP($C182&amp;$E182,'Updated SES'!A:N,14,0)</f>
        <v>55.459200000000003</v>
      </c>
      <c r="M182" s="124" t="e">
        <f>VLOOKUP($K182,'Genre Penetration'!A:B,2,0)*VLOOKUP($C182&amp;$E182,'Updated SES'!A:I,9,0)</f>
        <v>#N/A</v>
      </c>
      <c r="N182" s="124" t="e">
        <f>VLOOKUP(K:K,'Genre Penetration'!A:C,3,0)*VLOOKUP($C182&amp;$E182,'Updated SES'!A:J,10,0)</f>
        <v>#N/A</v>
      </c>
      <c r="O182" s="124">
        <f>VLOOKUP($B182,'Language Penetration'!$B$1:$BE$14,MATCH('Compile data Working'!$H217,'Language Penetration'!$B$1:$BE$1,0),0)</f>
        <v>0.12</v>
      </c>
      <c r="P182" s="124" t="str">
        <f ca="1">IF(ISBLANK(J182),RANDBETWEEN(1,2)&amp;"%",IF(J182=1,RANDBETWEEN(35,40)&amp;"%",IF(J182=2,RANDBETWEEN(30,35)&amp;"%",IF(J182=3,RANDBETWEEN(25,30)&amp;"%",IF(J182=4,RANDBETWEEN(20,25)&amp;"%",IF(J182=5,RANDBETWEEN(15,20)&amp;"%",IF(J182=6,RANDBETWEEN(10,15)&amp;"%",IF(J182=7,RANDBETWEEN(8,10)&amp;"%",IF(J182=8,RANDBETWEEN(6,8)&amp;"%",IF(J182=9,RANDBETWEEN(4,6)&amp;"%",IF(J182=10,RANDBETWEEN(2,4)&amp;"%","")))))))))))</f>
        <v>2%</v>
      </c>
      <c r="Q182" s="123" t="e">
        <f ca="1">IFERROR(L182*(M182+N182)*O182*P182,RANDBETWEEN(1,2)%*L182*(M182+N182)*O182)</f>
        <v>#N/A</v>
      </c>
      <c r="R182" s="125">
        <f>VLOOKUP(D:D,ranking!W:X,2,0)</f>
        <v>0.6</v>
      </c>
      <c r="S182" s="126" t="e">
        <f ca="1">R182*Q182</f>
        <v>#N/A</v>
      </c>
      <c r="T182" s="123">
        <v>1.0991433311246335</v>
      </c>
    </row>
    <row r="183" spans="1:20" x14ac:dyDescent="0.25">
      <c r="A183" s="98" t="s">
        <v>1781</v>
      </c>
      <c r="B183" s="98" t="s">
        <v>85</v>
      </c>
      <c r="C183" s="46" t="s">
        <v>906</v>
      </c>
      <c r="D183" s="98" t="s">
        <v>456</v>
      </c>
      <c r="E183" s="98" t="s">
        <v>211</v>
      </c>
      <c r="F183" s="46" t="s">
        <v>1917</v>
      </c>
      <c r="G183" s="134" t="s">
        <v>1793</v>
      </c>
      <c r="H183" s="46" t="s">
        <v>19</v>
      </c>
      <c r="I183" s="129">
        <v>46049</v>
      </c>
      <c r="J183" s="132"/>
      <c r="K183" s="46" t="s">
        <v>216</v>
      </c>
      <c r="L183" s="123">
        <f>VLOOKUP($C183&amp;$E183,'Updated SES'!A:N,14,0)</f>
        <v>127.11702000000001</v>
      </c>
      <c r="M183" s="124">
        <f>VLOOKUP($K183,'Genre Penetration'!A:B,2,0)*VLOOKUP($C183&amp;$E183,'Updated SES'!A:I,9,0)</f>
        <v>0.33499999999999996</v>
      </c>
      <c r="N183" s="124">
        <f>VLOOKUP(K:K,'Genre Penetration'!A:C,3,0)*VLOOKUP($C183&amp;$E183,'Updated SES'!A:J,10,0)</f>
        <v>0.16499999999999998</v>
      </c>
      <c r="O183" s="124">
        <f>VLOOKUP($B183,'Language Penetration'!$B$1:$BE$14,MATCH('Compile data Working'!$H65,'Language Penetration'!$B$1:$BE$1,0),0)</f>
        <v>0.2</v>
      </c>
      <c r="P183" s="124" t="str">
        <f ca="1">IF(ISBLANK(J183),RANDBETWEEN(1,2)&amp;"%",IF(J183=1,RANDBETWEEN(35,40)&amp;"%",IF(J183=2,RANDBETWEEN(30,35)&amp;"%",IF(J183=3,RANDBETWEEN(25,30)&amp;"%",IF(J183=4,RANDBETWEEN(20,25)&amp;"%",IF(J183=5,RANDBETWEEN(15,20)&amp;"%",IF(J183=6,RANDBETWEEN(10,15)&amp;"%",IF(J183=7,RANDBETWEEN(8,10)&amp;"%",IF(J183=8,RANDBETWEEN(6,8)&amp;"%",IF(J183=9,RANDBETWEEN(4,6)&amp;"%",IF(J183=10,RANDBETWEEN(2,4)&amp;"%","")))))))))))</f>
        <v>2%</v>
      </c>
      <c r="Q183" s="123">
        <f ca="1">IFERROR(L183*(M183+N183)*O183*P183,RANDBETWEEN(1,2)%*L183*(M183+N183)*O183)</f>
        <v>0.25423403999999999</v>
      </c>
      <c r="R183" s="125">
        <f>VLOOKUP(D:D,ranking!W:X,2,0)</f>
        <v>0.3</v>
      </c>
      <c r="S183" s="126">
        <f ca="1">R183*Q183</f>
        <v>7.627021199999999E-2</v>
      </c>
      <c r="T183" s="123">
        <v>1.0791023946700546</v>
      </c>
    </row>
    <row r="184" spans="1:20" x14ac:dyDescent="0.25">
      <c r="A184" s="98" t="s">
        <v>1781</v>
      </c>
      <c r="B184" s="98" t="s">
        <v>85</v>
      </c>
      <c r="C184" s="46" t="s">
        <v>150</v>
      </c>
      <c r="D184" s="98" t="s">
        <v>456</v>
      </c>
      <c r="E184" s="98" t="s">
        <v>219</v>
      </c>
      <c r="F184" s="46" t="s">
        <v>1917</v>
      </c>
      <c r="G184" s="134" t="s">
        <v>1930</v>
      </c>
      <c r="H184" s="46" t="s">
        <v>1967</v>
      </c>
      <c r="I184" s="129">
        <v>45376</v>
      </c>
      <c r="J184" s="132"/>
      <c r="K184" s="46" t="s">
        <v>950</v>
      </c>
      <c r="L184" s="123">
        <f>VLOOKUP($C184&amp;$E184,'Updated SES'!A:N,14,0)</f>
        <v>24.425800000000002</v>
      </c>
      <c r="M184" s="124" t="e">
        <f>VLOOKUP($K184,'Genre Penetration'!A:B,2,0)*VLOOKUP($C184&amp;$E184,'Updated SES'!A:I,9,0)</f>
        <v>#N/A</v>
      </c>
      <c r="N184" s="124" t="e">
        <f>VLOOKUP(K:K,'Genre Penetration'!A:C,3,0)*VLOOKUP($C184&amp;$E184,'Updated SES'!A:J,10,0)</f>
        <v>#N/A</v>
      </c>
      <c r="O184" s="124" t="e">
        <f>VLOOKUP($B184,'Language Penetration'!$B$1:$BE$14,MATCH('Compile data Working'!$H90,'Language Penetration'!$B$1:$BE$1,0),0)</f>
        <v>#N/A</v>
      </c>
      <c r="P184" s="124" t="str">
        <f ca="1">IF(ISBLANK(J184),RANDBETWEEN(1,2)&amp;"%",IF(J184=1,RANDBETWEEN(35,40)&amp;"%",IF(J184=2,RANDBETWEEN(30,35)&amp;"%",IF(J184=3,RANDBETWEEN(25,30)&amp;"%",IF(J184=4,RANDBETWEEN(20,25)&amp;"%",IF(J184=5,RANDBETWEEN(15,20)&amp;"%",IF(J184=6,RANDBETWEEN(10,15)&amp;"%",IF(J184=7,RANDBETWEEN(8,10)&amp;"%",IF(J184=8,RANDBETWEEN(6,8)&amp;"%",IF(J184=9,RANDBETWEEN(4,6)&amp;"%",IF(J184=10,RANDBETWEEN(2,4)&amp;"%","")))))))))))</f>
        <v>1%</v>
      </c>
      <c r="Q184" s="123" t="e">
        <f ca="1">IFERROR(L184*(M184+N184)*O184*P184,RANDBETWEEN(1,2)%*L184*(M184+N184)*O184)</f>
        <v>#N/A</v>
      </c>
      <c r="R184" s="125">
        <f>VLOOKUP(D:D,ranking!W:X,2,0)</f>
        <v>0.3</v>
      </c>
      <c r="S184" s="126" t="e">
        <f ca="1">R184*Q184</f>
        <v>#N/A</v>
      </c>
      <c r="T184" s="123">
        <v>1.0548524347812001</v>
      </c>
    </row>
    <row r="185" spans="1:20" x14ac:dyDescent="0.25">
      <c r="A185" s="98" t="s">
        <v>1781</v>
      </c>
      <c r="B185" s="98" t="s">
        <v>85</v>
      </c>
      <c r="C185" s="46" t="s">
        <v>64</v>
      </c>
      <c r="D185" s="46" t="s">
        <v>1012</v>
      </c>
      <c r="E185" s="119" t="s">
        <v>211</v>
      </c>
      <c r="F185" s="46" t="s">
        <v>215</v>
      </c>
      <c r="G185" s="134" t="s">
        <v>1937</v>
      </c>
      <c r="H185" s="46" t="s">
        <v>19</v>
      </c>
      <c r="I185" s="129">
        <v>44694</v>
      </c>
      <c r="J185" s="133"/>
      <c r="K185" s="46" t="s">
        <v>1980</v>
      </c>
      <c r="L185" s="123">
        <f>VLOOKUP($C185&amp;$E185,'Updated SES'!A:N,14,0)</f>
        <v>36.498239999999996</v>
      </c>
      <c r="M185" s="124" t="e">
        <f>VLOOKUP($K185,'Genre Penetration'!A:B,2,0)*VLOOKUP($C185&amp;$E185,'Updated SES'!A:I,9,0)</f>
        <v>#N/A</v>
      </c>
      <c r="N185" s="124" t="e">
        <f>VLOOKUP(K:K,'Genre Penetration'!A:C,3,0)*VLOOKUP($C185&amp;$E185,'Updated SES'!A:J,10,0)</f>
        <v>#N/A</v>
      </c>
      <c r="O185" s="124" t="e">
        <f>VLOOKUP($B185,'Language Penetration'!$B$1:$BE$14,MATCH('Compile data Working'!$H122,'Language Penetration'!$B$1:$BE$1,0),0)</f>
        <v>#N/A</v>
      </c>
      <c r="P185" s="124" t="str">
        <f ca="1">IF(ISBLANK(J185),RANDBETWEEN(1,2)&amp;"%",IF(J185=1,RANDBETWEEN(35,40)&amp;"%",IF(J185=2,RANDBETWEEN(30,35)&amp;"%",IF(J185=3,RANDBETWEEN(25,30)&amp;"%",IF(J185=4,RANDBETWEEN(20,25)&amp;"%",IF(J185=5,RANDBETWEEN(15,20)&amp;"%",IF(J185=6,RANDBETWEEN(10,15)&amp;"%",IF(J185=7,RANDBETWEEN(8,10)&amp;"%",IF(J185=8,RANDBETWEEN(6,8)&amp;"%",IF(J185=9,RANDBETWEEN(4,6)&amp;"%",IF(J185=10,RANDBETWEEN(2,4)&amp;"%","")))))))))))</f>
        <v>1%</v>
      </c>
      <c r="Q185" s="123" t="e">
        <f ca="1">IFERROR(L185*(M185+N185)*O185*P185,RANDBETWEEN(1,2)%*L185*(M185+N185)*O185)</f>
        <v>#N/A</v>
      </c>
      <c r="R185" s="125">
        <f>VLOOKUP(D:D,ranking!W:X,2,0)</f>
        <v>0.6</v>
      </c>
      <c r="S185" s="126" t="e">
        <f ca="1">R185*Q185</f>
        <v>#N/A</v>
      </c>
      <c r="T185" s="123">
        <v>1.0454892091101031</v>
      </c>
    </row>
    <row r="186" spans="1:20" x14ac:dyDescent="0.25">
      <c r="A186" s="98" t="s">
        <v>1781</v>
      </c>
      <c r="B186" s="98" t="s">
        <v>85</v>
      </c>
      <c r="C186" s="46" t="s">
        <v>150</v>
      </c>
      <c r="D186" s="98" t="s">
        <v>456</v>
      </c>
      <c r="E186" s="98" t="s">
        <v>219</v>
      </c>
      <c r="F186" s="46" t="s">
        <v>1917</v>
      </c>
      <c r="G186" s="134" t="s">
        <v>1949</v>
      </c>
      <c r="H186" s="46" t="s">
        <v>29</v>
      </c>
      <c r="I186" s="129">
        <v>45558</v>
      </c>
      <c r="J186" s="133"/>
      <c r="K186" s="46" t="s">
        <v>216</v>
      </c>
      <c r="L186" s="123">
        <f>VLOOKUP($C186&amp;$E186,'Updated SES'!A:N,14,0)</f>
        <v>24.425800000000002</v>
      </c>
      <c r="M186" s="124">
        <f>VLOOKUP($K186,'Genre Penetration'!A:B,2,0)*VLOOKUP($C186&amp;$E186,'Updated SES'!A:I,9,0)</f>
        <v>0.34</v>
      </c>
      <c r="N186" s="124">
        <f>VLOOKUP(K:K,'Genre Penetration'!A:C,3,0)*VLOOKUP($C186&amp;$E186,'Updated SES'!A:J,10,0)</f>
        <v>0.16</v>
      </c>
      <c r="O186" s="124">
        <f>VLOOKUP($B186,'Language Penetration'!$B$1:$BE$14,MATCH('Compile data Working'!$H182,'Language Penetration'!$B$1:$BE$1,0),0)</f>
        <v>0.6</v>
      </c>
      <c r="P186" s="124" t="str">
        <f ca="1">IF(ISBLANK(J186),RANDBETWEEN(1,2)&amp;"%",IF(J186=1,RANDBETWEEN(35,40)&amp;"%",IF(J186=2,RANDBETWEEN(30,35)&amp;"%",IF(J186=3,RANDBETWEEN(25,30)&amp;"%",IF(J186=4,RANDBETWEEN(20,25)&amp;"%",IF(J186=5,RANDBETWEEN(15,20)&amp;"%",IF(J186=6,RANDBETWEEN(10,15)&amp;"%",IF(J186=7,RANDBETWEEN(8,10)&amp;"%",IF(J186=8,RANDBETWEEN(6,8)&amp;"%",IF(J186=9,RANDBETWEEN(4,6)&amp;"%",IF(J186=10,RANDBETWEEN(2,4)&amp;"%","")))))))))))</f>
        <v>1%</v>
      </c>
      <c r="Q186" s="123">
        <f ca="1">IFERROR(L186*(M186+N186)*O186*P186,RANDBETWEEN(1,2)%*L186*(M186+N186)*O186)</f>
        <v>7.3277400000000006E-2</v>
      </c>
      <c r="R186" s="125">
        <f>VLOOKUP(D:D,ranking!W:X,2,0)</f>
        <v>0.3</v>
      </c>
      <c r="S186" s="126">
        <f ca="1">R186*Q186</f>
        <v>2.1983220000000001E-2</v>
      </c>
      <c r="T186" s="123">
        <v>1.0180288460845099</v>
      </c>
    </row>
    <row r="187" spans="1:20" x14ac:dyDescent="0.25">
      <c r="A187" s="98" t="s">
        <v>1781</v>
      </c>
      <c r="B187" s="98" t="s">
        <v>85</v>
      </c>
      <c r="C187" s="46" t="s">
        <v>150</v>
      </c>
      <c r="D187" s="98" t="s">
        <v>456</v>
      </c>
      <c r="E187" s="98" t="s">
        <v>219</v>
      </c>
      <c r="F187" s="46" t="s">
        <v>1917</v>
      </c>
      <c r="G187" s="134" t="s">
        <v>1927</v>
      </c>
      <c r="H187" s="46" t="s">
        <v>19</v>
      </c>
      <c r="I187" s="129">
        <v>43217</v>
      </c>
      <c r="J187" s="132"/>
      <c r="K187" s="46" t="s">
        <v>970</v>
      </c>
      <c r="L187" s="123">
        <f>VLOOKUP($C187&amp;$E187,'Updated SES'!A:N,14,0)</f>
        <v>24.425800000000002</v>
      </c>
      <c r="M187" s="124">
        <f>VLOOKUP($K187,'Genre Penetration'!A:B,2,0)*VLOOKUP($C187&amp;$E187,'Updated SES'!A:I,9,0)</f>
        <v>0.34</v>
      </c>
      <c r="N187" s="124">
        <f>VLOOKUP(K:K,'Genre Penetration'!A:C,3,0)*VLOOKUP($C187&amp;$E187,'Updated SES'!A:J,10,0)</f>
        <v>0.16</v>
      </c>
      <c r="O187" s="124" t="e">
        <f>VLOOKUP($B187,'Language Penetration'!$B$1:$BE$14,MATCH('Compile data Working'!$H74,'Language Penetration'!$B$1:$BE$1,0),0)</f>
        <v>#N/A</v>
      </c>
      <c r="P187" s="124" t="str">
        <f ca="1">IF(ISBLANK(J187),RANDBETWEEN(1,2)&amp;"%",IF(J187=1,RANDBETWEEN(35,40)&amp;"%",IF(J187=2,RANDBETWEEN(30,35)&amp;"%",IF(J187=3,RANDBETWEEN(25,30)&amp;"%",IF(J187=4,RANDBETWEEN(20,25)&amp;"%",IF(J187=5,RANDBETWEEN(15,20)&amp;"%",IF(J187=6,RANDBETWEEN(10,15)&amp;"%",IF(J187=7,RANDBETWEEN(8,10)&amp;"%",IF(J187=8,RANDBETWEEN(6,8)&amp;"%",IF(J187=9,RANDBETWEEN(4,6)&amp;"%",IF(J187=10,RANDBETWEEN(2,4)&amp;"%","")))))))))))</f>
        <v>1%</v>
      </c>
      <c r="Q187" s="123" t="e">
        <f ca="1">IFERROR(L187*(M187+N187)*O187*P187,RANDBETWEEN(1,2)%*L187*(M187+N187)*O187)</f>
        <v>#N/A</v>
      </c>
      <c r="R187" s="125">
        <f>VLOOKUP(D:D,ranking!W:X,2,0)</f>
        <v>0.3</v>
      </c>
      <c r="S187" s="126" t="e">
        <f ca="1">R187*Q187</f>
        <v>#N/A</v>
      </c>
      <c r="T187" s="123">
        <v>1.0140919505948047</v>
      </c>
    </row>
    <row r="188" spans="1:20" x14ac:dyDescent="0.25">
      <c r="A188" s="98" t="s">
        <v>1781</v>
      </c>
      <c r="B188" s="98" t="s">
        <v>85</v>
      </c>
      <c r="C188" s="46" t="s">
        <v>906</v>
      </c>
      <c r="D188" s="98" t="s">
        <v>456</v>
      </c>
      <c r="E188" s="98" t="s">
        <v>211</v>
      </c>
      <c r="F188" s="46" t="s">
        <v>1917</v>
      </c>
      <c r="G188" s="134" t="s">
        <v>1902</v>
      </c>
      <c r="H188" s="46" t="s">
        <v>1967</v>
      </c>
      <c r="I188" s="129">
        <v>45229</v>
      </c>
      <c r="J188" s="133"/>
      <c r="K188" s="46" t="s">
        <v>950</v>
      </c>
      <c r="L188" s="123">
        <f>VLOOKUP($C188&amp;$E188,'Updated SES'!A:N,14,0)</f>
        <v>127.11702000000001</v>
      </c>
      <c r="M188" s="124" t="e">
        <f>VLOOKUP($K188,'Genre Penetration'!A:B,2,0)*VLOOKUP($C188&amp;$E188,'Updated SES'!A:I,9,0)</f>
        <v>#N/A</v>
      </c>
      <c r="N188" s="124" t="e">
        <f>VLOOKUP(K:K,'Genre Penetration'!A:C,3,0)*VLOOKUP($C188&amp;$E188,'Updated SES'!A:J,10,0)</f>
        <v>#N/A</v>
      </c>
      <c r="O188" s="124">
        <f>VLOOKUP($B188,'Language Penetration'!$B$1:$BE$14,MATCH('Compile data Working'!$H143,'Language Penetration'!$B$1:$BE$1,0),0)</f>
        <v>0.15</v>
      </c>
      <c r="P188" s="124" t="str">
        <f ca="1">IF(ISBLANK(J188),RANDBETWEEN(1,2)&amp;"%",IF(J188=1,RANDBETWEEN(35,40)&amp;"%",IF(J188=2,RANDBETWEEN(30,35)&amp;"%",IF(J188=3,RANDBETWEEN(25,30)&amp;"%",IF(J188=4,RANDBETWEEN(20,25)&amp;"%",IF(J188=5,RANDBETWEEN(15,20)&amp;"%",IF(J188=6,RANDBETWEEN(10,15)&amp;"%",IF(J188=7,RANDBETWEEN(8,10)&amp;"%",IF(J188=8,RANDBETWEEN(6,8)&amp;"%",IF(J188=9,RANDBETWEEN(4,6)&amp;"%",IF(J188=10,RANDBETWEEN(2,4)&amp;"%","")))))))))))</f>
        <v>1%</v>
      </c>
      <c r="Q188" s="123" t="e">
        <f ca="1">IFERROR(L188*(M188+N188)*O188*P188,RANDBETWEEN(1,2)%*L188*(M188+N188)*O188)</f>
        <v>#N/A</v>
      </c>
      <c r="R188" s="125">
        <f>VLOOKUP(D:D,ranking!W:X,2,0)</f>
        <v>0.3</v>
      </c>
      <c r="S188" s="126" t="e">
        <f ca="1">R188*Q188</f>
        <v>#N/A</v>
      </c>
      <c r="T188" s="123">
        <v>1.0109406101316001</v>
      </c>
    </row>
    <row r="189" spans="1:20" x14ac:dyDescent="0.25">
      <c r="A189" s="98" t="s">
        <v>1781</v>
      </c>
      <c r="B189" s="98" t="s">
        <v>85</v>
      </c>
      <c r="C189" s="46" t="s">
        <v>64</v>
      </c>
      <c r="D189" s="46" t="s">
        <v>1013</v>
      </c>
      <c r="E189" s="119" t="s">
        <v>211</v>
      </c>
      <c r="F189" s="46" t="s">
        <v>213</v>
      </c>
      <c r="G189" s="134" t="s">
        <v>1935</v>
      </c>
      <c r="H189" s="46" t="s">
        <v>19</v>
      </c>
      <c r="I189" s="129" t="s">
        <v>254</v>
      </c>
      <c r="J189" s="131"/>
      <c r="K189" s="46" t="s">
        <v>970</v>
      </c>
      <c r="L189" s="123">
        <f>VLOOKUP($C189&amp;$E189,'Updated SES'!A:N,14,0)</f>
        <v>36.498239999999996</v>
      </c>
      <c r="M189" s="124">
        <f>VLOOKUP($K189,'Genre Penetration'!A:B,2,0)*VLOOKUP($C189&amp;$E189,'Updated SES'!A:I,9,0)</f>
        <v>0.26</v>
      </c>
      <c r="N189" s="124">
        <f>VLOOKUP(K:K,'Genre Penetration'!A:C,3,0)*VLOOKUP($C189&amp;$E189,'Updated SES'!A:J,10,0)</f>
        <v>0.24</v>
      </c>
      <c r="O189" s="124">
        <f>VLOOKUP($B189,'Language Penetration'!$B$1:$BE$14,MATCH('Compile data Working'!$H105,'Language Penetration'!$B$1:$BE$1,0),0)</f>
        <v>0.2</v>
      </c>
      <c r="P189" s="124" t="str">
        <f ca="1">IF(ISBLANK(J189),RANDBETWEEN(1,2)&amp;"%",IF(J189=1,RANDBETWEEN(35,40)&amp;"%",IF(J189=2,RANDBETWEEN(30,35)&amp;"%",IF(J189=3,RANDBETWEEN(25,30)&amp;"%",IF(J189=4,RANDBETWEEN(20,25)&amp;"%",IF(J189=5,RANDBETWEEN(15,20)&amp;"%",IF(J189=6,RANDBETWEEN(10,15)&amp;"%",IF(J189=7,RANDBETWEEN(8,10)&amp;"%",IF(J189=8,RANDBETWEEN(6,8)&amp;"%",IF(J189=9,RANDBETWEEN(4,6)&amp;"%",IF(J189=10,RANDBETWEEN(2,4)&amp;"%","")))))))))))</f>
        <v>2%</v>
      </c>
      <c r="Q189" s="123">
        <f ca="1">IFERROR(L189*(M189+N189)*O189*P189,RANDBETWEEN(1,2)%*L189*(M189+N189)*O189)</f>
        <v>7.2996480000000002E-2</v>
      </c>
      <c r="R189" s="125">
        <f>VLOOKUP(D:D,ranking!W:X,2,0)</f>
        <v>0.8</v>
      </c>
      <c r="S189" s="126">
        <f ca="1">R189*Q189</f>
        <v>5.8397184000000005E-2</v>
      </c>
      <c r="T189" s="123">
        <v>1.0103430348307165</v>
      </c>
    </row>
    <row r="190" spans="1:20" x14ac:dyDescent="0.25">
      <c r="A190" s="98" t="s">
        <v>1781</v>
      </c>
      <c r="B190" s="98" t="s">
        <v>85</v>
      </c>
      <c r="C190" s="46" t="s">
        <v>150</v>
      </c>
      <c r="D190" s="98" t="s">
        <v>456</v>
      </c>
      <c r="E190" s="98" t="s">
        <v>219</v>
      </c>
      <c r="F190" s="46" t="s">
        <v>1917</v>
      </c>
      <c r="G190" s="134" t="s">
        <v>1907</v>
      </c>
      <c r="H190" s="46" t="s">
        <v>29</v>
      </c>
      <c r="I190" s="129">
        <v>45705</v>
      </c>
      <c r="J190" s="133"/>
      <c r="K190" s="46" t="s">
        <v>970</v>
      </c>
      <c r="L190" s="123">
        <f>VLOOKUP($C190&amp;$E190,'Updated SES'!A:N,14,0)</f>
        <v>24.425800000000002</v>
      </c>
      <c r="M190" s="124">
        <f>VLOOKUP($K190,'Genre Penetration'!A:B,2,0)*VLOOKUP($C190&amp;$E190,'Updated SES'!A:I,9,0)</f>
        <v>0.34</v>
      </c>
      <c r="N190" s="124">
        <f>VLOOKUP(K:K,'Genre Penetration'!A:C,3,0)*VLOOKUP($C190&amp;$E190,'Updated SES'!A:J,10,0)</f>
        <v>0.16</v>
      </c>
      <c r="O190" s="124" t="e">
        <f>VLOOKUP($B190,'Language Penetration'!$B$1:$BE$14,MATCH('Compile data Working'!#REF!,'Language Penetration'!$B$1:$BE$1,0),0)</f>
        <v>#REF!</v>
      </c>
      <c r="P190" s="124" t="str">
        <f ca="1">IF(ISBLANK(J190),RANDBETWEEN(1,2)&amp;"%",IF(J190=1,RANDBETWEEN(35,40)&amp;"%",IF(J190=2,RANDBETWEEN(30,35)&amp;"%",IF(J190=3,RANDBETWEEN(25,30)&amp;"%",IF(J190=4,RANDBETWEEN(20,25)&amp;"%",IF(J190=5,RANDBETWEEN(15,20)&amp;"%",IF(J190=6,RANDBETWEEN(10,15)&amp;"%",IF(J190=7,RANDBETWEEN(8,10)&amp;"%",IF(J190=8,RANDBETWEEN(6,8)&amp;"%",IF(J190=9,RANDBETWEEN(4,6)&amp;"%",IF(J190=10,RANDBETWEEN(2,4)&amp;"%","")))))))))))</f>
        <v>1%</v>
      </c>
      <c r="Q190" s="123" t="e">
        <f ca="1">IFERROR(L190*(M190+N190)*O190*P190,RANDBETWEEN(1,2)%*L190*(M190+N190)*O190)</f>
        <v>#REF!</v>
      </c>
      <c r="R190" s="125">
        <f>VLOOKUP(D:D,ranking!W:X,2,0)</f>
        <v>0.3</v>
      </c>
      <c r="S190" s="126" t="e">
        <f ca="1">R190*Q190</f>
        <v>#REF!</v>
      </c>
      <c r="T190" s="123">
        <v>1.009852742457745</v>
      </c>
    </row>
    <row r="191" spans="1:20" x14ac:dyDescent="0.25">
      <c r="A191" s="98" t="s">
        <v>1781</v>
      </c>
      <c r="B191" s="98" t="s">
        <v>85</v>
      </c>
      <c r="C191" s="46" t="s">
        <v>879</v>
      </c>
      <c r="D191" s="46" t="s">
        <v>1854</v>
      </c>
      <c r="E191" s="98" t="s">
        <v>219</v>
      </c>
      <c r="F191" s="46" t="s">
        <v>215</v>
      </c>
      <c r="G191" s="134" t="s">
        <v>1900</v>
      </c>
      <c r="H191" s="46" t="s">
        <v>19</v>
      </c>
      <c r="I191" s="129">
        <v>44518</v>
      </c>
      <c r="J191" s="133"/>
      <c r="K191" s="46" t="s">
        <v>1076</v>
      </c>
      <c r="L191" s="123">
        <f>VLOOKUP($C191&amp;$E191,'Updated SES'!A:N,14,0)</f>
        <v>78.939870000000013</v>
      </c>
      <c r="M191" s="124">
        <f>VLOOKUP($K191,'Genre Penetration'!A:B,2,0)*VLOOKUP($C191&amp;$E191,'Updated SES'!A:I,9,0)</f>
        <v>0.44000000000000006</v>
      </c>
      <c r="N191" s="124">
        <f>VLOOKUP(K:K,'Genre Penetration'!A:C,3,0)*VLOOKUP($C191&amp;$E191,'Updated SES'!A:J,10,0)</f>
        <v>9.0000000000000011E-2</v>
      </c>
      <c r="O191" s="124" t="e">
        <f>VLOOKUP($B191,'Language Penetration'!$B$1:$BE$14,MATCH('Compile data Working'!$H115,'Language Penetration'!$B$1:$BE$1,0),0)</f>
        <v>#N/A</v>
      </c>
      <c r="P191" s="124" t="str">
        <f ca="1">IF(ISBLANK(J191),RANDBETWEEN(1,2)&amp;"%",IF(J191=1,RANDBETWEEN(35,40)&amp;"%",IF(J191=2,RANDBETWEEN(30,35)&amp;"%",IF(J191=3,RANDBETWEEN(25,30)&amp;"%",IF(J191=4,RANDBETWEEN(20,25)&amp;"%",IF(J191=5,RANDBETWEEN(15,20)&amp;"%",IF(J191=6,RANDBETWEEN(10,15)&amp;"%",IF(J191=7,RANDBETWEEN(8,10)&amp;"%",IF(J191=8,RANDBETWEEN(6,8)&amp;"%",IF(J191=9,RANDBETWEEN(4,6)&amp;"%",IF(J191=10,RANDBETWEEN(2,4)&amp;"%","")))))))))))</f>
        <v>1%</v>
      </c>
      <c r="Q191" s="123" t="e">
        <f ca="1">IFERROR(L191*(M191+N191)*O191*P191,RANDBETWEEN(1,2)%*L191*(M191+N191)*O191)</f>
        <v>#N/A</v>
      </c>
      <c r="R191" s="125">
        <f>VLOOKUP(D:D,ranking!W:X,2,0)</f>
        <v>0.6</v>
      </c>
      <c r="S191" s="126" t="e">
        <f ca="1">R191*Q191</f>
        <v>#N/A</v>
      </c>
      <c r="T191" s="123">
        <v>1.0065459036905158</v>
      </c>
    </row>
    <row r="192" spans="1:20" x14ac:dyDescent="0.25">
      <c r="A192" s="98" t="s">
        <v>1781</v>
      </c>
      <c r="B192" s="98" t="s">
        <v>85</v>
      </c>
      <c r="C192" s="46" t="s">
        <v>150</v>
      </c>
      <c r="D192" s="98" t="s">
        <v>456</v>
      </c>
      <c r="E192" s="98" t="s">
        <v>219</v>
      </c>
      <c r="F192" s="46" t="s">
        <v>1917</v>
      </c>
      <c r="G192" s="134" t="s">
        <v>1918</v>
      </c>
      <c r="H192" s="46" t="s">
        <v>1967</v>
      </c>
      <c r="I192" s="129">
        <v>45985</v>
      </c>
      <c r="J192" s="132"/>
      <c r="K192" s="46" t="s">
        <v>950</v>
      </c>
      <c r="L192" s="123">
        <f>VLOOKUP($C192&amp;$E192,'Updated SES'!A:N,14,0)</f>
        <v>24.425800000000002</v>
      </c>
      <c r="M192" s="124" t="e">
        <f>VLOOKUP($K192,'Genre Penetration'!A:B,2,0)*VLOOKUP($C192&amp;$E192,'Updated SES'!A:I,9,0)</f>
        <v>#N/A</v>
      </c>
      <c r="N192" s="124" t="e">
        <f>VLOOKUP(K:K,'Genre Penetration'!A:C,3,0)*VLOOKUP($C192&amp;$E192,'Updated SES'!A:J,10,0)</f>
        <v>#N/A</v>
      </c>
      <c r="O192" s="124" t="e">
        <f>VLOOKUP($B192,'Language Penetration'!$B$1:$BE$14,MATCH('Compile data Working'!$H17,'Language Penetration'!$B$1:$BE$1,0),0)</f>
        <v>#N/A</v>
      </c>
      <c r="P192" s="124" t="str">
        <f ca="1">IF(ISBLANK(J192),RANDBETWEEN(1,2)&amp;"%",IF(J192=1,RANDBETWEEN(35,40)&amp;"%",IF(J192=2,RANDBETWEEN(30,35)&amp;"%",IF(J192=3,RANDBETWEEN(25,30)&amp;"%",IF(J192=4,RANDBETWEEN(20,25)&amp;"%",IF(J192=5,RANDBETWEEN(15,20)&amp;"%",IF(J192=6,RANDBETWEEN(10,15)&amp;"%",IF(J192=7,RANDBETWEEN(8,10)&amp;"%",IF(J192=8,RANDBETWEEN(6,8)&amp;"%",IF(J192=9,RANDBETWEEN(4,6)&amp;"%",IF(J192=10,RANDBETWEEN(2,4)&amp;"%","")))))))))))</f>
        <v>2%</v>
      </c>
      <c r="Q192" s="123" t="e">
        <f ca="1">IFERROR(L192*(M192+N192)*O192*P192,RANDBETWEEN(1,2)%*L192*(M192+N192)*O192)</f>
        <v>#N/A</v>
      </c>
      <c r="R192" s="125">
        <f>VLOOKUP(D:D,ranking!W:X,2,0)</f>
        <v>0.3</v>
      </c>
      <c r="S192" s="126" t="e">
        <f ca="1">R192*Q192</f>
        <v>#N/A</v>
      </c>
      <c r="T192" s="123">
        <v>1.0016254838966439</v>
      </c>
    </row>
    <row r="193" spans="1:20" x14ac:dyDescent="0.25">
      <c r="A193" s="98" t="s">
        <v>1781</v>
      </c>
      <c r="B193" s="98" t="s">
        <v>85</v>
      </c>
      <c r="C193" s="46" t="s">
        <v>879</v>
      </c>
      <c r="D193" s="46" t="s">
        <v>1854</v>
      </c>
      <c r="E193" s="98" t="s">
        <v>219</v>
      </c>
      <c r="F193" s="46" t="s">
        <v>215</v>
      </c>
      <c r="G193" s="134" t="s">
        <v>1923</v>
      </c>
      <c r="H193" s="46" t="s">
        <v>19</v>
      </c>
      <c r="I193" s="129">
        <v>44428</v>
      </c>
      <c r="J193" s="131"/>
      <c r="K193" s="46" t="s">
        <v>1076</v>
      </c>
      <c r="L193" s="123">
        <f>VLOOKUP($C193&amp;$E193,'Updated SES'!A:N,14,0)</f>
        <v>78.939870000000013</v>
      </c>
      <c r="M193" s="124">
        <f>VLOOKUP($K193,'Genre Penetration'!A:B,2,0)*VLOOKUP($C193&amp;$E193,'Updated SES'!A:I,9,0)</f>
        <v>0.44000000000000006</v>
      </c>
      <c r="N193" s="124">
        <f>VLOOKUP(K:K,'Genre Penetration'!A:C,3,0)*VLOOKUP($C193&amp;$E193,'Updated SES'!A:J,10,0)</f>
        <v>9.0000000000000011E-2</v>
      </c>
      <c r="O193" s="124" t="e">
        <f>VLOOKUP($B193,'Language Penetration'!$B$1:$BE$14,MATCH('Compile data Working'!#REF!,'Language Penetration'!$B$1:$BE$1,0),0)</f>
        <v>#REF!</v>
      </c>
      <c r="P193" s="124" t="str">
        <f ca="1">IF(ISBLANK(J193),RANDBETWEEN(1,2)&amp;"%",IF(J193=1,RANDBETWEEN(35,40)&amp;"%",IF(J193=2,RANDBETWEEN(30,35)&amp;"%",IF(J193=3,RANDBETWEEN(25,30)&amp;"%",IF(J193=4,RANDBETWEEN(20,25)&amp;"%",IF(J193=5,RANDBETWEEN(15,20)&amp;"%",IF(J193=6,RANDBETWEEN(10,15)&amp;"%",IF(J193=7,RANDBETWEEN(8,10)&amp;"%",IF(J193=8,RANDBETWEEN(6,8)&amp;"%",IF(J193=9,RANDBETWEEN(4,6)&amp;"%",IF(J193=10,RANDBETWEEN(2,4)&amp;"%","")))))))))))</f>
        <v>2%</v>
      </c>
      <c r="Q193" s="123" t="e">
        <f ca="1">IFERROR(L193*(M193+N193)*O193*P193,RANDBETWEEN(1,2)%*L193*(M193+N193)*O193)</f>
        <v>#REF!</v>
      </c>
      <c r="R193" s="125">
        <f>VLOOKUP(D:D,ranking!W:X,2,0)</f>
        <v>0.6</v>
      </c>
      <c r="S193" s="126" t="e">
        <f ca="1">R193*Q193</f>
        <v>#REF!</v>
      </c>
      <c r="T193" s="123">
        <v>0.99428560859593373</v>
      </c>
    </row>
    <row r="194" spans="1:20" x14ac:dyDescent="0.25">
      <c r="A194" s="98" t="s">
        <v>1781</v>
      </c>
      <c r="B194" s="98" t="s">
        <v>85</v>
      </c>
      <c r="C194" s="46" t="s">
        <v>123</v>
      </c>
      <c r="D194" s="46" t="s">
        <v>1012</v>
      </c>
      <c r="E194" s="119" t="s">
        <v>211</v>
      </c>
      <c r="F194" s="46" t="s">
        <v>215</v>
      </c>
      <c r="G194" s="134" t="s">
        <v>1964</v>
      </c>
      <c r="H194" s="46" t="s">
        <v>19</v>
      </c>
      <c r="I194" s="129">
        <v>44939</v>
      </c>
      <c r="J194" s="133"/>
      <c r="K194" s="46" t="s">
        <v>216</v>
      </c>
      <c r="L194" s="123">
        <f>VLOOKUP($C194&amp;$E194,'Updated SES'!A:N,14,0)</f>
        <v>55.459200000000003</v>
      </c>
      <c r="M194" s="124">
        <f>VLOOKUP($K194,'Genre Penetration'!A:B,2,0)*VLOOKUP($C194&amp;$E194,'Updated SES'!A:I,9,0)</f>
        <v>0.245</v>
      </c>
      <c r="N194" s="124">
        <f>VLOOKUP(K:K,'Genre Penetration'!A:C,3,0)*VLOOKUP($C194&amp;$E194,'Updated SES'!A:J,10,0)</f>
        <v>0.255</v>
      </c>
      <c r="O194" s="124" t="e">
        <f>VLOOKUP($B194,'Language Penetration'!$B$1:$BE$14,MATCH('Compile data Working'!$H236,'Language Penetration'!$B$1:$BE$1,0),0)</f>
        <v>#N/A</v>
      </c>
      <c r="P194" s="124" t="str">
        <f ca="1">IF(ISBLANK(J194),RANDBETWEEN(1,2)&amp;"%",IF(J194=1,RANDBETWEEN(35,40)&amp;"%",IF(J194=2,RANDBETWEEN(30,35)&amp;"%",IF(J194=3,RANDBETWEEN(25,30)&amp;"%",IF(J194=4,RANDBETWEEN(20,25)&amp;"%",IF(J194=5,RANDBETWEEN(15,20)&amp;"%",IF(J194=6,RANDBETWEEN(10,15)&amp;"%",IF(J194=7,RANDBETWEEN(8,10)&amp;"%",IF(J194=8,RANDBETWEEN(6,8)&amp;"%",IF(J194=9,RANDBETWEEN(4,6)&amp;"%",IF(J194=10,RANDBETWEEN(2,4)&amp;"%","")))))))))))</f>
        <v>1%</v>
      </c>
      <c r="Q194" s="123" t="e">
        <f ca="1">IFERROR(L194*(M194+N194)*O194*P194,RANDBETWEEN(1,2)%*L194*(M194+N194)*O194)</f>
        <v>#N/A</v>
      </c>
      <c r="R194" s="125">
        <f>VLOOKUP(D:D,ranking!W:X,2,0)</f>
        <v>0.6</v>
      </c>
      <c r="S194" s="126" t="e">
        <f ca="1">R194*Q194</f>
        <v>#N/A</v>
      </c>
      <c r="T194" s="123">
        <v>0.9910301815317506</v>
      </c>
    </row>
    <row r="195" spans="1:20" x14ac:dyDescent="0.25">
      <c r="A195" s="98" t="s">
        <v>1781</v>
      </c>
      <c r="B195" s="98" t="s">
        <v>85</v>
      </c>
      <c r="C195" s="46" t="s">
        <v>906</v>
      </c>
      <c r="D195" s="46" t="s">
        <v>1013</v>
      </c>
      <c r="E195" s="119" t="s">
        <v>211</v>
      </c>
      <c r="F195" s="46" t="s">
        <v>213</v>
      </c>
      <c r="G195" s="134" t="s">
        <v>1951</v>
      </c>
      <c r="H195" s="46" t="s">
        <v>19</v>
      </c>
      <c r="I195" s="129">
        <v>45170</v>
      </c>
      <c r="J195" s="133"/>
      <c r="K195" s="46" t="s">
        <v>1983</v>
      </c>
      <c r="L195" s="123">
        <f>VLOOKUP($C195&amp;$E195,'Updated SES'!A:N,14,0)</f>
        <v>127.11702000000001</v>
      </c>
      <c r="M195" s="124" t="e">
        <f>VLOOKUP($K195,'Genre Penetration'!A:B,2,0)*VLOOKUP($C195&amp;$E195,'Updated SES'!A:I,9,0)</f>
        <v>#N/A</v>
      </c>
      <c r="N195" s="124" t="e">
        <f>VLOOKUP(K:K,'Genre Penetration'!A:C,3,0)*VLOOKUP($C195&amp;$E195,'Updated SES'!A:J,10,0)</f>
        <v>#N/A</v>
      </c>
      <c r="O195" s="124">
        <f>VLOOKUP($B195,'Language Penetration'!$B$1:$BE$14,MATCH('Compile data Working'!$H201,'Language Penetration'!$B$1:$BE$1,0),0)</f>
        <v>0.6</v>
      </c>
      <c r="P195" s="124" t="str">
        <f ca="1">IF(ISBLANK(J195),RANDBETWEEN(1,2)&amp;"%",IF(J195=1,RANDBETWEEN(35,40)&amp;"%",IF(J195=2,RANDBETWEEN(30,35)&amp;"%",IF(J195=3,RANDBETWEEN(25,30)&amp;"%",IF(J195=4,RANDBETWEEN(20,25)&amp;"%",IF(J195=5,RANDBETWEEN(15,20)&amp;"%",IF(J195=6,RANDBETWEEN(10,15)&amp;"%",IF(J195=7,RANDBETWEEN(8,10)&amp;"%",IF(J195=8,RANDBETWEEN(6,8)&amp;"%",IF(J195=9,RANDBETWEEN(4,6)&amp;"%",IF(J195=10,RANDBETWEEN(2,4)&amp;"%","")))))))))))</f>
        <v>2%</v>
      </c>
      <c r="Q195" s="123" t="e">
        <f ca="1">IFERROR(L195*(M195+N195)*O195*P195,RANDBETWEEN(1,2)%*L195*(M195+N195)*O195)</f>
        <v>#N/A</v>
      </c>
      <c r="R195" s="125">
        <f>VLOOKUP(D:D,ranking!W:X,2,0)</f>
        <v>0.8</v>
      </c>
      <c r="S195" s="126" t="e">
        <f ca="1">R195*Q195</f>
        <v>#N/A</v>
      </c>
      <c r="T195" s="123">
        <v>0.98870171797377759</v>
      </c>
    </row>
    <row r="196" spans="1:20" x14ac:dyDescent="0.25">
      <c r="A196" s="98" t="s">
        <v>1781</v>
      </c>
      <c r="B196" s="98" t="s">
        <v>85</v>
      </c>
      <c r="C196" s="46" t="s">
        <v>150</v>
      </c>
      <c r="D196" s="98" t="s">
        <v>456</v>
      </c>
      <c r="E196" s="98" t="s">
        <v>219</v>
      </c>
      <c r="F196" s="46" t="s">
        <v>1917</v>
      </c>
      <c r="G196" s="134" t="s">
        <v>1932</v>
      </c>
      <c r="H196" s="46" t="s">
        <v>19</v>
      </c>
      <c r="I196" s="129">
        <v>46034</v>
      </c>
      <c r="J196" s="132"/>
      <c r="K196" s="46" t="s">
        <v>950</v>
      </c>
      <c r="L196" s="123">
        <f>VLOOKUP($C196&amp;$E196,'Updated SES'!A:N,14,0)</f>
        <v>24.425800000000002</v>
      </c>
      <c r="M196" s="124" t="e">
        <f>VLOOKUP($K196,'Genre Penetration'!A:B,2,0)*VLOOKUP($C196&amp;$E196,'Updated SES'!A:I,9,0)</f>
        <v>#N/A</v>
      </c>
      <c r="N196" s="124" t="e">
        <f>VLOOKUP(K:K,'Genre Penetration'!A:C,3,0)*VLOOKUP($C196&amp;$E196,'Updated SES'!A:J,10,0)</f>
        <v>#N/A</v>
      </c>
      <c r="O196" s="124">
        <f>VLOOKUP($B196,'Language Penetration'!$B$1:$BE$14,MATCH('Compile data Working'!$H59,'Language Penetration'!$B$1:$BE$1,0),0)</f>
        <v>0.6</v>
      </c>
      <c r="P196" s="124" t="str">
        <f ca="1">IF(ISBLANK(J196),RANDBETWEEN(1,2)&amp;"%",IF(J196=1,RANDBETWEEN(35,40)&amp;"%",IF(J196=2,RANDBETWEEN(30,35)&amp;"%",IF(J196=3,RANDBETWEEN(25,30)&amp;"%",IF(J196=4,RANDBETWEEN(20,25)&amp;"%",IF(J196=5,RANDBETWEEN(15,20)&amp;"%",IF(J196=6,RANDBETWEEN(10,15)&amp;"%",IF(J196=7,RANDBETWEEN(8,10)&amp;"%",IF(J196=8,RANDBETWEEN(6,8)&amp;"%",IF(J196=9,RANDBETWEEN(4,6)&amp;"%",IF(J196=10,RANDBETWEEN(2,4)&amp;"%","")))))))))))</f>
        <v>2%</v>
      </c>
      <c r="Q196" s="123" t="e">
        <f ca="1">IFERROR(L196*(M196+N196)*O196*P196,RANDBETWEEN(1,2)%*L196*(M196+N196)*O196)</f>
        <v>#N/A</v>
      </c>
      <c r="R196" s="125">
        <f>VLOOKUP(D:D,ranking!W:X,2,0)</f>
        <v>0.3</v>
      </c>
      <c r="S196" s="126" t="e">
        <f ca="1">R196*Q196</f>
        <v>#N/A</v>
      </c>
      <c r="T196" s="123">
        <v>0.98269012917941234</v>
      </c>
    </row>
    <row r="197" spans="1:20" x14ac:dyDescent="0.25">
      <c r="A197" s="98" t="s">
        <v>1781</v>
      </c>
      <c r="B197" s="98" t="s">
        <v>85</v>
      </c>
      <c r="C197" s="46" t="s">
        <v>123</v>
      </c>
      <c r="D197" s="46" t="s">
        <v>1012</v>
      </c>
      <c r="E197" s="119" t="s">
        <v>211</v>
      </c>
      <c r="F197" s="46" t="s">
        <v>215</v>
      </c>
      <c r="G197" s="134" t="s">
        <v>1904</v>
      </c>
      <c r="H197" s="46" t="s">
        <v>19</v>
      </c>
      <c r="I197" s="129">
        <v>44309</v>
      </c>
      <c r="J197" s="133"/>
      <c r="K197" s="46" t="s">
        <v>1986</v>
      </c>
      <c r="L197" s="123">
        <f>VLOOKUP($C197&amp;$E197,'Updated SES'!A:N,14,0)</f>
        <v>55.459200000000003</v>
      </c>
      <c r="M197" s="124" t="e">
        <f>VLOOKUP($K197,'Genre Penetration'!A:B,2,0)*VLOOKUP($C197&amp;$E197,'Updated SES'!A:I,9,0)</f>
        <v>#N/A</v>
      </c>
      <c r="N197" s="124" t="e">
        <f>VLOOKUP(K:K,'Genre Penetration'!A:C,3,0)*VLOOKUP($C197&amp;$E197,'Updated SES'!A:J,10,0)</f>
        <v>#N/A</v>
      </c>
      <c r="O197" s="124">
        <f>VLOOKUP($B197,'Language Penetration'!$B$1:$BE$14,MATCH('Compile data Working'!$H191,'Language Penetration'!$B$1:$BE$1,0),0)</f>
        <v>0.6</v>
      </c>
      <c r="P197" s="124" t="str">
        <f ca="1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1%</v>
      </c>
      <c r="Q197" s="123" t="e">
        <f ca="1">IFERROR(L197*(M197+N197)*O197*P197,RANDBETWEEN(1,2)%*L197*(M197+N197)*O197)</f>
        <v>#N/A</v>
      </c>
      <c r="R197" s="125">
        <f>VLOOKUP(D:D,ranking!W:X,2,0)</f>
        <v>0.6</v>
      </c>
      <c r="S197" s="126" t="e">
        <f ca="1">R197*Q197</f>
        <v>#N/A</v>
      </c>
      <c r="T197" s="123">
        <v>0.96759156507286004</v>
      </c>
    </row>
    <row r="198" spans="1:20" x14ac:dyDescent="0.25">
      <c r="A198" s="98" t="s">
        <v>1781</v>
      </c>
      <c r="B198" s="98" t="s">
        <v>85</v>
      </c>
      <c r="C198" s="46" t="s">
        <v>879</v>
      </c>
      <c r="D198" s="46" t="s">
        <v>1854</v>
      </c>
      <c r="E198" s="98" t="s">
        <v>219</v>
      </c>
      <c r="F198" s="46" t="s">
        <v>215</v>
      </c>
      <c r="G198" s="134" t="s">
        <v>1933</v>
      </c>
      <c r="H198" s="46" t="s">
        <v>19</v>
      </c>
      <c r="I198" s="129">
        <v>44868</v>
      </c>
      <c r="J198" s="132"/>
      <c r="K198" s="46" t="s">
        <v>1979</v>
      </c>
      <c r="L198" s="123">
        <f>VLOOKUP($C198&amp;$E198,'Updated SES'!A:N,14,0)</f>
        <v>78.939870000000013</v>
      </c>
      <c r="M198" s="124" t="e">
        <f>VLOOKUP($K198,'Genre Penetration'!A:B,2,0)*VLOOKUP($C198&amp;$E198,'Updated SES'!A:I,9,0)</f>
        <v>#N/A</v>
      </c>
      <c r="N198" s="124" t="e">
        <f>VLOOKUP(K:K,'Genre Penetration'!A:C,3,0)*VLOOKUP($C198&amp;$E198,'Updated SES'!A:J,10,0)</f>
        <v>#N/A</v>
      </c>
      <c r="O198" s="124">
        <f>VLOOKUP($B198,'Language Penetration'!$B$1:$BE$14,MATCH('Compile data Working'!$H84,'Language Penetration'!$B$1:$BE$1,0),0)</f>
        <v>0.2</v>
      </c>
      <c r="P198" s="124" t="str">
        <f ca="1">IF(ISBLANK(J198),RANDBETWEEN(1,2)&amp;"%",IF(J198=1,RANDBETWEEN(35,40)&amp;"%",IF(J198=2,RANDBETWEEN(30,35)&amp;"%",IF(J198=3,RANDBETWEEN(25,30)&amp;"%",IF(J198=4,RANDBETWEEN(20,25)&amp;"%",IF(J198=5,RANDBETWEEN(15,20)&amp;"%",IF(J198=6,RANDBETWEEN(10,15)&amp;"%",IF(J198=7,RANDBETWEEN(8,10)&amp;"%",IF(J198=8,RANDBETWEEN(6,8)&amp;"%",IF(J198=9,RANDBETWEEN(4,6)&amp;"%",IF(J198=10,RANDBETWEEN(2,4)&amp;"%","")))))))))))</f>
        <v>2%</v>
      </c>
      <c r="Q198" s="123" t="e">
        <f ca="1">IFERROR(L198*(M198+N198)*O198*P198,RANDBETWEEN(1,2)%*L198*(M198+N198)*O198)</f>
        <v>#N/A</v>
      </c>
      <c r="R198" s="125">
        <f>VLOOKUP(D:D,ranking!W:X,2,0)</f>
        <v>0.6</v>
      </c>
      <c r="S198" s="126" t="e">
        <f ca="1">R198*Q198</f>
        <v>#N/A</v>
      </c>
      <c r="T198" s="123">
        <v>0.9635652714681</v>
      </c>
    </row>
    <row r="199" spans="1:20" x14ac:dyDescent="0.25">
      <c r="A199" s="98" t="s">
        <v>1781</v>
      </c>
      <c r="B199" s="98" t="s">
        <v>85</v>
      </c>
      <c r="C199" s="46" t="s">
        <v>150</v>
      </c>
      <c r="D199" s="46" t="s">
        <v>1013</v>
      </c>
      <c r="E199" s="119" t="s">
        <v>211</v>
      </c>
      <c r="F199" s="46" t="s">
        <v>213</v>
      </c>
      <c r="G199" s="134" t="s">
        <v>1940</v>
      </c>
      <c r="H199" s="46" t="s">
        <v>19</v>
      </c>
      <c r="I199" s="129">
        <v>45695</v>
      </c>
      <c r="J199" s="133"/>
      <c r="K199" s="46" t="s">
        <v>216</v>
      </c>
      <c r="L199" s="123">
        <f>VLOOKUP($C199&amp;$E199,'Updated SES'!A:N,14,0)</f>
        <v>60.152000000000001</v>
      </c>
      <c r="M199" s="124">
        <f>VLOOKUP($K199,'Genre Penetration'!A:B,2,0)*VLOOKUP($C199&amp;$E199,'Updated SES'!A:I,9,0)</f>
        <v>0.32500000000000001</v>
      </c>
      <c r="N199" s="124">
        <f>VLOOKUP(K:K,'Genre Penetration'!A:C,3,0)*VLOOKUP($C199&amp;$E199,'Updated SES'!A:J,10,0)</f>
        <v>0.17499999999999999</v>
      </c>
      <c r="O199" s="124">
        <f>VLOOKUP($B199,'Language Penetration'!$B$1:$BE$14,MATCH('Compile data Working'!$H129,'Language Penetration'!$B$1:$BE$1,0),0)</f>
        <v>0.15</v>
      </c>
      <c r="P199" s="124" t="str">
        <f ca="1">IF(ISBLANK(J199),RANDBETWEEN(1,2)&amp;"%",IF(J199=1,RANDBETWEEN(35,40)&amp;"%",IF(J199=2,RANDBETWEEN(30,35)&amp;"%",IF(J199=3,RANDBETWEEN(25,30)&amp;"%",IF(J199=4,RANDBETWEEN(20,25)&amp;"%",IF(J199=5,RANDBETWEEN(15,20)&amp;"%",IF(J199=6,RANDBETWEEN(10,15)&amp;"%",IF(J199=7,RANDBETWEEN(8,10)&amp;"%",IF(J199=8,RANDBETWEEN(6,8)&amp;"%",IF(J199=9,RANDBETWEEN(4,6)&amp;"%",IF(J199=10,RANDBETWEEN(2,4)&amp;"%","")))))))))))</f>
        <v>1%</v>
      </c>
      <c r="Q199" s="123">
        <f ca="1">IFERROR(L199*(M199+N199)*O199*P199,RANDBETWEEN(1,2)%*L199*(M199+N199)*O199)</f>
        <v>4.5114000000000001E-2</v>
      </c>
      <c r="R199" s="125">
        <f>VLOOKUP(D:D,ranking!W:X,2,0)</f>
        <v>0.8</v>
      </c>
      <c r="S199" s="126">
        <f ca="1">R199*Q199</f>
        <v>3.6091200000000004E-2</v>
      </c>
      <c r="T199" s="123">
        <v>0.9634174122424064</v>
      </c>
    </row>
    <row r="200" spans="1:20" x14ac:dyDescent="0.25">
      <c r="A200" s="98" t="s">
        <v>1781</v>
      </c>
      <c r="B200" s="98" t="s">
        <v>85</v>
      </c>
      <c r="C200" s="46" t="s">
        <v>123</v>
      </c>
      <c r="D200" s="46" t="s">
        <v>1012</v>
      </c>
      <c r="E200" s="119" t="s">
        <v>211</v>
      </c>
      <c r="F200" s="46" t="s">
        <v>215</v>
      </c>
      <c r="G200" s="134" t="s">
        <v>1914</v>
      </c>
      <c r="H200" s="46" t="s">
        <v>19</v>
      </c>
      <c r="I200" s="129">
        <v>42825</v>
      </c>
      <c r="J200" s="131"/>
      <c r="K200" s="46" t="s">
        <v>1969</v>
      </c>
      <c r="L200" s="123">
        <f>VLOOKUP($C200&amp;$E200,'Updated SES'!A:N,14,0)</f>
        <v>55.459200000000003</v>
      </c>
      <c r="M200" s="124" t="e">
        <f>VLOOKUP($K200,'Genre Penetration'!A:B,2,0)*VLOOKUP($C200&amp;$E200,'Updated SES'!A:I,9,0)</f>
        <v>#N/A</v>
      </c>
      <c r="N200" s="124" t="e">
        <f>VLOOKUP(K:K,'Genre Penetration'!A:C,3,0)*VLOOKUP($C200&amp;$E200,'Updated SES'!A:J,10,0)</f>
        <v>#N/A</v>
      </c>
      <c r="O200" s="124" t="e">
        <f>VLOOKUP($B200,'Language Penetration'!$B$1:$BE$14,MATCH('Compile data Working'!$H184,'Language Penetration'!$B$1:$BE$1,0),0)</f>
        <v>#N/A</v>
      </c>
      <c r="P200" s="124" t="str">
        <f ca="1">IF(ISBLANK(J200),RANDBETWEEN(1,2)&amp;"%",IF(J200=1,RANDBETWEEN(35,40)&amp;"%",IF(J200=2,RANDBETWEEN(30,35)&amp;"%",IF(J200=3,RANDBETWEEN(25,30)&amp;"%",IF(J200=4,RANDBETWEEN(20,25)&amp;"%",IF(J200=5,RANDBETWEEN(15,20)&amp;"%",IF(J200=6,RANDBETWEEN(10,15)&amp;"%",IF(J200=7,RANDBETWEEN(8,10)&amp;"%",IF(J200=8,RANDBETWEEN(6,8)&amp;"%",IF(J200=9,RANDBETWEEN(4,6)&amp;"%",IF(J200=10,RANDBETWEEN(2,4)&amp;"%","")))))))))))</f>
        <v>2%</v>
      </c>
      <c r="Q200" s="123" t="e">
        <f ca="1">IFERROR(L200*(M200+N200)*O200*P200,RANDBETWEEN(1,2)%*L200*(M200+N200)*O200)</f>
        <v>#N/A</v>
      </c>
      <c r="R200" s="125">
        <f>VLOOKUP(D:D,ranking!W:X,2,0)</f>
        <v>0.6</v>
      </c>
      <c r="S200" s="126" t="e">
        <f ca="1">R200*Q200</f>
        <v>#N/A</v>
      </c>
      <c r="T200" s="123">
        <v>0.93122901185596874</v>
      </c>
    </row>
    <row r="201" spans="1:20" x14ac:dyDescent="0.25">
      <c r="A201" s="98" t="s">
        <v>1057</v>
      </c>
      <c r="B201" s="98" t="s">
        <v>85</v>
      </c>
      <c r="C201" s="46" t="s">
        <v>1229</v>
      </c>
      <c r="D201" s="46" t="s">
        <v>433</v>
      </c>
      <c r="E201" s="46" t="s">
        <v>219</v>
      </c>
      <c r="F201" s="46" t="s">
        <v>215</v>
      </c>
      <c r="G201" s="137" t="s">
        <v>1867</v>
      </c>
      <c r="H201" s="46" t="s">
        <v>19</v>
      </c>
      <c r="I201" s="53">
        <v>46108</v>
      </c>
      <c r="J201" s="131">
        <v>6</v>
      </c>
      <c r="K201" s="46" t="s">
        <v>910</v>
      </c>
      <c r="L201" s="123">
        <f>VLOOKUP($C201&amp;$E201,'Updated SES'!A:N,14,0)</f>
        <v>78.939870000000013</v>
      </c>
      <c r="M201" s="124">
        <f>VLOOKUP($K201,'Genre Penetration'!A:B,2,0)*VLOOKUP($C201&amp;$E201,'Updated SES'!A:I,9,0)</f>
        <v>0.4</v>
      </c>
      <c r="N201" s="124">
        <f>VLOOKUP(K:K,'Genre Penetration'!A:C,3,0)*VLOOKUP($C201&amp;$E201,'Updated SES'!A:J,10,0)</f>
        <v>0.1</v>
      </c>
      <c r="O201" s="124">
        <f>VLOOKUP($B201,'Language Penetration'!$B$1:$BE$14,MATCH('Compile data Working'!$H100,'Language Penetration'!$B$1:$BE$1,0),0)</f>
        <v>0.2</v>
      </c>
      <c r="P201" s="124" t="str">
        <f ca="1">IF(ISBLANK(J201),RANDBETWEEN(1,2)&amp;"%",IF(J201=1,RANDBETWEEN(35,40)&amp;"%",IF(J201=2,RANDBETWEEN(30,35)&amp;"%",IF(J201=3,RANDBETWEEN(25,30)&amp;"%",IF(J201=4,RANDBETWEEN(20,25)&amp;"%",IF(J201=5,RANDBETWEEN(15,20)&amp;"%",IF(J201=6,RANDBETWEEN(10,15)&amp;"%",IF(J201=7,RANDBETWEEN(8,10)&amp;"%",IF(J201=8,RANDBETWEEN(6,8)&amp;"%",IF(J201=9,RANDBETWEEN(4,6)&amp;"%",IF(J201=10,RANDBETWEEN(2,4)&amp;"%","")))))))))))</f>
        <v>13%</v>
      </c>
      <c r="Q201" s="123">
        <f ca="1">IFERROR(L201*(M201+N201)*O201*P201,RANDBETWEEN(1,2)%*L201*(M201+N201)*O201)</f>
        <v>1.0262183100000002</v>
      </c>
      <c r="R201" s="125">
        <f>VLOOKUP(D:D,ranking!W:X,2,0)</f>
        <v>0.6</v>
      </c>
      <c r="S201" s="126">
        <f ca="1">R201*Q201</f>
        <v>0.61573098600000009</v>
      </c>
      <c r="T201" s="123">
        <v>0.91556993588549851</v>
      </c>
    </row>
    <row r="202" spans="1:20" x14ac:dyDescent="0.25">
      <c r="A202" s="98" t="s">
        <v>1781</v>
      </c>
      <c r="B202" s="98" t="s">
        <v>85</v>
      </c>
      <c r="C202" s="46" t="s">
        <v>64</v>
      </c>
      <c r="D202" s="46" t="s">
        <v>1013</v>
      </c>
      <c r="E202" s="119" t="s">
        <v>211</v>
      </c>
      <c r="F202" s="46" t="s">
        <v>213</v>
      </c>
      <c r="G202" s="134" t="s">
        <v>1905</v>
      </c>
      <c r="H202" s="46" t="s">
        <v>19</v>
      </c>
      <c r="I202" s="129">
        <v>44155</v>
      </c>
      <c r="J202" s="133"/>
      <c r="K202" s="46" t="s">
        <v>1987</v>
      </c>
      <c r="L202" s="123">
        <f>VLOOKUP($C202&amp;$E202,'Updated SES'!A:N,14,0)</f>
        <v>36.498239999999996</v>
      </c>
      <c r="M202" s="124" t="e">
        <f>VLOOKUP($K202,'Genre Penetration'!A:B,2,0)*VLOOKUP($C202&amp;$E202,'Updated SES'!A:I,9,0)</f>
        <v>#N/A</v>
      </c>
      <c r="N202" s="124" t="e">
        <f>VLOOKUP(K:K,'Genre Penetration'!A:C,3,0)*VLOOKUP($C202&amp;$E202,'Updated SES'!A:J,10,0)</f>
        <v>#N/A</v>
      </c>
      <c r="O202" s="124">
        <f>VLOOKUP($B202,'Language Penetration'!$B$1:$BE$14,MATCH('Compile data Working'!$H193,'Language Penetration'!$B$1:$BE$1,0),0)</f>
        <v>0.6</v>
      </c>
      <c r="P202" s="124" t="str">
        <f ca="1">IF(ISBLANK(J202),RANDBETWEEN(1,2)&amp;"%",IF(J202=1,RANDBETWEEN(35,40)&amp;"%",IF(J202=2,RANDBETWEEN(30,35)&amp;"%",IF(J202=3,RANDBETWEEN(25,30)&amp;"%",IF(J202=4,RANDBETWEEN(20,25)&amp;"%",IF(J202=5,RANDBETWEEN(15,20)&amp;"%",IF(J202=6,RANDBETWEEN(10,15)&amp;"%",IF(J202=7,RANDBETWEEN(8,10)&amp;"%",IF(J202=8,RANDBETWEEN(6,8)&amp;"%",IF(J202=9,RANDBETWEEN(4,6)&amp;"%",IF(J202=10,RANDBETWEEN(2,4)&amp;"%","")))))))))))</f>
        <v>2%</v>
      </c>
      <c r="Q202" s="123" t="e">
        <f ca="1">IFERROR(L202*(M202+N202)*O202*P202,RANDBETWEEN(1,2)%*L202*(M202+N202)*O202)</f>
        <v>#N/A</v>
      </c>
      <c r="R202" s="125">
        <f>VLOOKUP(D:D,ranking!W:X,2,0)</f>
        <v>0.8</v>
      </c>
      <c r="S202" s="126" t="e">
        <f ca="1">R202*Q202</f>
        <v>#N/A</v>
      </c>
      <c r="T202" s="123">
        <v>0.89072146028057231</v>
      </c>
    </row>
    <row r="203" spans="1:20" x14ac:dyDescent="0.25">
      <c r="A203" s="98" t="s">
        <v>1781</v>
      </c>
      <c r="B203" s="98" t="s">
        <v>85</v>
      </c>
      <c r="C203" s="46" t="s">
        <v>123</v>
      </c>
      <c r="D203" s="46" t="s">
        <v>1013</v>
      </c>
      <c r="E203" s="119" t="s">
        <v>211</v>
      </c>
      <c r="F203" s="46" t="s">
        <v>213</v>
      </c>
      <c r="G203" s="134" t="s">
        <v>1896</v>
      </c>
      <c r="H203" s="46" t="s">
        <v>19</v>
      </c>
      <c r="I203" s="129" t="s">
        <v>254</v>
      </c>
      <c r="J203" s="132"/>
      <c r="K203" s="46" t="s">
        <v>1977</v>
      </c>
      <c r="L203" s="123">
        <f>VLOOKUP($C203&amp;$E203,'Updated SES'!A:N,14,0)</f>
        <v>55.459200000000003</v>
      </c>
      <c r="M203" s="124" t="e">
        <f>VLOOKUP($K203,'Genre Penetration'!A:B,2,0)*VLOOKUP($C203&amp;$E203,'Updated SES'!A:I,9,0)</f>
        <v>#N/A</v>
      </c>
      <c r="N203" s="124" t="e">
        <f>VLOOKUP(K:K,'Genre Penetration'!A:C,3,0)*VLOOKUP($C203&amp;$E203,'Updated SES'!A:J,10,0)</f>
        <v>#N/A</v>
      </c>
      <c r="O203" s="124" t="e">
        <f>VLOOKUP($B203,'Language Penetration'!$B$1:$BE$14,MATCH('Compile data Working'!$H62,'Language Penetration'!$B$1:$BE$1,0),0)</f>
        <v>#N/A</v>
      </c>
      <c r="P203" s="124" t="str">
        <f ca="1">IF(ISBLANK(J203),RANDBETWEEN(1,2)&amp;"%",IF(J203=1,RANDBETWEEN(35,40)&amp;"%",IF(J203=2,RANDBETWEEN(30,35)&amp;"%",IF(J203=3,RANDBETWEEN(25,30)&amp;"%",IF(J203=4,RANDBETWEEN(20,25)&amp;"%",IF(J203=5,RANDBETWEEN(15,20)&amp;"%",IF(J203=6,RANDBETWEEN(10,15)&amp;"%",IF(J203=7,RANDBETWEEN(8,10)&amp;"%",IF(J203=8,RANDBETWEEN(6,8)&amp;"%",IF(J203=9,RANDBETWEEN(4,6)&amp;"%",IF(J203=10,RANDBETWEEN(2,4)&amp;"%","")))))))))))</f>
        <v>2%</v>
      </c>
      <c r="Q203" s="123" t="e">
        <f ca="1">IFERROR(L203*(M203+N203)*O203*P203,RANDBETWEEN(1,2)%*L203*(M203+N203)*O203)</f>
        <v>#N/A</v>
      </c>
      <c r="R203" s="125">
        <f>VLOOKUP(D:D,ranking!W:X,2,0)</f>
        <v>0.8</v>
      </c>
      <c r="S203" s="126" t="e">
        <f ca="1">R203*Q203</f>
        <v>#N/A</v>
      </c>
      <c r="T203" s="123">
        <v>0.87549234963498701</v>
      </c>
    </row>
    <row r="204" spans="1:20" x14ac:dyDescent="0.25">
      <c r="A204" s="98" t="s">
        <v>1781</v>
      </c>
      <c r="B204" s="98" t="s">
        <v>85</v>
      </c>
      <c r="C204" s="46" t="s">
        <v>150</v>
      </c>
      <c r="D204" s="46" t="s">
        <v>1013</v>
      </c>
      <c r="E204" s="119" t="s">
        <v>211</v>
      </c>
      <c r="F204" s="46" t="s">
        <v>213</v>
      </c>
      <c r="G204" s="134" t="s">
        <v>1929</v>
      </c>
      <c r="H204" s="46" t="s">
        <v>19</v>
      </c>
      <c r="I204" s="129">
        <v>45485</v>
      </c>
      <c r="J204" s="132"/>
      <c r="K204" s="46" t="s">
        <v>1082</v>
      </c>
      <c r="L204" s="123">
        <f>VLOOKUP($C204&amp;$E204,'Updated SES'!A:N,14,0)</f>
        <v>60.152000000000001</v>
      </c>
      <c r="M204" s="124">
        <f>VLOOKUP($K204,'Genre Penetration'!A:B,2,0)*VLOOKUP($C204&amp;$E204,'Updated SES'!A:I,9,0)</f>
        <v>0.35750000000000004</v>
      </c>
      <c r="N204" s="124">
        <f>VLOOKUP(K:K,'Genre Penetration'!A:C,3,0)*VLOOKUP($C204&amp;$E204,'Updated SES'!A:J,10,0)</f>
        <v>0.1575</v>
      </c>
      <c r="O204" s="124">
        <f>VLOOKUP($B204,'Language Penetration'!$B$1:$BE$14,MATCH('Compile data Working'!$H87,'Language Penetration'!$B$1:$BE$1,0),0)</f>
        <v>0.2</v>
      </c>
      <c r="P204" s="124" t="str">
        <f ca="1">IF(ISBLANK(J204),RANDBETWEEN(1,2)&amp;"%",IF(J204=1,RANDBETWEEN(35,40)&amp;"%",IF(J204=2,RANDBETWEEN(30,35)&amp;"%",IF(J204=3,RANDBETWEEN(25,30)&amp;"%",IF(J204=4,RANDBETWEEN(20,25)&amp;"%",IF(J204=5,RANDBETWEEN(15,20)&amp;"%",IF(J204=6,RANDBETWEEN(10,15)&amp;"%",IF(J204=7,RANDBETWEEN(8,10)&amp;"%",IF(J204=8,RANDBETWEEN(6,8)&amp;"%",IF(J204=9,RANDBETWEEN(4,6)&amp;"%",IF(J204=10,RANDBETWEEN(2,4)&amp;"%","")))))))))))</f>
        <v>1%</v>
      </c>
      <c r="Q204" s="123">
        <f ca="1">IFERROR(L204*(M204+N204)*O204*P204,RANDBETWEEN(1,2)%*L204*(M204+N204)*O204)</f>
        <v>6.1956560000000008E-2</v>
      </c>
      <c r="R204" s="125">
        <f>VLOOKUP(D:D,ranking!W:X,2,0)</f>
        <v>0.8</v>
      </c>
      <c r="S204" s="126">
        <f ca="1">R204*Q204</f>
        <v>4.9565248000000006E-2</v>
      </c>
      <c r="T204" s="123">
        <v>0.8599776311560029</v>
      </c>
    </row>
    <row r="205" spans="1:20" x14ac:dyDescent="0.25">
      <c r="A205" s="98" t="s">
        <v>1781</v>
      </c>
      <c r="B205" s="98" t="s">
        <v>85</v>
      </c>
      <c r="C205" s="46" t="s">
        <v>123</v>
      </c>
      <c r="D205" s="46" t="s">
        <v>1012</v>
      </c>
      <c r="E205" s="119" t="s">
        <v>211</v>
      </c>
      <c r="F205" s="46" t="s">
        <v>215</v>
      </c>
      <c r="G205" s="134" t="s">
        <v>1849</v>
      </c>
      <c r="H205" s="46" t="s">
        <v>19</v>
      </c>
      <c r="I205" s="129">
        <v>43089</v>
      </c>
      <c r="J205" s="133"/>
      <c r="K205" s="46" t="s">
        <v>1076</v>
      </c>
      <c r="L205" s="123">
        <f>VLOOKUP($C205&amp;$E205,'Updated SES'!A:N,14,0)</f>
        <v>55.459200000000003</v>
      </c>
      <c r="M205" s="124">
        <f>VLOOKUP($K205,'Genre Penetration'!A:B,2,0)*VLOOKUP($C205&amp;$E205,'Updated SES'!A:I,9,0)</f>
        <v>0.26950000000000002</v>
      </c>
      <c r="N205" s="124">
        <f>VLOOKUP(K:K,'Genre Penetration'!A:C,3,0)*VLOOKUP($C205&amp;$E205,'Updated SES'!A:J,10,0)</f>
        <v>0.22950000000000001</v>
      </c>
      <c r="O205" s="124">
        <f>VLOOKUP($B205,'Language Penetration'!$B$1:$BE$14,MATCH('Compile data Working'!$H124,'Language Penetration'!$B$1:$BE$1,0),0)</f>
        <v>0.6</v>
      </c>
      <c r="P205" s="124" t="str">
        <f ca="1">IF(ISBLANK(J205),RANDBETWEEN(1,2)&amp;"%",IF(J205=1,RANDBETWEEN(35,40)&amp;"%",IF(J205=2,RANDBETWEEN(30,35)&amp;"%",IF(J205=3,RANDBETWEEN(25,30)&amp;"%",IF(J205=4,RANDBETWEEN(20,25)&amp;"%",IF(J205=5,RANDBETWEEN(15,20)&amp;"%",IF(J205=6,RANDBETWEEN(10,15)&amp;"%",IF(J205=7,RANDBETWEEN(8,10)&amp;"%",IF(J205=8,RANDBETWEEN(6,8)&amp;"%",IF(J205=9,RANDBETWEEN(4,6)&amp;"%",IF(J205=10,RANDBETWEEN(2,4)&amp;"%","")))))))))))</f>
        <v>1%</v>
      </c>
      <c r="Q205" s="123">
        <f ca="1">IFERROR(L205*(M205+N205)*O205*P205,RANDBETWEEN(1,2)%*L205*(M205+N205)*O205)</f>
        <v>0.16604484480000001</v>
      </c>
      <c r="R205" s="125">
        <f>VLOOKUP(D:D,ranking!W:X,2,0)</f>
        <v>0.6</v>
      </c>
      <c r="S205" s="126">
        <f ca="1">R205*Q205</f>
        <v>9.9626906880000005E-2</v>
      </c>
      <c r="T205" s="123">
        <v>0.82880017120072502</v>
      </c>
    </row>
    <row r="206" spans="1:20" x14ac:dyDescent="0.25">
      <c r="A206" s="98" t="s">
        <v>1781</v>
      </c>
      <c r="B206" s="98" t="s">
        <v>85</v>
      </c>
      <c r="C206" s="46" t="s">
        <v>906</v>
      </c>
      <c r="D206" s="46" t="s">
        <v>1013</v>
      </c>
      <c r="E206" s="119" t="s">
        <v>211</v>
      </c>
      <c r="F206" s="46" t="s">
        <v>213</v>
      </c>
      <c r="G206" s="134" t="s">
        <v>1903</v>
      </c>
      <c r="H206" s="46" t="s">
        <v>19</v>
      </c>
      <c r="I206" s="129">
        <v>45860</v>
      </c>
      <c r="J206" s="133"/>
      <c r="K206" s="46" t="s">
        <v>216</v>
      </c>
      <c r="L206" s="123">
        <f>VLOOKUP($C206&amp;$E206,'Updated SES'!A:N,14,0)</f>
        <v>127.11702000000001</v>
      </c>
      <c r="M206" s="124">
        <f>VLOOKUP($K206,'Genre Penetration'!A:B,2,0)*VLOOKUP($C206&amp;$E206,'Updated SES'!A:I,9,0)</f>
        <v>0.33499999999999996</v>
      </c>
      <c r="N206" s="124">
        <f>VLOOKUP(K:K,'Genre Penetration'!A:C,3,0)*VLOOKUP($C206&amp;$E206,'Updated SES'!A:J,10,0)</f>
        <v>0.16499999999999998</v>
      </c>
      <c r="O206" s="124" t="e">
        <f>VLOOKUP($B206,'Language Penetration'!$B$1:$BE$14,MATCH('Compile data Working'!$H152,'Language Penetration'!$B$1:$BE$1,0),0)</f>
        <v>#N/A</v>
      </c>
      <c r="P206" s="124" t="str">
        <f ca="1">IF(ISBLANK(J206),RANDBETWEEN(1,2)&amp;"%",IF(J206=1,RANDBETWEEN(35,40)&amp;"%",IF(J206=2,RANDBETWEEN(30,35)&amp;"%",IF(J206=3,RANDBETWEEN(25,30)&amp;"%",IF(J206=4,RANDBETWEEN(20,25)&amp;"%",IF(J206=5,RANDBETWEEN(15,20)&amp;"%",IF(J206=6,RANDBETWEEN(10,15)&amp;"%",IF(J206=7,RANDBETWEEN(8,10)&amp;"%",IF(J206=8,RANDBETWEEN(6,8)&amp;"%",IF(J206=9,RANDBETWEEN(4,6)&amp;"%",IF(J206=10,RANDBETWEEN(2,4)&amp;"%","")))))))))))</f>
        <v>2%</v>
      </c>
      <c r="Q206" s="123" t="e">
        <f ca="1">IFERROR(L206*(M206+N206)*O206*P206,RANDBETWEEN(1,2)%*L206*(M206+N206)*O206)</f>
        <v>#N/A</v>
      </c>
      <c r="R206" s="125">
        <f>VLOOKUP(D:D,ranking!W:X,2,0)</f>
        <v>0.8</v>
      </c>
      <c r="S206" s="126" t="e">
        <f ca="1">R206*Q206</f>
        <v>#N/A</v>
      </c>
      <c r="T206" s="123">
        <v>0.79873059658350298</v>
      </c>
    </row>
    <row r="207" spans="1:20" x14ac:dyDescent="0.25">
      <c r="A207" s="98" t="s">
        <v>1781</v>
      </c>
      <c r="B207" s="98" t="s">
        <v>85</v>
      </c>
      <c r="C207" s="46" t="s">
        <v>906</v>
      </c>
      <c r="D207" s="46" t="s">
        <v>1013</v>
      </c>
      <c r="E207" s="119" t="s">
        <v>211</v>
      </c>
      <c r="F207" s="46" t="s">
        <v>213</v>
      </c>
      <c r="G207" s="46" t="s">
        <v>1952</v>
      </c>
      <c r="H207" s="46" t="s">
        <v>19</v>
      </c>
      <c r="I207" s="129">
        <v>45819</v>
      </c>
      <c r="J207" s="133"/>
      <c r="K207" s="46" t="s">
        <v>191</v>
      </c>
      <c r="L207" s="123">
        <f>VLOOKUP($C207&amp;$E207,'Updated SES'!A:N,14,0)</f>
        <v>127.11702000000001</v>
      </c>
      <c r="M207" s="124">
        <f>VLOOKUP($K207,'Genre Penetration'!A:B,2,0)*VLOOKUP($C207&amp;$E207,'Updated SES'!A:I,9,0)</f>
        <v>0.33499999999999996</v>
      </c>
      <c r="N207" s="124">
        <f>VLOOKUP(K:K,'Genre Penetration'!A:C,3,0)*VLOOKUP($C207&amp;$E207,'Updated SES'!A:J,10,0)</f>
        <v>0.16499999999999998</v>
      </c>
      <c r="O207" s="124" t="e">
        <f>VLOOKUP($B207,'Language Penetration'!$B$1:$BE$14,MATCH('Compile data Working'!#REF!,'Language Penetration'!$B$1:$BE$1,0),0)</f>
        <v>#REF!</v>
      </c>
      <c r="P207" s="124" t="str">
        <f ca="1">IF(ISBLANK(J207),RANDBETWEEN(1,2)&amp;"%",IF(J207=1,RANDBETWEEN(35,40)&amp;"%",IF(J207=2,RANDBETWEEN(30,35)&amp;"%",IF(J207=3,RANDBETWEEN(25,30)&amp;"%",IF(J207=4,RANDBETWEEN(20,25)&amp;"%",IF(J207=5,RANDBETWEEN(15,20)&amp;"%",IF(J207=6,RANDBETWEEN(10,15)&amp;"%",IF(J207=7,RANDBETWEEN(8,10)&amp;"%",IF(J207=8,RANDBETWEEN(6,8)&amp;"%",IF(J207=9,RANDBETWEEN(4,6)&amp;"%",IF(J207=10,RANDBETWEEN(2,4)&amp;"%","")))))))))))</f>
        <v>2%</v>
      </c>
      <c r="Q207" s="123" t="e">
        <f ca="1">IFERROR(L207*(M207+N207)*O207*P207,RANDBETWEEN(1,2)%*L207*(M207+N207)*O207)</f>
        <v>#REF!</v>
      </c>
      <c r="R207" s="125">
        <f>VLOOKUP(D:D,ranking!W:X,2,0)</f>
        <v>0.8</v>
      </c>
      <c r="S207" s="126" t="e">
        <f ca="1">R207*Q207</f>
        <v>#REF!</v>
      </c>
      <c r="T207" s="123">
        <v>0.78290733186829808</v>
      </c>
    </row>
    <row r="208" spans="1:20" x14ac:dyDescent="0.25">
      <c r="A208" s="98" t="s">
        <v>1781</v>
      </c>
      <c r="B208" s="98" t="s">
        <v>85</v>
      </c>
      <c r="C208" s="46" t="s">
        <v>150</v>
      </c>
      <c r="D208" s="98" t="s">
        <v>456</v>
      </c>
      <c r="E208" s="98" t="s">
        <v>219</v>
      </c>
      <c r="F208" s="46" t="s">
        <v>1917</v>
      </c>
      <c r="G208" s="134" t="s">
        <v>1804</v>
      </c>
      <c r="H208" s="46" t="s">
        <v>29</v>
      </c>
      <c r="I208" s="129">
        <v>46097</v>
      </c>
      <c r="J208" s="133"/>
      <c r="K208" s="46" t="s">
        <v>1984</v>
      </c>
      <c r="L208" s="123">
        <f>VLOOKUP($C208&amp;$E208,'Updated SES'!A:N,14,0)</f>
        <v>24.425800000000002</v>
      </c>
      <c r="M208" s="124" t="e">
        <f>VLOOKUP($K208,'Genre Penetration'!A:B,2,0)*VLOOKUP($C208&amp;$E208,'Updated SES'!A:I,9,0)</f>
        <v>#N/A</v>
      </c>
      <c r="N208" s="124" t="e">
        <f>VLOOKUP(K:K,'Genre Penetration'!A:C,3,0)*VLOOKUP($C208&amp;$E208,'Updated SES'!A:J,10,0)</f>
        <v>#N/A</v>
      </c>
      <c r="O208" s="124" t="e">
        <f>VLOOKUP($B208,'Language Penetration'!$B$1:$BE$14,MATCH('Compile data Working'!$H155,'Language Penetration'!$B$1:$BE$1,0),0)</f>
        <v>#N/A</v>
      </c>
      <c r="P208" s="124" t="str">
        <f ca="1">IF(ISBLANK(J208),RANDBETWEEN(1,2)&amp;"%",IF(J208=1,RANDBETWEEN(35,40)&amp;"%",IF(J208=2,RANDBETWEEN(30,35)&amp;"%",IF(J208=3,RANDBETWEEN(25,30)&amp;"%",IF(J208=4,RANDBETWEEN(20,25)&amp;"%",IF(J208=5,RANDBETWEEN(15,20)&amp;"%",IF(J208=6,RANDBETWEEN(10,15)&amp;"%",IF(J208=7,RANDBETWEEN(8,10)&amp;"%",IF(J208=8,RANDBETWEEN(6,8)&amp;"%",IF(J208=9,RANDBETWEEN(4,6)&amp;"%",IF(J208=10,RANDBETWEEN(2,4)&amp;"%","")))))))))))</f>
        <v>1%</v>
      </c>
      <c r="Q208" s="123" t="e">
        <f ca="1">IFERROR(L208*(M208+N208)*O208*P208,RANDBETWEEN(1,2)%*L208*(M208+N208)*O208)</f>
        <v>#N/A</v>
      </c>
      <c r="R208" s="125">
        <f>VLOOKUP(D:D,ranking!W:X,2,0)</f>
        <v>0.3</v>
      </c>
      <c r="S208" s="126" t="e">
        <f ca="1">R208*Q208</f>
        <v>#N/A</v>
      </c>
      <c r="T208" s="123">
        <v>0.77185552694703241</v>
      </c>
    </row>
    <row r="209" spans="1:20" x14ac:dyDescent="0.25">
      <c r="A209" s="98" t="s">
        <v>1057</v>
      </c>
      <c r="B209" s="98" t="s">
        <v>85</v>
      </c>
      <c r="C209" s="46" t="s">
        <v>123</v>
      </c>
      <c r="D209" s="46" t="s">
        <v>431</v>
      </c>
      <c r="E209" s="46" t="s">
        <v>211</v>
      </c>
      <c r="F209" s="46" t="s">
        <v>215</v>
      </c>
      <c r="G209" s="134" t="s">
        <v>1855</v>
      </c>
      <c r="H209" s="46" t="s">
        <v>20</v>
      </c>
      <c r="I209" s="53">
        <v>46150</v>
      </c>
      <c r="J209" s="131">
        <v>9</v>
      </c>
      <c r="K209" s="46" t="s">
        <v>186</v>
      </c>
      <c r="L209" s="123">
        <f>VLOOKUP($C209&amp;$E209,'Updated SES'!A:N,14,0)</f>
        <v>55.459200000000003</v>
      </c>
      <c r="M209" s="124">
        <f>VLOOKUP($K209,'Genre Penetration'!A:B,2,0)*VLOOKUP($C209&amp;$E209,'Updated SES'!A:I,9,0)</f>
        <v>0.2646</v>
      </c>
      <c r="N209" s="124">
        <f>VLOOKUP(K:K,'Genre Penetration'!A:C,3,0)*VLOOKUP($C209&amp;$E209,'Updated SES'!A:J,10,0)</f>
        <v>0.2346</v>
      </c>
      <c r="O209" s="124" t="e">
        <f>VLOOKUP($B209,'Language Penetration'!$B$1:$BE$14,MATCH('Compile data Working'!$H75,'Language Penetration'!$B$1:$BE$1,0),0)</f>
        <v>#N/A</v>
      </c>
      <c r="P209" s="124" t="str">
        <f ca="1">IF(ISBLANK(J209),RANDBETWEEN(1,2)&amp;"%",IF(J209=1,RANDBETWEEN(35,40)&amp;"%",IF(J209=2,RANDBETWEEN(30,35)&amp;"%",IF(J209=3,RANDBETWEEN(25,30)&amp;"%",IF(J209=4,RANDBETWEEN(20,25)&amp;"%",IF(J209=5,RANDBETWEEN(15,20)&amp;"%",IF(J209=6,RANDBETWEEN(10,15)&amp;"%",IF(J209=7,RANDBETWEEN(8,10)&amp;"%",IF(J209=8,RANDBETWEEN(6,8)&amp;"%",IF(J209=9,RANDBETWEEN(4,6)&amp;"%",IF(J209=10,RANDBETWEEN(2,4)&amp;"%","")))))))))))</f>
        <v>5%</v>
      </c>
      <c r="Q209" s="123" t="e">
        <f ca="1">IFERROR(L209*(M209+N209)*O209*P209,RANDBETWEEN(1,2)%*L209*(M209+N209)*O209)</f>
        <v>#N/A</v>
      </c>
      <c r="R209" s="125">
        <f>VLOOKUP(D:D,ranking!W:X,2,0)</f>
        <v>0.6</v>
      </c>
      <c r="S209" s="126" t="e">
        <f ca="1">R209*Q209</f>
        <v>#N/A</v>
      </c>
      <c r="T209" s="123">
        <v>0.76197520240951677</v>
      </c>
    </row>
    <row r="210" spans="1:20" x14ac:dyDescent="0.25">
      <c r="A210" s="98" t="s">
        <v>1781</v>
      </c>
      <c r="B210" s="98" t="s">
        <v>85</v>
      </c>
      <c r="C210" s="46" t="s">
        <v>906</v>
      </c>
      <c r="D210" s="46" t="s">
        <v>1013</v>
      </c>
      <c r="E210" s="119" t="s">
        <v>211</v>
      </c>
      <c r="F210" s="46" t="s">
        <v>213</v>
      </c>
      <c r="G210" s="134" t="s">
        <v>1915</v>
      </c>
      <c r="H210" s="46" t="s">
        <v>19</v>
      </c>
      <c r="I210" s="129">
        <v>44609</v>
      </c>
      <c r="J210" s="131"/>
      <c r="K210" s="46" t="s">
        <v>1088</v>
      </c>
      <c r="L210" s="123">
        <f>VLOOKUP($C210&amp;$E210,'Updated SES'!A:N,14,0)</f>
        <v>127.11702000000001</v>
      </c>
      <c r="M210" s="124">
        <f>VLOOKUP($K210,'Genre Penetration'!A:B,2,0)*VLOOKUP($C210&amp;$E210,'Updated SES'!A:I,9,0)</f>
        <v>0.38524999999999993</v>
      </c>
      <c r="N210" s="124">
        <f>VLOOKUP(K:K,'Genre Penetration'!A:C,3,0)*VLOOKUP($C210&amp;$E210,'Updated SES'!A:J,10,0)</f>
        <v>0.14024999999999999</v>
      </c>
      <c r="O210" s="124" t="e">
        <f>VLOOKUP($B210,'Language Penetration'!$B$1:$BE$14,MATCH('Compile data Working'!$H144,'Language Penetration'!$B$1:$BE$1,0),0)</f>
        <v>#N/A</v>
      </c>
      <c r="P210" s="124" t="str">
        <f ca="1">IF(ISBLANK(J210),RANDBETWEEN(1,2)&amp;"%",IF(J210=1,RANDBETWEEN(35,40)&amp;"%",IF(J210=2,RANDBETWEEN(30,35)&amp;"%",IF(J210=3,RANDBETWEEN(25,30)&amp;"%",IF(J210=4,RANDBETWEEN(20,25)&amp;"%",IF(J210=5,RANDBETWEEN(15,20)&amp;"%",IF(J210=6,RANDBETWEEN(10,15)&amp;"%",IF(J210=7,RANDBETWEEN(8,10)&amp;"%",IF(J210=8,RANDBETWEEN(6,8)&amp;"%",IF(J210=9,RANDBETWEEN(4,6)&amp;"%",IF(J210=10,RANDBETWEEN(2,4)&amp;"%","")))))))))))</f>
        <v>1%</v>
      </c>
      <c r="Q210" s="123" t="e">
        <f ca="1">IFERROR(L210*(M210+N210)*O210*P210,RANDBETWEEN(1,2)%*L210*(M210+N210)*O210)</f>
        <v>#N/A</v>
      </c>
      <c r="R210" s="125">
        <f>VLOOKUP(D:D,ranking!W:X,2,0)</f>
        <v>0.8</v>
      </c>
      <c r="S210" s="126" t="e">
        <f ca="1">R210*Q210</f>
        <v>#N/A</v>
      </c>
      <c r="T210" s="123">
        <v>0.74705881105711058</v>
      </c>
    </row>
    <row r="211" spans="1:20" x14ac:dyDescent="0.25">
      <c r="A211" s="98" t="s">
        <v>1057</v>
      </c>
      <c r="B211" s="98" t="s">
        <v>85</v>
      </c>
      <c r="C211" s="46" t="s">
        <v>1229</v>
      </c>
      <c r="D211" s="46" t="s">
        <v>433</v>
      </c>
      <c r="E211" s="46" t="s">
        <v>219</v>
      </c>
      <c r="F211" s="46" t="s">
        <v>215</v>
      </c>
      <c r="G211" s="134" t="s">
        <v>1868</v>
      </c>
      <c r="H211" s="46" t="s">
        <v>19</v>
      </c>
      <c r="I211" s="53">
        <v>46092</v>
      </c>
      <c r="J211" s="131">
        <v>8</v>
      </c>
      <c r="K211" s="46" t="s">
        <v>173</v>
      </c>
      <c r="L211" s="123">
        <f>VLOOKUP($C211&amp;$E211,'Updated SES'!A:N,14,0)</f>
        <v>78.939870000000013</v>
      </c>
      <c r="M211" s="124">
        <f>VLOOKUP($K211,'Genre Penetration'!A:B,2,0)*VLOOKUP($C211&amp;$E211,'Updated SES'!A:I,9,0)</f>
        <v>0.44000000000000006</v>
      </c>
      <c r="N211" s="124">
        <f>VLOOKUP(K:K,'Genre Penetration'!A:C,3,0)*VLOOKUP($C211&amp;$E211,'Updated SES'!A:J,10,0)</f>
        <v>9.0000000000000011E-2</v>
      </c>
      <c r="O211" s="124">
        <f>VLOOKUP($B211,'Language Penetration'!$B$1:$BE$14,MATCH('Compile data Working'!$H7,'Language Penetration'!$B$1:$BE$1,0),0)</f>
        <v>0.6</v>
      </c>
      <c r="P211" s="124" t="str">
        <f ca="1">IF(ISBLANK(J211),RANDBETWEEN(1,2)&amp;"%",IF(J211=1,RANDBETWEEN(35,40)&amp;"%",IF(J211=2,RANDBETWEEN(30,35)&amp;"%",IF(J211=3,RANDBETWEEN(25,30)&amp;"%",IF(J211=4,RANDBETWEEN(20,25)&amp;"%",IF(J211=5,RANDBETWEEN(15,20)&amp;"%",IF(J211=6,RANDBETWEEN(10,15)&amp;"%",IF(J211=7,RANDBETWEEN(8,10)&amp;"%",IF(J211=8,RANDBETWEEN(6,8)&amp;"%",IF(J211=9,RANDBETWEEN(4,6)&amp;"%",IF(J211=10,RANDBETWEEN(2,4)&amp;"%","")))))))))))</f>
        <v>8%</v>
      </c>
      <c r="Q211" s="123">
        <f ca="1">IFERROR(L211*(M211+N211)*O211*P211,RANDBETWEEN(1,2)%*L211*(M211+N211)*O211)</f>
        <v>2.0082302928000004</v>
      </c>
      <c r="R211" s="125">
        <f>VLOOKUP(D:D,ranking!W:X,2,0)</f>
        <v>0.6</v>
      </c>
      <c r="S211" s="126">
        <f ca="1">R211*Q211</f>
        <v>1.2049381756800002</v>
      </c>
      <c r="T211" s="123">
        <v>0.74415956485177415</v>
      </c>
    </row>
    <row r="212" spans="1:20" x14ac:dyDescent="0.25">
      <c r="A212" s="98" t="s">
        <v>1057</v>
      </c>
      <c r="B212" s="98" t="s">
        <v>85</v>
      </c>
      <c r="C212" s="98" t="s">
        <v>406</v>
      </c>
      <c r="D212" s="98" t="s">
        <v>431</v>
      </c>
      <c r="E212" s="98" t="s">
        <v>211</v>
      </c>
      <c r="F212" s="46" t="s">
        <v>215</v>
      </c>
      <c r="G212" s="130" t="s">
        <v>1853</v>
      </c>
      <c r="H212" s="119" t="s">
        <v>1891</v>
      </c>
      <c r="I212" s="106">
        <v>46080</v>
      </c>
      <c r="J212" s="131">
        <v>10</v>
      </c>
      <c r="K212" s="98" t="s">
        <v>69</v>
      </c>
      <c r="L212" s="123">
        <f>VLOOKUP($C212&amp;$E212,'Updated SES'!A:N,14,0)</f>
        <v>1.669</v>
      </c>
      <c r="M212" s="124">
        <f>VLOOKUP($K212,'Genre Penetration'!A:B,2,0)*VLOOKUP($C212&amp;$E212,'Updated SES'!A:I,9,0)</f>
        <v>0.42</v>
      </c>
      <c r="N212" s="124">
        <f>VLOOKUP(K:K,'Genre Penetration'!A:C,3,0)*VLOOKUP($C212&amp;$E212,'Updated SES'!A:J,10,0)</f>
        <v>0.12</v>
      </c>
      <c r="O212" s="124" t="e">
        <f>VLOOKUP($B212,'Language Penetration'!$B$1:$BE$14,MATCH('Compile data Working'!$H120,'Language Penetration'!$B$1:$BE$1,0),0)</f>
        <v>#N/A</v>
      </c>
      <c r="P212" s="124" t="str">
        <f ca="1">IF(ISBLANK(J212),RANDBETWEEN(1,2)&amp;"%",IF(J212=1,RANDBETWEEN(35,40)&amp;"%",IF(J212=2,RANDBETWEEN(30,35)&amp;"%",IF(J212=3,RANDBETWEEN(25,30)&amp;"%",IF(J212=4,RANDBETWEEN(20,25)&amp;"%",IF(J212=5,RANDBETWEEN(15,20)&amp;"%",IF(J212=6,RANDBETWEEN(10,15)&amp;"%",IF(J212=7,RANDBETWEEN(8,10)&amp;"%",IF(J212=8,RANDBETWEEN(6,8)&amp;"%",IF(J212=9,RANDBETWEEN(4,6)&amp;"%",IF(J212=10,RANDBETWEEN(2,4)&amp;"%","")))))))))))</f>
        <v>3%</v>
      </c>
      <c r="Q212" s="123" t="e">
        <f ca="1">IFERROR(L212*(M212+N212)*O212*P212,RANDBETWEEN(1,2)%*L212*(M212+N212)*O212)</f>
        <v>#N/A</v>
      </c>
      <c r="R212" s="125">
        <f>VLOOKUP(D:D,ranking!W:X,2,0)</f>
        <v>0.6</v>
      </c>
      <c r="S212" s="126" t="e">
        <f ca="1">R212*Q212</f>
        <v>#N/A</v>
      </c>
      <c r="T212" s="123">
        <v>0.73387638682574907</v>
      </c>
    </row>
    <row r="213" spans="1:20" x14ac:dyDescent="0.25">
      <c r="A213" s="98" t="s">
        <v>1057</v>
      </c>
      <c r="B213" s="98" t="s">
        <v>85</v>
      </c>
      <c r="C213" s="98" t="s">
        <v>150</v>
      </c>
      <c r="D213" s="98" t="s">
        <v>434</v>
      </c>
      <c r="E213" s="98" t="s">
        <v>211</v>
      </c>
      <c r="F213" s="46" t="s">
        <v>213</v>
      </c>
      <c r="G213" s="130" t="s">
        <v>1885</v>
      </c>
      <c r="H213" s="98" t="s">
        <v>19</v>
      </c>
      <c r="I213" s="106">
        <v>46129</v>
      </c>
      <c r="J213" s="131">
        <v>5</v>
      </c>
      <c r="K213" s="98" t="s">
        <v>202</v>
      </c>
      <c r="L213" s="123">
        <f>VLOOKUP($C213&amp;$E213,'Updated SES'!A:N,14,0)</f>
        <v>60.152000000000001</v>
      </c>
      <c r="M213" s="124">
        <f>VLOOKUP($K213,'Genre Penetration'!A:B,2,0)*VLOOKUP($C213&amp;$E213,'Updated SES'!A:I,9,0)</f>
        <v>0.46799999999999997</v>
      </c>
      <c r="N213" s="124">
        <f>VLOOKUP(K:K,'Genre Penetration'!A:C,3,0)*VLOOKUP($C213&amp;$E213,'Updated SES'!A:J,10,0)</f>
        <v>9.8000000000000004E-2</v>
      </c>
      <c r="O213" s="124" t="e">
        <f>VLOOKUP($B213,'Language Penetration'!$B$1:$BE$14,MATCH('Compile data Working'!#REF!,'Language Penetration'!$B$1:$BE$1,0),0)</f>
        <v>#REF!</v>
      </c>
      <c r="P213" s="124" t="str">
        <f ca="1">IF(ISBLANK(J213),RANDBETWEEN(1,2)&amp;"%",IF(J213=1,RANDBETWEEN(35,40)&amp;"%",IF(J213=2,RANDBETWEEN(30,35)&amp;"%",IF(J213=3,RANDBETWEEN(25,30)&amp;"%",IF(J213=4,RANDBETWEEN(20,25)&amp;"%",IF(J213=5,RANDBETWEEN(15,20)&amp;"%",IF(J213=6,RANDBETWEEN(10,15)&amp;"%",IF(J213=7,RANDBETWEEN(8,10)&amp;"%",IF(J213=8,RANDBETWEEN(6,8)&amp;"%",IF(J213=9,RANDBETWEEN(4,6)&amp;"%",IF(J213=10,RANDBETWEEN(2,4)&amp;"%","")))))))))))</f>
        <v>20%</v>
      </c>
      <c r="Q213" s="123" t="e">
        <f ca="1">IFERROR(L213*(M213+N213)*O213*P213,RANDBETWEEN(1,2)%*L213*(M213+N213)*O213)</f>
        <v>#REF!</v>
      </c>
      <c r="R213" s="125">
        <f>VLOOKUP(D:D,ranking!W:X,2,0)</f>
        <v>0.7</v>
      </c>
      <c r="S213" s="126" t="e">
        <f ca="1">R213*Q213</f>
        <v>#REF!</v>
      </c>
      <c r="T213" s="123">
        <v>0.72881220998592</v>
      </c>
    </row>
    <row r="214" spans="1:20" x14ac:dyDescent="0.25">
      <c r="A214" s="98" t="s">
        <v>1057</v>
      </c>
      <c r="B214" s="98" t="s">
        <v>85</v>
      </c>
      <c r="C214" s="98" t="s">
        <v>406</v>
      </c>
      <c r="D214" s="98" t="s">
        <v>431</v>
      </c>
      <c r="E214" s="98" t="s">
        <v>211</v>
      </c>
      <c r="F214" s="46" t="s">
        <v>215</v>
      </c>
      <c r="G214" s="135" t="s">
        <v>1842</v>
      </c>
      <c r="H214" s="119" t="s">
        <v>20</v>
      </c>
      <c r="I214" s="106">
        <v>46127</v>
      </c>
      <c r="J214" s="131">
        <v>5</v>
      </c>
      <c r="K214" s="98" t="s">
        <v>138</v>
      </c>
      <c r="L214" s="123">
        <f>VLOOKUP($C214&amp;$E214,'Updated SES'!A:N,14,0)</f>
        <v>1.669</v>
      </c>
      <c r="M214" s="124">
        <f>VLOOKUP($K214,'Genre Penetration'!A:B,2,0)*VLOOKUP($C214&amp;$E214,'Updated SES'!A:I,9,0)</f>
        <v>0.28199999999999997</v>
      </c>
      <c r="N214" s="124">
        <f>VLOOKUP(K:K,'Genre Penetration'!A:C,3,0)*VLOOKUP($C214&amp;$E214,'Updated SES'!A:J,10,0)</f>
        <v>0.21200000000000002</v>
      </c>
      <c r="O214" s="124">
        <f>VLOOKUP($B214,'Language Penetration'!$B$1:$BE$14,MATCH('Compile data Working'!$H56,'Language Penetration'!$B$1:$BE$1,0),0)</f>
        <v>0.2</v>
      </c>
      <c r="P214" s="124" t="str">
        <f ca="1">IF(ISBLANK(J214),RANDBETWEEN(1,2)&amp;"%",IF(J214=1,RANDBETWEEN(35,40)&amp;"%",IF(J214=2,RANDBETWEEN(30,35)&amp;"%",IF(J214=3,RANDBETWEEN(25,30)&amp;"%",IF(J214=4,RANDBETWEEN(20,25)&amp;"%",IF(J214=5,RANDBETWEEN(15,20)&amp;"%",IF(J214=6,RANDBETWEEN(10,15)&amp;"%",IF(J214=7,RANDBETWEEN(8,10)&amp;"%",IF(J214=8,RANDBETWEEN(6,8)&amp;"%",IF(J214=9,RANDBETWEEN(4,6)&amp;"%",IF(J214=10,RANDBETWEEN(2,4)&amp;"%","")))))))))))</f>
        <v>20%</v>
      </c>
      <c r="Q214" s="123">
        <f ca="1">IFERROR(L214*(M214+N214)*O214*P214,RANDBETWEEN(1,2)%*L214*(M214+N214)*O214)</f>
        <v>3.2979440000000006E-2</v>
      </c>
      <c r="R214" s="125">
        <f>VLOOKUP(D:D,ranking!W:X,2,0)</f>
        <v>0.6</v>
      </c>
      <c r="S214" s="126">
        <f ca="1">R214*Q214</f>
        <v>1.9787664000000003E-2</v>
      </c>
      <c r="T214" s="123">
        <v>0.72211446613663144</v>
      </c>
    </row>
    <row r="215" spans="1:20" x14ac:dyDescent="0.25">
      <c r="A215" s="98" t="s">
        <v>1781</v>
      </c>
      <c r="B215" s="98" t="s">
        <v>85</v>
      </c>
      <c r="C215" s="46" t="s">
        <v>906</v>
      </c>
      <c r="D215" s="98" t="s">
        <v>456</v>
      </c>
      <c r="E215" s="98" t="s">
        <v>211</v>
      </c>
      <c r="F215" s="46" t="s">
        <v>1917</v>
      </c>
      <c r="G215" s="134" t="s">
        <v>1924</v>
      </c>
      <c r="H215" s="46" t="s">
        <v>1967</v>
      </c>
      <c r="I215" s="129">
        <v>45313</v>
      </c>
      <c r="J215" s="131"/>
      <c r="K215" s="46" t="s">
        <v>950</v>
      </c>
      <c r="L215" s="123">
        <f>VLOOKUP($C215&amp;$E215,'Updated SES'!A:N,14,0)</f>
        <v>127.11702000000001</v>
      </c>
      <c r="M215" s="124" t="e">
        <f>VLOOKUP($K215,'Genre Penetration'!A:B,2,0)*VLOOKUP($C215&amp;$E215,'Updated SES'!A:I,9,0)</f>
        <v>#N/A</v>
      </c>
      <c r="N215" s="124" t="e">
        <f>VLOOKUP(K:K,'Genre Penetration'!A:C,3,0)*VLOOKUP($C215&amp;$E215,'Updated SES'!A:J,10,0)</f>
        <v>#N/A</v>
      </c>
      <c r="O215" s="124">
        <f>VLOOKUP($B215,'Language Penetration'!$B$1:$BE$14,MATCH('Compile data Working'!$H78,'Language Penetration'!$B$1:$BE$1,0),0)</f>
        <v>0.2</v>
      </c>
      <c r="P215" s="124" t="str">
        <f ca="1">IF(ISBLANK(J215),RANDBETWEEN(1,2)&amp;"%",IF(J215=1,RANDBETWEEN(35,40)&amp;"%",IF(J215=2,RANDBETWEEN(30,35)&amp;"%",IF(J215=3,RANDBETWEEN(25,30)&amp;"%",IF(J215=4,RANDBETWEEN(20,25)&amp;"%",IF(J215=5,RANDBETWEEN(15,20)&amp;"%",IF(J215=6,RANDBETWEEN(10,15)&amp;"%",IF(J215=7,RANDBETWEEN(8,10)&amp;"%",IF(J215=8,RANDBETWEEN(6,8)&amp;"%",IF(J215=9,RANDBETWEEN(4,6)&amp;"%",IF(J215=10,RANDBETWEEN(2,4)&amp;"%","")))))))))))</f>
        <v>2%</v>
      </c>
      <c r="Q215" s="123" t="e">
        <f ca="1">IFERROR(L215*(M215+N215)*O215*P215,RANDBETWEEN(1,2)%*L215*(M215+N215)*O215)</f>
        <v>#N/A</v>
      </c>
      <c r="R215" s="125">
        <f>VLOOKUP(D:D,ranking!W:X,2,0)</f>
        <v>0.3</v>
      </c>
      <c r="S215" s="126" t="e">
        <f ca="1">R215*Q215</f>
        <v>#N/A</v>
      </c>
      <c r="T215" s="123">
        <v>0.71824760996496817</v>
      </c>
    </row>
    <row r="216" spans="1:20" x14ac:dyDescent="0.25">
      <c r="A216" s="98" t="s">
        <v>1057</v>
      </c>
      <c r="B216" s="98" t="s">
        <v>85</v>
      </c>
      <c r="C216" s="98" t="s">
        <v>406</v>
      </c>
      <c r="D216" s="98" t="s">
        <v>431</v>
      </c>
      <c r="E216" s="98" t="s">
        <v>211</v>
      </c>
      <c r="F216" s="46" t="s">
        <v>215</v>
      </c>
      <c r="G216" s="135" t="s">
        <v>1801</v>
      </c>
      <c r="H216" s="119" t="s">
        <v>20</v>
      </c>
      <c r="I216" s="106">
        <v>46115</v>
      </c>
      <c r="J216" s="131">
        <v>1</v>
      </c>
      <c r="K216" s="120" t="s">
        <v>170</v>
      </c>
      <c r="L216" s="123">
        <f>VLOOKUP($C216&amp;$E216,'Updated SES'!A:N,14,0)</f>
        <v>1.669</v>
      </c>
      <c r="M216" s="124">
        <f>VLOOKUP($K216,'Genre Penetration'!A:B,2,0)*VLOOKUP($C216&amp;$E216,'Updated SES'!A:I,9,0)</f>
        <v>0.34799999999999998</v>
      </c>
      <c r="N216" s="124">
        <f>VLOOKUP(K:K,'Genre Penetration'!A:C,3,0)*VLOOKUP($C216&amp;$E216,'Updated SES'!A:J,10,0)</f>
        <v>0.16800000000000001</v>
      </c>
      <c r="O216" s="124">
        <f>VLOOKUP($B216,'Language Penetration'!$B$1:$BE$14,MATCH('Compile data Working'!$H208,'Language Penetration'!$B$1:$BE$1,0),0)</f>
        <v>0.12</v>
      </c>
      <c r="P216" s="124" t="str">
        <f ca="1">IF(ISBLANK(J216),RANDBETWEEN(1,2)&amp;"%",IF(J216=1,RANDBETWEEN(35,40)&amp;"%",IF(J216=2,RANDBETWEEN(30,35)&amp;"%",IF(J216=3,RANDBETWEEN(25,30)&amp;"%",IF(J216=4,RANDBETWEEN(20,25)&amp;"%",IF(J216=5,RANDBETWEEN(15,20)&amp;"%",IF(J216=6,RANDBETWEEN(10,15)&amp;"%",IF(J216=7,RANDBETWEEN(8,10)&amp;"%",IF(J216=8,RANDBETWEEN(6,8)&amp;"%",IF(J216=9,RANDBETWEEN(4,6)&amp;"%",IF(J216=10,RANDBETWEEN(2,4)&amp;"%","")))))))))))</f>
        <v>40%</v>
      </c>
      <c r="Q216" s="123">
        <f ca="1">IFERROR(L216*(M216+N216)*O216*P216,RANDBETWEEN(1,2)%*L216*(M216+N216)*O216)</f>
        <v>4.1337792000000005E-2</v>
      </c>
      <c r="R216" s="125">
        <f>VLOOKUP(D:D,ranking!W:X,2,0)</f>
        <v>0.6</v>
      </c>
      <c r="S216" s="126">
        <f ca="1">R216*Q216</f>
        <v>2.4802675200000002E-2</v>
      </c>
      <c r="T216" s="123">
        <v>0.71809656756632467</v>
      </c>
    </row>
    <row r="217" spans="1:20" x14ac:dyDescent="0.25">
      <c r="A217" s="98" t="s">
        <v>1781</v>
      </c>
      <c r="B217" s="98" t="s">
        <v>85</v>
      </c>
      <c r="C217" s="46" t="s">
        <v>906</v>
      </c>
      <c r="D217" s="98" t="s">
        <v>456</v>
      </c>
      <c r="E217" s="98" t="s">
        <v>211</v>
      </c>
      <c r="F217" s="46" t="s">
        <v>1917</v>
      </c>
      <c r="G217" s="134" t="s">
        <v>1936</v>
      </c>
      <c r="H217" s="46" t="s">
        <v>29</v>
      </c>
      <c r="I217" s="129">
        <v>46027</v>
      </c>
      <c r="J217" s="133"/>
      <c r="K217" s="46" t="s">
        <v>1083</v>
      </c>
      <c r="L217" s="123">
        <f>VLOOKUP($C217&amp;$E217,'Updated SES'!A:N,14,0)</f>
        <v>127.11702000000001</v>
      </c>
      <c r="M217" s="124">
        <f>VLOOKUP($K217,'Genre Penetration'!A:B,2,0)*VLOOKUP($C217&amp;$E217,'Updated SES'!A:I,9,0)</f>
        <v>0.33499999999999996</v>
      </c>
      <c r="N217" s="124">
        <f>VLOOKUP(K:K,'Genre Penetration'!A:C,3,0)*VLOOKUP($C217&amp;$E217,'Updated SES'!A:J,10,0)</f>
        <v>0.16499999999999998</v>
      </c>
      <c r="O217" s="124">
        <f>VLOOKUP($B217,'Language Penetration'!$B$1:$BE$14,MATCH('Compile data Working'!$H116,'Language Penetration'!$B$1:$BE$1,0),0)</f>
        <v>0.2</v>
      </c>
      <c r="P217" s="124" t="str">
        <f ca="1">IF(ISBLANK(J217),RANDBETWEEN(1,2)&amp;"%",IF(J217=1,RANDBETWEEN(35,40)&amp;"%",IF(J217=2,RANDBETWEEN(30,35)&amp;"%",IF(J217=3,RANDBETWEEN(25,30)&amp;"%",IF(J217=4,RANDBETWEEN(20,25)&amp;"%",IF(J217=5,RANDBETWEEN(15,20)&amp;"%",IF(J217=6,RANDBETWEEN(10,15)&amp;"%",IF(J217=7,RANDBETWEEN(8,10)&amp;"%",IF(J217=8,RANDBETWEEN(6,8)&amp;"%",IF(J217=9,RANDBETWEEN(4,6)&amp;"%",IF(J217=10,RANDBETWEEN(2,4)&amp;"%","")))))))))))</f>
        <v>1%</v>
      </c>
      <c r="Q217" s="123">
        <f ca="1">IFERROR(L217*(M217+N217)*O217*P217,RANDBETWEEN(1,2)%*L217*(M217+N217)*O217)</f>
        <v>0.12711702</v>
      </c>
      <c r="R217" s="125">
        <f>VLOOKUP(D:D,ranking!W:X,2,0)</f>
        <v>0.3</v>
      </c>
      <c r="S217" s="126">
        <f ca="1">R217*Q217</f>
        <v>3.8135105999999995E-2</v>
      </c>
      <c r="T217" s="123">
        <v>0.71650273939358178</v>
      </c>
    </row>
    <row r="218" spans="1:20" x14ac:dyDescent="0.25">
      <c r="A218" s="98" t="s">
        <v>1781</v>
      </c>
      <c r="B218" s="98" t="s">
        <v>85</v>
      </c>
      <c r="C218" s="46" t="s">
        <v>906</v>
      </c>
      <c r="D218" s="46" t="s">
        <v>1013</v>
      </c>
      <c r="E218" s="119" t="s">
        <v>211</v>
      </c>
      <c r="F218" s="46" t="s">
        <v>213</v>
      </c>
      <c r="G218" s="134" t="s">
        <v>1848</v>
      </c>
      <c r="H218" s="46" t="s">
        <v>19</v>
      </c>
      <c r="I218" s="129">
        <v>46023</v>
      </c>
      <c r="J218" s="131"/>
      <c r="K218" s="46" t="s">
        <v>1087</v>
      </c>
      <c r="L218" s="123">
        <f>VLOOKUP($C218&amp;$E218,'Updated SES'!A:N,14,0)</f>
        <v>127.11702000000001</v>
      </c>
      <c r="M218" s="124">
        <f>VLOOKUP($K218,'Genre Penetration'!A:B,2,0)*VLOOKUP($C218&amp;$E218,'Updated SES'!A:I,9,0)</f>
        <v>0.35509999999999997</v>
      </c>
      <c r="N218" s="124">
        <f>VLOOKUP(K:K,'Genre Penetration'!A:C,3,0)*VLOOKUP($C218&amp;$E218,'Updated SES'!A:J,10,0)</f>
        <v>0.15509999999999996</v>
      </c>
      <c r="O218" s="124">
        <f>VLOOKUP($B218,'Language Penetration'!$B$1:$BE$14,MATCH('Compile data Working'!$H114,'Language Penetration'!$B$1:$BE$1,0),0)</f>
        <v>0.6</v>
      </c>
      <c r="P218" s="124" t="str">
        <f ca="1">IF(ISBLANK(J218),RANDBETWEEN(1,2)&amp;"%",IF(J218=1,RANDBETWEEN(35,40)&amp;"%",IF(J218=2,RANDBETWEEN(30,35)&amp;"%",IF(J218=3,RANDBETWEEN(25,30)&amp;"%",IF(J218=4,RANDBETWEEN(20,25)&amp;"%",IF(J218=5,RANDBETWEEN(15,20)&amp;"%",IF(J218=6,RANDBETWEEN(10,15)&amp;"%",IF(J218=7,RANDBETWEEN(8,10)&amp;"%",IF(J218=8,RANDBETWEEN(6,8)&amp;"%",IF(J218=9,RANDBETWEEN(4,6)&amp;"%",IF(J218=10,RANDBETWEEN(2,4)&amp;"%","")))))))))))</f>
        <v>2%</v>
      </c>
      <c r="Q218" s="123">
        <f ca="1">IFERROR(L218*(M218+N218)*O218*P218,RANDBETWEEN(1,2)%*L218*(M218+N218)*O218)</f>
        <v>0.77826124324800006</v>
      </c>
      <c r="R218" s="125">
        <f>VLOOKUP(D:D,ranking!W:X,2,0)</f>
        <v>0.8</v>
      </c>
      <c r="S218" s="126">
        <f ca="1">R218*Q218</f>
        <v>0.62260899459840013</v>
      </c>
      <c r="T218" s="123">
        <v>0.69444988971542498</v>
      </c>
    </row>
    <row r="219" spans="1:20" x14ac:dyDescent="0.25">
      <c r="A219" s="98" t="s">
        <v>1057</v>
      </c>
      <c r="B219" s="98" t="s">
        <v>85</v>
      </c>
      <c r="C219" s="46" t="s">
        <v>123</v>
      </c>
      <c r="D219" s="46" t="s">
        <v>431</v>
      </c>
      <c r="E219" s="46" t="s">
        <v>211</v>
      </c>
      <c r="F219" s="46" t="s">
        <v>215</v>
      </c>
      <c r="G219" s="134" t="s">
        <v>2002</v>
      </c>
      <c r="H219" s="46" t="s">
        <v>28</v>
      </c>
      <c r="I219" s="53">
        <v>46036</v>
      </c>
      <c r="J219" s="131">
        <v>10</v>
      </c>
      <c r="K219" s="46" t="s">
        <v>202</v>
      </c>
      <c r="L219" s="123">
        <f>VLOOKUP($C219&amp;$E219,'Updated SES'!A:N,14,0)</f>
        <v>55.459200000000003</v>
      </c>
      <c r="M219" s="124">
        <f>VLOOKUP($K219,'Genre Penetration'!A:B,2,0)*VLOOKUP($C219&amp;$E219,'Updated SES'!A:I,9,0)</f>
        <v>0.3528</v>
      </c>
      <c r="N219" s="124">
        <f>VLOOKUP(K:K,'Genre Penetration'!A:C,3,0)*VLOOKUP($C219&amp;$E219,'Updated SES'!A:J,10,0)</f>
        <v>0.14280000000000001</v>
      </c>
      <c r="O219" s="124" t="e">
        <f>VLOOKUP($B219,'Language Penetration'!$B$1:$BE$14,MATCH('Compile data Working'!$H249,'Language Penetration'!$B$1:$BE$1,0),0)</f>
        <v>#N/A</v>
      </c>
      <c r="P219" s="124" t="str">
        <f ca="1">IF(ISBLANK(J219),RANDBETWEEN(1,2)&amp;"%",IF(J219=1,RANDBETWEEN(35,40)&amp;"%",IF(J219=2,RANDBETWEEN(30,35)&amp;"%",IF(J219=3,RANDBETWEEN(25,30)&amp;"%",IF(J219=4,RANDBETWEEN(20,25)&amp;"%",IF(J219=5,RANDBETWEEN(15,20)&amp;"%",IF(J219=6,RANDBETWEEN(10,15)&amp;"%",IF(J219=7,RANDBETWEEN(8,10)&amp;"%",IF(J219=8,RANDBETWEEN(6,8)&amp;"%",IF(J219=9,RANDBETWEEN(4,6)&amp;"%",IF(J219=10,RANDBETWEEN(2,4)&amp;"%","")))))))))))</f>
        <v>2%</v>
      </c>
      <c r="Q219" s="123" t="e">
        <f ca="1">IFERROR(L219*(M219+N219)*O219*P219,RANDBETWEEN(1,2)%*L219*(M219+N219)*O219)</f>
        <v>#N/A</v>
      </c>
      <c r="R219" s="125">
        <f>VLOOKUP(D:D,ranking!W:X,2,0)</f>
        <v>0.6</v>
      </c>
      <c r="S219" s="126" t="e">
        <f ca="1">R219*Q219</f>
        <v>#N/A</v>
      </c>
      <c r="T219" s="123">
        <v>0.68929919583222299</v>
      </c>
    </row>
    <row r="220" spans="1:20" x14ac:dyDescent="0.25">
      <c r="A220" s="98" t="s">
        <v>1781</v>
      </c>
      <c r="B220" s="98" t="s">
        <v>85</v>
      </c>
      <c r="C220" s="46" t="s">
        <v>906</v>
      </c>
      <c r="D220" s="46" t="s">
        <v>1013</v>
      </c>
      <c r="E220" s="119" t="s">
        <v>211</v>
      </c>
      <c r="F220" s="46" t="s">
        <v>213</v>
      </c>
      <c r="G220" s="134" t="s">
        <v>1953</v>
      </c>
      <c r="H220" s="46" t="s">
        <v>19</v>
      </c>
      <c r="I220" s="129">
        <v>46129</v>
      </c>
      <c r="J220" s="133"/>
      <c r="K220" s="46" t="s">
        <v>1988</v>
      </c>
      <c r="L220" s="123">
        <f>VLOOKUP($C220&amp;$E220,'Updated SES'!A:N,14,0)</f>
        <v>127.11702000000001</v>
      </c>
      <c r="M220" s="124" t="e">
        <f>VLOOKUP($K220,'Genre Penetration'!A:B,2,0)*VLOOKUP($C220&amp;$E220,'Updated SES'!A:I,9,0)</f>
        <v>#N/A</v>
      </c>
      <c r="N220" s="124" t="e">
        <f>VLOOKUP(K:K,'Genre Penetration'!A:C,3,0)*VLOOKUP($C220&amp;$E220,'Updated SES'!A:J,10,0)</f>
        <v>#N/A</v>
      </c>
      <c r="O220" s="124">
        <f>VLOOKUP($B220,'Language Penetration'!$B$1:$BE$14,MATCH('Compile data Working'!$H203,'Language Penetration'!$B$1:$BE$1,0),0)</f>
        <v>0.6</v>
      </c>
      <c r="P220" s="124" t="str">
        <f ca="1">IF(ISBLANK(J220),RANDBETWEEN(1,2)&amp;"%",IF(J220=1,RANDBETWEEN(35,40)&amp;"%",IF(J220=2,RANDBETWEEN(30,35)&amp;"%",IF(J220=3,RANDBETWEEN(25,30)&amp;"%",IF(J220=4,RANDBETWEEN(20,25)&amp;"%",IF(J220=5,RANDBETWEEN(15,20)&amp;"%",IF(J220=6,RANDBETWEEN(10,15)&amp;"%",IF(J220=7,RANDBETWEEN(8,10)&amp;"%",IF(J220=8,RANDBETWEEN(6,8)&amp;"%",IF(J220=9,RANDBETWEEN(4,6)&amp;"%",IF(J220=10,RANDBETWEEN(2,4)&amp;"%","")))))))))))</f>
        <v>2%</v>
      </c>
      <c r="Q220" s="123" t="e">
        <f ca="1">IFERROR(L220*(M220+N220)*O220*P220,RANDBETWEEN(1,2)%*L220*(M220+N220)*O220)</f>
        <v>#N/A</v>
      </c>
      <c r="R220" s="125">
        <f>VLOOKUP(D:D,ranking!W:X,2,0)</f>
        <v>0.8</v>
      </c>
      <c r="S220" s="126" t="e">
        <f ca="1">R220*Q220</f>
        <v>#N/A</v>
      </c>
      <c r="T220" s="123">
        <v>0.67687948745095872</v>
      </c>
    </row>
    <row r="221" spans="1:20" x14ac:dyDescent="0.25">
      <c r="A221" s="98" t="s">
        <v>1057</v>
      </c>
      <c r="B221" s="98" t="s">
        <v>85</v>
      </c>
      <c r="C221" s="98" t="s">
        <v>906</v>
      </c>
      <c r="D221" s="46" t="s">
        <v>1012</v>
      </c>
      <c r="E221" s="46" t="s">
        <v>211</v>
      </c>
      <c r="F221" s="46" t="s">
        <v>215</v>
      </c>
      <c r="G221" s="134">
        <v>24</v>
      </c>
      <c r="H221" s="46" t="s">
        <v>19</v>
      </c>
      <c r="I221" s="53">
        <v>46136</v>
      </c>
      <c r="J221" s="131">
        <v>3</v>
      </c>
      <c r="K221" s="46" t="s">
        <v>87</v>
      </c>
      <c r="L221" s="123">
        <f>VLOOKUP($C221&amp;$E221,'Updated SES'!A:N,14,0)</f>
        <v>127.11702000000001</v>
      </c>
      <c r="M221" s="124">
        <f>VLOOKUP($K221,'Genre Penetration'!A:B,2,0)*VLOOKUP($C221&amp;$E221,'Updated SES'!A:I,9,0)</f>
        <v>0.40869999999999995</v>
      </c>
      <c r="N221" s="124">
        <f>VLOOKUP(K:K,'Genre Penetration'!A:C,3,0)*VLOOKUP($C221&amp;$E221,'Updated SES'!A:J,10,0)</f>
        <v>0.12869999999999998</v>
      </c>
      <c r="O221" s="124">
        <f>VLOOKUP($B221,'Language Penetration'!$B$1:$BE$14,MATCH('Compile data Working'!$H202,'Language Penetration'!$B$1:$BE$1,0),0)</f>
        <v>0.6</v>
      </c>
      <c r="P221" s="124" t="str">
        <f ca="1">IF(ISBLANK(J221),RANDBETWEEN(1,2)&amp;"%",IF(J221=1,RANDBETWEEN(35,40)&amp;"%",IF(J221=2,RANDBETWEEN(30,35)&amp;"%",IF(J221=3,RANDBETWEEN(25,30)&amp;"%",IF(J221=4,RANDBETWEEN(20,25)&amp;"%",IF(J221=5,RANDBETWEEN(15,20)&amp;"%",IF(J221=6,RANDBETWEEN(10,15)&amp;"%",IF(J221=7,RANDBETWEEN(8,10)&amp;"%",IF(J221=8,RANDBETWEEN(6,8)&amp;"%",IF(J221=9,RANDBETWEEN(4,6)&amp;"%",IF(J221=10,RANDBETWEEN(2,4)&amp;"%","")))))))))))</f>
        <v>29%</v>
      </c>
      <c r="Q221" s="123">
        <f ca="1">IFERROR(L221*(M221+N221)*O221*P221,RANDBETWEEN(1,2)%*L221*(M221+N221)*O221)</f>
        <v>11.886407459351997</v>
      </c>
      <c r="R221" s="125">
        <f>VLOOKUP(D:D,ranking!W:X,2,0)</f>
        <v>0.6</v>
      </c>
      <c r="S221" s="126">
        <f ca="1">R221*Q221</f>
        <v>7.1318444756111976</v>
      </c>
      <c r="T221" s="123">
        <v>0.65274434209746857</v>
      </c>
    </row>
    <row r="222" spans="1:20" x14ac:dyDescent="0.25">
      <c r="A222" s="98" t="s">
        <v>1057</v>
      </c>
      <c r="B222" s="98" t="s">
        <v>85</v>
      </c>
      <c r="C222" s="98" t="s">
        <v>406</v>
      </c>
      <c r="D222" s="98" t="s">
        <v>432</v>
      </c>
      <c r="E222" s="119" t="s">
        <v>211</v>
      </c>
      <c r="F222" s="46" t="s">
        <v>213</v>
      </c>
      <c r="G222" s="135" t="s">
        <v>578</v>
      </c>
      <c r="H222" s="119" t="s">
        <v>20</v>
      </c>
      <c r="I222" s="106">
        <v>44022</v>
      </c>
      <c r="J222" s="131">
        <v>5</v>
      </c>
      <c r="K222" s="119" t="s">
        <v>92</v>
      </c>
      <c r="L222" s="123">
        <f>VLOOKUP($C222&amp;$E222,'Updated SES'!A:N,14,0)</f>
        <v>1.669</v>
      </c>
      <c r="M222" s="124">
        <f>VLOOKUP($K222,'Genre Penetration'!A:B,2,0)*VLOOKUP($C222&amp;$E222,'Updated SES'!A:I,9,0)</f>
        <v>0.318</v>
      </c>
      <c r="N222" s="124">
        <f>VLOOKUP(K:K,'Genre Penetration'!A:C,3,0)*VLOOKUP($C222&amp;$E222,'Updated SES'!A:J,10,0)</f>
        <v>0.188</v>
      </c>
      <c r="O222" s="124" t="e">
        <f>VLOOKUP($B222,'Language Penetration'!$B$1:$BE$14,MATCH('Compile data Working'!#REF!,'Language Penetration'!$B$1:$BE$1,0),0)</f>
        <v>#REF!</v>
      </c>
      <c r="P222" s="124" t="str">
        <f ca="1">IF(ISBLANK(J222),RANDBETWEEN(1,2)&amp;"%",IF(J222=1,RANDBETWEEN(35,40)&amp;"%",IF(J222=2,RANDBETWEEN(30,35)&amp;"%",IF(J222=3,RANDBETWEEN(25,30)&amp;"%",IF(J222=4,RANDBETWEEN(20,25)&amp;"%",IF(J222=5,RANDBETWEEN(15,20)&amp;"%",IF(J222=6,RANDBETWEEN(10,15)&amp;"%",IF(J222=7,RANDBETWEEN(8,10)&amp;"%",IF(J222=8,RANDBETWEEN(6,8)&amp;"%",IF(J222=9,RANDBETWEEN(4,6)&amp;"%",IF(J222=10,RANDBETWEEN(2,4)&amp;"%","")))))))))))</f>
        <v>18%</v>
      </c>
      <c r="Q222" s="123" t="e">
        <f ca="1">IFERROR(L222*(M222+N222)*O222*P222,RANDBETWEEN(1,2)%*L222*(M222+N222)*O222)</f>
        <v>#REF!</v>
      </c>
      <c r="R222" s="125">
        <f>VLOOKUP(D:D,ranking!W:X,2,0)</f>
        <v>0.8</v>
      </c>
      <c r="S222" s="126" t="e">
        <f ca="1">R222*Q222</f>
        <v>#REF!</v>
      </c>
      <c r="T222" s="123">
        <v>0.61753612758087029</v>
      </c>
    </row>
    <row r="223" spans="1:20" x14ac:dyDescent="0.25">
      <c r="A223" s="98" t="s">
        <v>1057</v>
      </c>
      <c r="B223" s="98" t="s">
        <v>85</v>
      </c>
      <c r="C223" s="46" t="s">
        <v>1229</v>
      </c>
      <c r="D223" s="46" t="s">
        <v>433</v>
      </c>
      <c r="E223" s="46" t="s">
        <v>219</v>
      </c>
      <c r="F223" s="46" t="s">
        <v>215</v>
      </c>
      <c r="G223" s="134" t="s">
        <v>1870</v>
      </c>
      <c r="H223" s="46" t="s">
        <v>19</v>
      </c>
      <c r="I223" s="53">
        <v>46003</v>
      </c>
      <c r="J223" s="131">
        <v>10</v>
      </c>
      <c r="K223" s="46" t="s">
        <v>216</v>
      </c>
      <c r="L223" s="123">
        <f>VLOOKUP($C223&amp;$E223,'Updated SES'!A:N,14,0)</f>
        <v>78.939870000000013</v>
      </c>
      <c r="M223" s="124">
        <f>VLOOKUP($K223,'Genre Penetration'!A:B,2,0)*VLOOKUP($C223&amp;$E223,'Updated SES'!A:I,9,0)</f>
        <v>0.4</v>
      </c>
      <c r="N223" s="124">
        <f>VLOOKUP(K:K,'Genre Penetration'!A:C,3,0)*VLOOKUP($C223&amp;$E223,'Updated SES'!A:J,10,0)</f>
        <v>0.1</v>
      </c>
      <c r="O223" s="124" t="e">
        <f>VLOOKUP($B223,'Language Penetration'!$B$1:$BE$14,MATCH('Compile data Working'!$H58,'Language Penetration'!$B$1:$BE$1,0),0)</f>
        <v>#N/A</v>
      </c>
      <c r="P223" s="124" t="str">
        <f ca="1">IF(ISBLANK(J223),RANDBETWEEN(1,2)&amp;"%",IF(J223=1,RANDBETWEEN(35,40)&amp;"%",IF(J223=2,RANDBETWEEN(30,35)&amp;"%",IF(J223=3,RANDBETWEEN(25,30)&amp;"%",IF(J223=4,RANDBETWEEN(20,25)&amp;"%",IF(J223=5,RANDBETWEEN(15,20)&amp;"%",IF(J223=6,RANDBETWEEN(10,15)&amp;"%",IF(J223=7,RANDBETWEEN(8,10)&amp;"%",IF(J223=8,RANDBETWEEN(6,8)&amp;"%",IF(J223=9,RANDBETWEEN(4,6)&amp;"%",IF(J223=10,RANDBETWEEN(2,4)&amp;"%","")))))))))))</f>
        <v>4%</v>
      </c>
      <c r="Q223" s="123" t="e">
        <f ca="1">IFERROR(L223*(M223+N223)*O223*P223,RANDBETWEEN(1,2)%*L223*(M223+N223)*O223)</f>
        <v>#N/A</v>
      </c>
      <c r="R223" s="125">
        <f>VLOOKUP(D:D,ranking!W:X,2,0)</f>
        <v>0.6</v>
      </c>
      <c r="S223" s="126" t="e">
        <f ca="1">R223*Q223</f>
        <v>#N/A</v>
      </c>
      <c r="T223" s="123">
        <v>0.59507504022441893</v>
      </c>
    </row>
    <row r="224" spans="1:20" x14ac:dyDescent="0.25">
      <c r="A224" s="98" t="s">
        <v>1781</v>
      </c>
      <c r="B224" s="98" t="s">
        <v>85</v>
      </c>
      <c r="C224" s="46" t="s">
        <v>123</v>
      </c>
      <c r="D224" s="46" t="s">
        <v>1013</v>
      </c>
      <c r="E224" s="119" t="s">
        <v>211</v>
      </c>
      <c r="F224" s="46" t="s">
        <v>213</v>
      </c>
      <c r="G224" s="134" t="s">
        <v>1931</v>
      </c>
      <c r="H224" s="46" t="s">
        <v>19</v>
      </c>
      <c r="I224" s="129">
        <v>45408</v>
      </c>
      <c r="J224" s="132"/>
      <c r="K224" s="46" t="s">
        <v>962</v>
      </c>
      <c r="L224" s="123">
        <f>VLOOKUP($C224&amp;$E224,'Updated SES'!A:N,14,0)</f>
        <v>55.459200000000003</v>
      </c>
      <c r="M224" s="124">
        <f>VLOOKUP($K224,'Genre Penetration'!A:B,2,0)*VLOOKUP($C224&amp;$E224,'Updated SES'!A:I,9,0)</f>
        <v>0.26950000000000002</v>
      </c>
      <c r="N224" s="124">
        <f>VLOOKUP(K:K,'Genre Penetration'!A:C,3,0)*VLOOKUP($C224&amp;$E224,'Updated SES'!A:J,10,0)</f>
        <v>0.22950000000000001</v>
      </c>
      <c r="O224" s="124" t="e">
        <f>VLOOKUP($B224,'Language Penetration'!$B$1:$BE$14,MATCH('Compile data Working'!#REF!,'Language Penetration'!$B$1:$BE$1,0),0)</f>
        <v>#REF!</v>
      </c>
      <c r="P224" s="124" t="str">
        <f ca="1">IF(ISBLANK(J224),RANDBETWEEN(1,2)&amp;"%",IF(J224=1,RANDBETWEEN(35,40)&amp;"%",IF(J224=2,RANDBETWEEN(30,35)&amp;"%",IF(J224=3,RANDBETWEEN(25,30)&amp;"%",IF(J224=4,RANDBETWEEN(20,25)&amp;"%",IF(J224=5,RANDBETWEEN(15,20)&amp;"%",IF(J224=6,RANDBETWEEN(10,15)&amp;"%",IF(J224=7,RANDBETWEEN(8,10)&amp;"%",IF(J224=8,RANDBETWEEN(6,8)&amp;"%",IF(J224=9,RANDBETWEEN(4,6)&amp;"%",IF(J224=10,RANDBETWEEN(2,4)&amp;"%","")))))))))))</f>
        <v>1%</v>
      </c>
      <c r="Q224" s="123" t="e">
        <f ca="1">IFERROR(L224*(M224+N224)*O224*P224,RANDBETWEEN(1,2)%*L224*(M224+N224)*O224)</f>
        <v>#REF!</v>
      </c>
      <c r="R224" s="125">
        <f>VLOOKUP(D:D,ranking!W:X,2,0)</f>
        <v>0.8</v>
      </c>
      <c r="S224" s="126" t="e">
        <f ca="1">R224*Q224</f>
        <v>#REF!</v>
      </c>
      <c r="T224" s="123">
        <v>0.58945850197674698</v>
      </c>
    </row>
    <row r="225" spans="1:20" x14ac:dyDescent="0.25">
      <c r="A225" s="98" t="s">
        <v>1781</v>
      </c>
      <c r="B225" s="98" t="s">
        <v>85</v>
      </c>
      <c r="C225" s="46" t="s">
        <v>906</v>
      </c>
      <c r="D225" s="98" t="s">
        <v>456</v>
      </c>
      <c r="E225" s="98" t="s">
        <v>211</v>
      </c>
      <c r="F225" s="46" t="s">
        <v>1917</v>
      </c>
      <c r="G225" s="134" t="s">
        <v>1847</v>
      </c>
      <c r="H225" s="46" t="s">
        <v>19</v>
      </c>
      <c r="I225" s="129">
        <v>44145</v>
      </c>
      <c r="J225" s="132"/>
      <c r="K225" s="46" t="s">
        <v>216</v>
      </c>
      <c r="L225" s="123">
        <f>VLOOKUP($C225&amp;$E225,'Updated SES'!A:N,14,0)</f>
        <v>127.11702000000001</v>
      </c>
      <c r="M225" s="124">
        <f>VLOOKUP($K225,'Genre Penetration'!A:B,2,0)*VLOOKUP($C225&amp;$E225,'Updated SES'!A:I,9,0)</f>
        <v>0.33499999999999996</v>
      </c>
      <c r="N225" s="124">
        <f>VLOOKUP(K:K,'Genre Penetration'!A:C,3,0)*VLOOKUP($C225&amp;$E225,'Updated SES'!A:J,10,0)</f>
        <v>0.16499999999999998</v>
      </c>
      <c r="O225" s="124" t="e">
        <f>VLOOKUP($B225,'Language Penetration'!$B$1:$BE$14,MATCH('Compile data Working'!$H106,'Language Penetration'!$B$1:$BE$1,0),0)</f>
        <v>#N/A</v>
      </c>
      <c r="P225" s="124" t="str">
        <f ca="1">IF(ISBLANK(J225),RANDBETWEEN(1,2)&amp;"%",IF(J225=1,RANDBETWEEN(35,40)&amp;"%",IF(J225=2,RANDBETWEEN(30,35)&amp;"%",IF(J225=3,RANDBETWEEN(25,30)&amp;"%",IF(J225=4,RANDBETWEEN(20,25)&amp;"%",IF(J225=5,RANDBETWEEN(15,20)&amp;"%",IF(J225=6,RANDBETWEEN(10,15)&amp;"%",IF(J225=7,RANDBETWEEN(8,10)&amp;"%",IF(J225=8,RANDBETWEEN(6,8)&amp;"%",IF(J225=9,RANDBETWEEN(4,6)&amp;"%",IF(J225=10,RANDBETWEEN(2,4)&amp;"%","")))))))))))</f>
        <v>2%</v>
      </c>
      <c r="Q225" s="123" t="e">
        <f ca="1">IFERROR(L225*(M225+N225)*O225*P225,RANDBETWEEN(1,2)%*L225*(M225+N225)*O225)</f>
        <v>#N/A</v>
      </c>
      <c r="R225" s="125">
        <f>VLOOKUP(D:D,ranking!W:X,2,0)</f>
        <v>0.3</v>
      </c>
      <c r="S225" s="126" t="e">
        <f ca="1">R225*Q225</f>
        <v>#N/A</v>
      </c>
      <c r="T225" s="123">
        <v>0.58611889063243294</v>
      </c>
    </row>
    <row r="226" spans="1:20" x14ac:dyDescent="0.25">
      <c r="A226" s="98" t="s">
        <v>1781</v>
      </c>
      <c r="B226" s="98" t="s">
        <v>85</v>
      </c>
      <c r="C226" s="46" t="s">
        <v>123</v>
      </c>
      <c r="D226" s="46" t="s">
        <v>1013</v>
      </c>
      <c r="E226" s="119" t="s">
        <v>211</v>
      </c>
      <c r="F226" s="46" t="s">
        <v>213</v>
      </c>
      <c r="G226" s="134" t="s">
        <v>1899</v>
      </c>
      <c r="H226" s="46" t="s">
        <v>19</v>
      </c>
      <c r="I226" s="129">
        <v>46108</v>
      </c>
      <c r="J226" s="131"/>
      <c r="K226" s="46" t="s">
        <v>1076</v>
      </c>
      <c r="L226" s="123">
        <f>VLOOKUP($C226&amp;$E226,'Updated SES'!A:N,14,0)</f>
        <v>55.459200000000003</v>
      </c>
      <c r="M226" s="124">
        <f>VLOOKUP($K226,'Genre Penetration'!A:B,2,0)*VLOOKUP($C226&amp;$E226,'Updated SES'!A:I,9,0)</f>
        <v>0.26950000000000002</v>
      </c>
      <c r="N226" s="124">
        <f>VLOOKUP(K:K,'Genre Penetration'!A:C,3,0)*VLOOKUP($C226&amp;$E226,'Updated SES'!A:J,10,0)</f>
        <v>0.22950000000000001</v>
      </c>
      <c r="O226" s="124">
        <f>VLOOKUP($B226,'Language Penetration'!$B$1:$BE$14,MATCH('Compile data Working'!$H113,'Language Penetration'!$B$1:$BE$1,0),0)</f>
        <v>0.2</v>
      </c>
      <c r="P226" s="124" t="str">
        <f ca="1">IF(ISBLANK(J226),RANDBETWEEN(1,2)&amp;"%",IF(J226=1,RANDBETWEEN(35,40)&amp;"%",IF(J226=2,RANDBETWEEN(30,35)&amp;"%",IF(J226=3,RANDBETWEEN(25,30)&amp;"%",IF(J226=4,RANDBETWEEN(20,25)&amp;"%",IF(J226=5,RANDBETWEEN(15,20)&amp;"%",IF(J226=6,RANDBETWEEN(10,15)&amp;"%",IF(J226=7,RANDBETWEEN(8,10)&amp;"%",IF(J226=8,RANDBETWEEN(6,8)&amp;"%",IF(J226=9,RANDBETWEEN(4,6)&amp;"%",IF(J226=10,RANDBETWEEN(2,4)&amp;"%","")))))))))))</f>
        <v>1%</v>
      </c>
      <c r="Q226" s="123">
        <f ca="1">IFERROR(L226*(M226+N226)*O226*P226,RANDBETWEEN(1,2)%*L226*(M226+N226)*O226)</f>
        <v>5.53482816E-2</v>
      </c>
      <c r="R226" s="125">
        <f>VLOOKUP(D:D,ranking!W:X,2,0)</f>
        <v>0.8</v>
      </c>
      <c r="S226" s="126">
        <f ca="1">R226*Q226</f>
        <v>4.4278625280000004E-2</v>
      </c>
      <c r="T226" s="123">
        <v>0.58569769403216754</v>
      </c>
    </row>
    <row r="227" spans="1:20" x14ac:dyDescent="0.25">
      <c r="A227" s="98" t="s">
        <v>1781</v>
      </c>
      <c r="B227" s="98" t="s">
        <v>85</v>
      </c>
      <c r="C227" s="46" t="s">
        <v>906</v>
      </c>
      <c r="D227" s="46" t="s">
        <v>1012</v>
      </c>
      <c r="E227" s="119" t="s">
        <v>211</v>
      </c>
      <c r="F227" s="46" t="s">
        <v>215</v>
      </c>
      <c r="G227" s="134" t="s">
        <v>1797</v>
      </c>
      <c r="H227" s="46" t="s">
        <v>23</v>
      </c>
      <c r="I227" s="129">
        <v>46087</v>
      </c>
      <c r="J227" s="133"/>
      <c r="K227" s="46" t="s">
        <v>964</v>
      </c>
      <c r="L227" s="123">
        <f>VLOOKUP($C227&amp;$E227,'Updated SES'!A:N,14,0)</f>
        <v>127.11702000000001</v>
      </c>
      <c r="M227" s="124">
        <f>VLOOKUP($K227,'Genre Penetration'!A:B,2,0)*VLOOKUP($C227&amp;$E227,'Updated SES'!A:I,9,0)</f>
        <v>0.36849999999999999</v>
      </c>
      <c r="N227" s="124">
        <f>VLOOKUP(K:K,'Genre Penetration'!A:C,3,0)*VLOOKUP($C227&amp;$E227,'Updated SES'!A:J,10,0)</f>
        <v>0.14849999999999999</v>
      </c>
      <c r="O227" s="124">
        <f>VLOOKUP($B227,'Language Penetration'!$B$1:$BE$14,MATCH('Compile data Working'!$H252,'Language Penetration'!$B$1:$BE$1,0),0)</f>
        <v>0.12</v>
      </c>
      <c r="P227" s="124" t="str">
        <f ca="1">IF(ISBLANK(J227),RANDBETWEEN(1,2)&amp;"%",IF(J227=1,RANDBETWEEN(35,40)&amp;"%",IF(J227=2,RANDBETWEEN(30,35)&amp;"%",IF(J227=3,RANDBETWEEN(25,30)&amp;"%",IF(J227=4,RANDBETWEEN(20,25)&amp;"%",IF(J227=5,RANDBETWEEN(15,20)&amp;"%",IF(J227=6,RANDBETWEEN(10,15)&amp;"%",IF(J227=7,RANDBETWEEN(8,10)&amp;"%",IF(J227=8,RANDBETWEEN(6,8)&amp;"%",IF(J227=9,RANDBETWEEN(4,6)&amp;"%",IF(J227=10,RANDBETWEEN(2,4)&amp;"%","")))))))))))</f>
        <v>2%</v>
      </c>
      <c r="Q227" s="123">
        <f ca="1">IFERROR(L227*(M227+N227)*O227*P227,RANDBETWEEN(1,2)%*L227*(M227+N227)*O227)</f>
        <v>0.15772679841600001</v>
      </c>
      <c r="R227" s="125">
        <f>VLOOKUP(D:D,ranking!W:X,2,0)</f>
        <v>0.6</v>
      </c>
      <c r="S227" s="126">
        <f ca="1">R227*Q227</f>
        <v>9.4636079049600003E-2</v>
      </c>
      <c r="T227" s="123">
        <v>0.56255634212517935</v>
      </c>
    </row>
    <row r="228" spans="1:20" x14ac:dyDescent="0.25">
      <c r="A228" s="98" t="s">
        <v>1057</v>
      </c>
      <c r="B228" s="98" t="s">
        <v>85</v>
      </c>
      <c r="C228" s="98" t="s">
        <v>150</v>
      </c>
      <c r="D228" s="98" t="s">
        <v>434</v>
      </c>
      <c r="E228" s="98" t="s">
        <v>211</v>
      </c>
      <c r="F228" s="46" t="s">
        <v>213</v>
      </c>
      <c r="G228" s="130" t="s">
        <v>1884</v>
      </c>
      <c r="H228" s="98" t="s">
        <v>1058</v>
      </c>
      <c r="I228" s="106">
        <v>46143</v>
      </c>
      <c r="J228" s="132">
        <v>4</v>
      </c>
      <c r="K228" s="98" t="s">
        <v>170</v>
      </c>
      <c r="L228" s="123">
        <f>VLOOKUP($C228&amp;$E228,'Updated SES'!A:N,14,0)</f>
        <v>60.152000000000001</v>
      </c>
      <c r="M228" s="124">
        <f>VLOOKUP($K228,'Genre Penetration'!A:B,2,0)*VLOOKUP($C228&amp;$E228,'Updated SES'!A:I,9,0)</f>
        <v>0.377</v>
      </c>
      <c r="N228" s="124">
        <f>VLOOKUP(K:K,'Genre Penetration'!A:C,3,0)*VLOOKUP($C228&amp;$E228,'Updated SES'!A:J,10,0)</f>
        <v>0.14699999999999999</v>
      </c>
      <c r="O228" s="124" t="e">
        <f>VLOOKUP($B228,'Language Penetration'!$B$1:$BE$14,MATCH('Compile data Working'!#REF!,'Language Penetration'!$B$1:$BE$1,0),0)</f>
        <v>#REF!</v>
      </c>
      <c r="P228" s="124" t="str">
        <f ca="1">IF(ISBLANK(J228),RANDBETWEEN(1,2)&amp;"%",IF(J228=1,RANDBETWEEN(35,40)&amp;"%",IF(J228=2,RANDBETWEEN(30,35)&amp;"%",IF(J228=3,RANDBETWEEN(25,30)&amp;"%",IF(J228=4,RANDBETWEEN(20,25)&amp;"%",IF(J228=5,RANDBETWEEN(15,20)&amp;"%",IF(J228=6,RANDBETWEEN(10,15)&amp;"%",IF(J228=7,RANDBETWEEN(8,10)&amp;"%",IF(J228=8,RANDBETWEEN(6,8)&amp;"%",IF(J228=9,RANDBETWEEN(4,6)&amp;"%",IF(J228=10,RANDBETWEEN(2,4)&amp;"%","")))))))))))</f>
        <v>25%</v>
      </c>
      <c r="Q228" s="123" t="e">
        <f ca="1">IFERROR(L228*(M228+N228)*O228*P228,RANDBETWEEN(1,2)%*L228*(M228+N228)*O228)</f>
        <v>#REF!</v>
      </c>
      <c r="R228" s="125">
        <f>VLOOKUP(D:D,ranking!W:X,2,0)</f>
        <v>0.7</v>
      </c>
      <c r="S228" s="126" t="e">
        <f ca="1">R228*Q228</f>
        <v>#REF!</v>
      </c>
      <c r="T228" s="123">
        <v>0.55833234862410064</v>
      </c>
    </row>
    <row r="229" spans="1:20" x14ac:dyDescent="0.25">
      <c r="A229" s="98" t="s">
        <v>1781</v>
      </c>
      <c r="B229" s="98" t="s">
        <v>85</v>
      </c>
      <c r="C229" s="46" t="s">
        <v>906</v>
      </c>
      <c r="D229" s="46" t="s">
        <v>1013</v>
      </c>
      <c r="E229" s="119" t="s">
        <v>211</v>
      </c>
      <c r="F229" s="46" t="s">
        <v>213</v>
      </c>
      <c r="G229" s="134" t="s">
        <v>1965</v>
      </c>
      <c r="H229" s="46" t="s">
        <v>19</v>
      </c>
      <c r="I229" s="129">
        <v>45558</v>
      </c>
      <c r="J229" s="133"/>
      <c r="K229" s="46" t="s">
        <v>962</v>
      </c>
      <c r="L229" s="123">
        <f>VLOOKUP($C229&amp;$E229,'Updated SES'!A:N,14,0)</f>
        <v>127.11702000000001</v>
      </c>
      <c r="M229" s="124">
        <f>VLOOKUP($K229,'Genre Penetration'!A:B,2,0)*VLOOKUP($C229&amp;$E229,'Updated SES'!A:I,9,0)</f>
        <v>0.36849999999999999</v>
      </c>
      <c r="N229" s="124">
        <f>VLOOKUP(K:K,'Genre Penetration'!A:C,3,0)*VLOOKUP($C229&amp;$E229,'Updated SES'!A:J,10,0)</f>
        <v>0.14849999999999999</v>
      </c>
      <c r="O229" s="124">
        <f>VLOOKUP($B229,'Language Penetration'!$B$1:$BE$14,MATCH('Compile data Working'!$H253,'Language Penetration'!$B$1:$BE$1,0),0)</f>
        <v>0.6</v>
      </c>
      <c r="P229" s="124" t="str">
        <f ca="1">IF(ISBLANK(J229),RANDBETWEEN(1,2)&amp;"%",IF(J229=1,RANDBETWEEN(35,40)&amp;"%",IF(J229=2,RANDBETWEEN(30,35)&amp;"%",IF(J229=3,RANDBETWEEN(25,30)&amp;"%",IF(J229=4,RANDBETWEEN(20,25)&amp;"%",IF(J229=5,RANDBETWEEN(15,20)&amp;"%",IF(J229=6,RANDBETWEEN(10,15)&amp;"%",IF(J229=7,RANDBETWEEN(8,10)&amp;"%",IF(J229=8,RANDBETWEEN(6,8)&amp;"%",IF(J229=9,RANDBETWEEN(4,6)&amp;"%",IF(J229=10,RANDBETWEEN(2,4)&amp;"%","")))))))))))</f>
        <v>2%</v>
      </c>
      <c r="Q229" s="123">
        <f ca="1">IFERROR(L229*(M229+N229)*O229*P229,RANDBETWEEN(1,2)%*L229*(M229+N229)*O229)</f>
        <v>0.78863399208000018</v>
      </c>
      <c r="R229" s="125">
        <f>VLOOKUP(D:D,ranking!W:X,2,0)</f>
        <v>0.8</v>
      </c>
      <c r="S229" s="126">
        <f ca="1">R229*Q229</f>
        <v>0.63090719366400017</v>
      </c>
      <c r="T229" s="123">
        <v>0.50504141967385707</v>
      </c>
    </row>
    <row r="230" spans="1:20" x14ac:dyDescent="0.25">
      <c r="A230" s="98" t="s">
        <v>1781</v>
      </c>
      <c r="B230" s="98" t="s">
        <v>85</v>
      </c>
      <c r="C230" s="46" t="s">
        <v>906</v>
      </c>
      <c r="D230" s="46" t="s">
        <v>1013</v>
      </c>
      <c r="E230" s="119" t="s">
        <v>211</v>
      </c>
      <c r="F230" s="46" t="s">
        <v>213</v>
      </c>
      <c r="G230" s="134" t="s">
        <v>1897</v>
      </c>
      <c r="H230" s="46" t="s">
        <v>19</v>
      </c>
      <c r="I230" s="129">
        <v>46045</v>
      </c>
      <c r="J230" s="132"/>
      <c r="K230" s="46" t="s">
        <v>970</v>
      </c>
      <c r="L230" s="123">
        <f>VLOOKUP($C230&amp;$E230,'Updated SES'!A:N,14,0)</f>
        <v>127.11702000000001</v>
      </c>
      <c r="M230" s="124">
        <f>VLOOKUP($K230,'Genre Penetration'!A:B,2,0)*VLOOKUP($C230&amp;$E230,'Updated SES'!A:I,9,0)</f>
        <v>0.33499999999999996</v>
      </c>
      <c r="N230" s="124">
        <f>VLOOKUP(K:K,'Genre Penetration'!A:C,3,0)*VLOOKUP($C230&amp;$E230,'Updated SES'!A:J,10,0)</f>
        <v>0.16499999999999998</v>
      </c>
      <c r="O230" s="124" t="e">
        <f>VLOOKUP($B230,'Language Penetration'!$B$1:$BE$14,MATCH('Compile data Working'!$H73,'Language Penetration'!$B$1:$BE$1,0),0)</f>
        <v>#N/A</v>
      </c>
      <c r="P230" s="124" t="str">
        <f ca="1">IF(ISBLANK(J230),RANDBETWEEN(1,2)&amp;"%",IF(J230=1,RANDBETWEEN(35,40)&amp;"%",IF(J230=2,RANDBETWEEN(30,35)&amp;"%",IF(J230=3,RANDBETWEEN(25,30)&amp;"%",IF(J230=4,RANDBETWEEN(20,25)&amp;"%",IF(J230=5,RANDBETWEEN(15,20)&amp;"%",IF(J230=6,RANDBETWEEN(10,15)&amp;"%",IF(J230=7,RANDBETWEEN(8,10)&amp;"%",IF(J230=8,RANDBETWEEN(6,8)&amp;"%",IF(J230=9,RANDBETWEEN(4,6)&amp;"%",IF(J230=10,RANDBETWEEN(2,4)&amp;"%","")))))))))))</f>
        <v>2%</v>
      </c>
      <c r="Q230" s="123" t="e">
        <f ca="1">IFERROR(L230*(M230+N230)*O230*P230,RANDBETWEEN(1,2)%*L230*(M230+N230)*O230)</f>
        <v>#N/A</v>
      </c>
      <c r="R230" s="125">
        <f>VLOOKUP(D:D,ranking!W:X,2,0)</f>
        <v>0.8</v>
      </c>
      <c r="S230" s="126" t="e">
        <f ca="1">R230*Q230</f>
        <v>#N/A</v>
      </c>
      <c r="T230" s="123">
        <v>0.43935851404198978</v>
      </c>
    </row>
    <row r="231" spans="1:20" x14ac:dyDescent="0.25">
      <c r="A231" s="98" t="s">
        <v>1057</v>
      </c>
      <c r="B231" s="98" t="s">
        <v>85</v>
      </c>
      <c r="C231" s="98" t="s">
        <v>406</v>
      </c>
      <c r="D231" s="98" t="s">
        <v>432</v>
      </c>
      <c r="E231" s="119" t="s">
        <v>211</v>
      </c>
      <c r="F231" s="46" t="s">
        <v>213</v>
      </c>
      <c r="G231" s="135" t="s">
        <v>1800</v>
      </c>
      <c r="H231" s="119" t="s">
        <v>20</v>
      </c>
      <c r="I231" s="106">
        <v>46122</v>
      </c>
      <c r="J231" s="131">
        <v>2</v>
      </c>
      <c r="K231" s="98" t="s">
        <v>124</v>
      </c>
      <c r="L231" s="123">
        <f>VLOOKUP($C231&amp;$E231,'Updated SES'!A:N,14,0)</f>
        <v>1.669</v>
      </c>
      <c r="M231" s="124">
        <f>VLOOKUP($K231,'Genre Penetration'!A:B,2,0)*VLOOKUP($C231&amp;$E231,'Updated SES'!A:I,9,0)</f>
        <v>0.27</v>
      </c>
      <c r="N231" s="124">
        <f>VLOOKUP(K:K,'Genre Penetration'!A:C,3,0)*VLOOKUP($C231&amp;$E231,'Updated SES'!A:J,10,0)</f>
        <v>0.22000000000000003</v>
      </c>
      <c r="O231" s="124" t="e">
        <f>VLOOKUP($B231,'Language Penetration'!$B$1:$BE$14,MATCH('Compile data Working'!$H53,'Language Penetration'!$B$1:$BE$1,0),0)</f>
        <v>#N/A</v>
      </c>
      <c r="P231" s="124" t="str">
        <f ca="1">IF(ISBLANK(J231),RANDBETWEEN(1,2)&amp;"%",IF(J231=1,RANDBETWEEN(35,40)&amp;"%",IF(J231=2,RANDBETWEEN(30,35)&amp;"%",IF(J231=3,RANDBETWEEN(25,30)&amp;"%",IF(J231=4,RANDBETWEEN(20,25)&amp;"%",IF(J231=5,RANDBETWEEN(15,20)&amp;"%",IF(J231=6,RANDBETWEEN(10,15)&amp;"%",IF(J231=7,RANDBETWEEN(8,10)&amp;"%",IF(J231=8,RANDBETWEEN(6,8)&amp;"%",IF(J231=9,RANDBETWEEN(4,6)&amp;"%",IF(J231=10,RANDBETWEEN(2,4)&amp;"%","")))))))))))</f>
        <v>33%</v>
      </c>
      <c r="Q231" s="123" t="e">
        <f ca="1">IFERROR(L231*(M231+N231)*O231*P231,RANDBETWEEN(1,2)%*L231*(M231+N231)*O231)</f>
        <v>#N/A</v>
      </c>
      <c r="R231" s="125">
        <f>VLOOKUP(D:D,ranking!W:X,2,0)</f>
        <v>0.8</v>
      </c>
      <c r="S231" s="126" t="e">
        <f ca="1">R231*Q231</f>
        <v>#N/A</v>
      </c>
      <c r="T231" s="123">
        <v>0.40313766309385574</v>
      </c>
    </row>
    <row r="232" spans="1:20" x14ac:dyDescent="0.25">
      <c r="A232" s="98" t="s">
        <v>1057</v>
      </c>
      <c r="B232" s="98" t="s">
        <v>85</v>
      </c>
      <c r="C232" s="98" t="s">
        <v>406</v>
      </c>
      <c r="D232" s="98" t="s">
        <v>431</v>
      </c>
      <c r="E232" s="98" t="s">
        <v>211</v>
      </c>
      <c r="F232" s="46" t="s">
        <v>215</v>
      </c>
      <c r="G232" s="136" t="s">
        <v>1788</v>
      </c>
      <c r="H232" s="119" t="s">
        <v>20</v>
      </c>
      <c r="I232" s="121">
        <v>46050</v>
      </c>
      <c r="J232" s="131">
        <v>8</v>
      </c>
      <c r="K232" s="119" t="s">
        <v>124</v>
      </c>
      <c r="L232" s="123">
        <f>VLOOKUP($C232&amp;$E232,'Updated SES'!A:N,14,0)</f>
        <v>1.669</v>
      </c>
      <c r="M232" s="124">
        <f>VLOOKUP($K232,'Genre Penetration'!A:B,2,0)*VLOOKUP($C232&amp;$E232,'Updated SES'!A:I,9,0)</f>
        <v>0.27</v>
      </c>
      <c r="N232" s="124">
        <f>VLOOKUP(K:K,'Genre Penetration'!A:C,3,0)*VLOOKUP($C232&amp;$E232,'Updated SES'!A:J,10,0)</f>
        <v>0.22000000000000003</v>
      </c>
      <c r="O232" s="124">
        <f>VLOOKUP($B232,'Language Penetration'!$B$1:$BE$14,MATCH('Compile data Working'!$H71,'Language Penetration'!$B$1:$BE$1,0),0)</f>
        <v>0.6</v>
      </c>
      <c r="P232" s="124" t="str">
        <f ca="1">IF(ISBLANK(J232),RANDBETWEEN(1,2)&amp;"%",IF(J232=1,RANDBETWEEN(35,40)&amp;"%",IF(J232=2,RANDBETWEEN(30,35)&amp;"%",IF(J232=3,RANDBETWEEN(25,30)&amp;"%",IF(J232=4,RANDBETWEEN(20,25)&amp;"%",IF(J232=5,RANDBETWEEN(15,20)&amp;"%",IF(J232=6,RANDBETWEEN(10,15)&amp;"%",IF(J232=7,RANDBETWEEN(8,10)&amp;"%",IF(J232=8,RANDBETWEEN(6,8)&amp;"%",IF(J232=9,RANDBETWEEN(4,6)&amp;"%",IF(J232=10,RANDBETWEEN(2,4)&amp;"%","")))))))))))</f>
        <v>7%</v>
      </c>
      <c r="Q232" s="123">
        <f ca="1">IFERROR(L232*(M232+N232)*O232*P232,RANDBETWEEN(1,2)%*L232*(M232+N232)*O232)</f>
        <v>3.4348020000000007E-2</v>
      </c>
      <c r="R232" s="125">
        <f>VLOOKUP(D:D,ranking!W:X,2,0)</f>
        <v>0.6</v>
      </c>
      <c r="S232" s="126">
        <f ca="1">R232*Q232</f>
        <v>2.0608812000000004E-2</v>
      </c>
      <c r="T232" s="123">
        <v>0.30921036690621839</v>
      </c>
    </row>
    <row r="233" spans="1:20" x14ac:dyDescent="0.25">
      <c r="A233" s="98" t="s">
        <v>1057</v>
      </c>
      <c r="B233" s="98" t="s">
        <v>85</v>
      </c>
      <c r="C233" s="98" t="s">
        <v>406</v>
      </c>
      <c r="D233" s="98" t="s">
        <v>431</v>
      </c>
      <c r="E233" s="98" t="s">
        <v>211</v>
      </c>
      <c r="F233" s="46" t="s">
        <v>215</v>
      </c>
      <c r="G233" s="130" t="s">
        <v>1789</v>
      </c>
      <c r="H233" s="119" t="s">
        <v>20</v>
      </c>
      <c r="I233" s="106">
        <v>45000</v>
      </c>
      <c r="J233" s="131">
        <v>6</v>
      </c>
      <c r="K233" s="98" t="s">
        <v>124</v>
      </c>
      <c r="L233" s="123">
        <f>VLOOKUP($C233&amp;$E233,'Updated SES'!A:N,14,0)</f>
        <v>1.669</v>
      </c>
      <c r="M233" s="124">
        <f>VLOOKUP($K233,'Genre Penetration'!A:B,2,0)*VLOOKUP($C233&amp;$E233,'Updated SES'!A:I,9,0)</f>
        <v>0.27</v>
      </c>
      <c r="N233" s="124">
        <f>VLOOKUP(K:K,'Genre Penetration'!A:C,3,0)*VLOOKUP($C233&amp;$E233,'Updated SES'!A:J,10,0)</f>
        <v>0.22000000000000003</v>
      </c>
      <c r="O233" s="124">
        <f>VLOOKUP($B233,'Language Penetration'!$B$1:$BE$14,MATCH('Compile data Working'!$H91,'Language Penetration'!$B$1:$BE$1,0),0)</f>
        <v>0.2</v>
      </c>
      <c r="P233" s="124" t="str">
        <f ca="1">IF(ISBLANK(J233),RANDBETWEEN(1,2)&amp;"%",IF(J233=1,RANDBETWEEN(35,40)&amp;"%",IF(J233=2,RANDBETWEEN(30,35)&amp;"%",IF(J233=3,RANDBETWEEN(25,30)&amp;"%",IF(J233=4,RANDBETWEEN(20,25)&amp;"%",IF(J233=5,RANDBETWEEN(15,20)&amp;"%",IF(J233=6,RANDBETWEEN(10,15)&amp;"%",IF(J233=7,RANDBETWEEN(8,10)&amp;"%",IF(J233=8,RANDBETWEEN(6,8)&amp;"%",IF(J233=9,RANDBETWEEN(4,6)&amp;"%",IF(J233=10,RANDBETWEEN(2,4)&amp;"%","")))))))))))</f>
        <v>14%</v>
      </c>
      <c r="Q233" s="123">
        <f ca="1">IFERROR(L233*(M233+N233)*O233*P233,RANDBETWEEN(1,2)%*L233*(M233+N233)*O233)</f>
        <v>2.2898680000000008E-2</v>
      </c>
      <c r="R233" s="125">
        <f>VLOOKUP(D:D,ranking!W:X,2,0)</f>
        <v>0.6</v>
      </c>
      <c r="S233" s="126">
        <f ca="1">R233*Q233</f>
        <v>1.3739208000000004E-2</v>
      </c>
      <c r="T233" s="123">
        <v>0.29683788368463682</v>
      </c>
    </row>
    <row r="234" spans="1:20" x14ac:dyDescent="0.25">
      <c r="A234" s="98" t="s">
        <v>1781</v>
      </c>
      <c r="B234" s="98" t="s">
        <v>85</v>
      </c>
      <c r="C234" s="46" t="s">
        <v>906</v>
      </c>
      <c r="D234" s="46" t="s">
        <v>1013</v>
      </c>
      <c r="E234" s="119" t="s">
        <v>211</v>
      </c>
      <c r="F234" s="46" t="s">
        <v>213</v>
      </c>
      <c r="G234" s="134" t="s">
        <v>1948</v>
      </c>
      <c r="H234" s="46" t="s">
        <v>26</v>
      </c>
      <c r="I234" s="129">
        <v>46052</v>
      </c>
      <c r="J234" s="133"/>
      <c r="K234" s="46" t="s">
        <v>1973</v>
      </c>
      <c r="L234" s="123">
        <f>VLOOKUP($C234&amp;$E234,'Updated SES'!A:N,14,0)</f>
        <v>127.11702000000001</v>
      </c>
      <c r="M234" s="124" t="e">
        <f>VLOOKUP($K234,'Genre Penetration'!A:B,2,0)*VLOOKUP($C234&amp;$E234,'Updated SES'!A:I,9,0)</f>
        <v>#N/A</v>
      </c>
      <c r="N234" s="124" t="e">
        <f>VLOOKUP(K:K,'Genre Penetration'!A:C,3,0)*VLOOKUP($C234&amp;$E234,'Updated SES'!A:J,10,0)</f>
        <v>#N/A</v>
      </c>
      <c r="O234" s="124">
        <f>VLOOKUP($B234,'Language Penetration'!$B$1:$BE$14,MATCH('Compile data Working'!$H147,'Language Penetration'!$B$1:$BE$1,0),0)</f>
        <v>0.6</v>
      </c>
      <c r="P234" s="124" t="str">
        <f ca="1">IF(ISBLANK(J234),RANDBETWEEN(1,2)&amp;"%",IF(J234=1,RANDBETWEEN(35,40)&amp;"%",IF(J234=2,RANDBETWEEN(30,35)&amp;"%",IF(J234=3,RANDBETWEEN(25,30)&amp;"%",IF(J234=4,RANDBETWEEN(20,25)&amp;"%",IF(J234=5,RANDBETWEEN(15,20)&amp;"%",IF(J234=6,RANDBETWEEN(10,15)&amp;"%",IF(J234=7,RANDBETWEEN(8,10)&amp;"%",IF(J234=8,RANDBETWEEN(6,8)&amp;"%",IF(J234=9,RANDBETWEEN(4,6)&amp;"%",IF(J234=10,RANDBETWEEN(2,4)&amp;"%","")))))))))))</f>
        <v>2%</v>
      </c>
      <c r="Q234" s="123" t="e">
        <f ca="1">IFERROR(L234*(M234+N234)*O234*P234,RANDBETWEEN(1,2)%*L234*(M234+N234)*O234)</f>
        <v>#N/A</v>
      </c>
      <c r="R234" s="125">
        <f>VLOOKUP(D:D,ranking!W:X,2,0)</f>
        <v>0.8</v>
      </c>
      <c r="S234" s="126" t="e">
        <f ca="1">R234*Q234</f>
        <v>#N/A</v>
      </c>
      <c r="T234" s="123">
        <v>0.28899969853677349</v>
      </c>
    </row>
    <row r="235" spans="1:20" x14ac:dyDescent="0.25">
      <c r="A235" s="98" t="s">
        <v>1781</v>
      </c>
      <c r="B235" s="98" t="s">
        <v>85</v>
      </c>
      <c r="C235" s="46" t="s">
        <v>906</v>
      </c>
      <c r="D235" s="46" t="s">
        <v>1013</v>
      </c>
      <c r="E235" s="119" t="s">
        <v>211</v>
      </c>
      <c r="F235" s="46" t="s">
        <v>213</v>
      </c>
      <c r="G235" s="134" t="s">
        <v>1850</v>
      </c>
      <c r="H235" s="46" t="s">
        <v>19</v>
      </c>
      <c r="I235" s="129">
        <v>44470</v>
      </c>
      <c r="J235" s="133"/>
      <c r="K235" s="46" t="s">
        <v>970</v>
      </c>
      <c r="L235" s="123">
        <f>VLOOKUP($C235&amp;$E235,'Updated SES'!A:N,14,0)</f>
        <v>127.11702000000001</v>
      </c>
      <c r="M235" s="124">
        <f>VLOOKUP($K235,'Genre Penetration'!A:B,2,0)*VLOOKUP($C235&amp;$E235,'Updated SES'!A:I,9,0)</f>
        <v>0.33499999999999996</v>
      </c>
      <c r="N235" s="124">
        <f>VLOOKUP(K:K,'Genre Penetration'!A:C,3,0)*VLOOKUP($C235&amp;$E235,'Updated SES'!A:J,10,0)</f>
        <v>0.16499999999999998</v>
      </c>
      <c r="O235" s="124">
        <f>VLOOKUP($B235,'Language Penetration'!$B$1:$BE$14,MATCH('Compile data Working'!$H194,'Language Penetration'!$B$1:$BE$1,0),0)</f>
        <v>0.6</v>
      </c>
      <c r="P235" s="124" t="str">
        <f ca="1">IF(ISBLANK(J235),RANDBETWEEN(1,2)&amp;"%",IF(J235=1,RANDBETWEEN(35,40)&amp;"%",IF(J235=2,RANDBETWEEN(30,35)&amp;"%",IF(J235=3,RANDBETWEEN(25,30)&amp;"%",IF(J235=4,RANDBETWEEN(20,25)&amp;"%",IF(J235=5,RANDBETWEEN(15,20)&amp;"%",IF(J235=6,RANDBETWEEN(10,15)&amp;"%",IF(J235=7,RANDBETWEEN(8,10)&amp;"%",IF(J235=8,RANDBETWEEN(6,8)&amp;"%",IF(J235=9,RANDBETWEEN(4,6)&amp;"%",IF(J235=10,RANDBETWEEN(2,4)&amp;"%","")))))))))))</f>
        <v>2%</v>
      </c>
      <c r="Q235" s="123">
        <f ca="1">IFERROR(L235*(M235+N235)*O235*P235,RANDBETWEEN(1,2)%*L235*(M235+N235)*O235)</f>
        <v>0.76270212000000004</v>
      </c>
      <c r="R235" s="125">
        <f>VLOOKUP(D:D,ranking!W:X,2,0)</f>
        <v>0.8</v>
      </c>
      <c r="S235" s="126">
        <f ca="1">R235*Q235</f>
        <v>0.61016169600000003</v>
      </c>
      <c r="T235" s="123">
        <v>0.28370307368097697</v>
      </c>
    </row>
    <row r="236" spans="1:20" x14ac:dyDescent="0.25">
      <c r="A236" s="98" t="s">
        <v>1057</v>
      </c>
      <c r="B236" s="98" t="s">
        <v>85</v>
      </c>
      <c r="C236" s="98" t="s">
        <v>150</v>
      </c>
      <c r="D236" s="98" t="s">
        <v>431</v>
      </c>
      <c r="E236" s="98" t="s">
        <v>211</v>
      </c>
      <c r="F236" s="46" t="s">
        <v>215</v>
      </c>
      <c r="G236" s="130" t="s">
        <v>1802</v>
      </c>
      <c r="H236" s="120" t="s">
        <v>1894</v>
      </c>
      <c r="I236" s="106">
        <v>46053</v>
      </c>
      <c r="J236" s="132">
        <v>10</v>
      </c>
      <c r="K236" s="120" t="s">
        <v>275</v>
      </c>
      <c r="L236" s="123">
        <f>VLOOKUP($C236&amp;$E236,'Updated SES'!A:N,14,0)</f>
        <v>60.152000000000001</v>
      </c>
      <c r="M236" s="124">
        <f>VLOOKUP($K236,'Genre Penetration'!A:B,2,0)*VLOOKUP($C236&amp;$E236,'Updated SES'!A:I,9,0)</f>
        <v>0.35750000000000004</v>
      </c>
      <c r="N236" s="124">
        <f>VLOOKUP(K:K,'Genre Penetration'!A:C,3,0)*VLOOKUP($C236&amp;$E236,'Updated SES'!A:J,10,0)</f>
        <v>0.1575</v>
      </c>
      <c r="O236" s="124" t="e">
        <f>VLOOKUP($B236,'Language Penetration'!$B$1:$BE$14,MATCH('Compile data Working'!#REF!,'Language Penetration'!$B$1:$BE$1,0),0)</f>
        <v>#REF!</v>
      </c>
      <c r="P236" s="124" t="str">
        <f ca="1">IF(ISBLANK(J236),RANDBETWEEN(1,2)&amp;"%",IF(J236=1,RANDBETWEEN(35,40)&amp;"%",IF(J236=2,RANDBETWEEN(30,35)&amp;"%",IF(J236=3,RANDBETWEEN(25,30)&amp;"%",IF(J236=4,RANDBETWEEN(20,25)&amp;"%",IF(J236=5,RANDBETWEEN(15,20)&amp;"%",IF(J236=6,RANDBETWEEN(10,15)&amp;"%",IF(J236=7,RANDBETWEEN(8,10)&amp;"%",IF(J236=8,RANDBETWEEN(6,8)&amp;"%",IF(J236=9,RANDBETWEEN(4,6)&amp;"%",IF(J236=10,RANDBETWEEN(2,4)&amp;"%","")))))))))))</f>
        <v>2%</v>
      </c>
      <c r="Q236" s="123" t="e">
        <f ca="1">IFERROR(L236*(M236+N236)*O236*P236,RANDBETWEEN(1,2)%*L236*(M236+N236)*O236)</f>
        <v>#REF!</v>
      </c>
      <c r="R236" s="125">
        <f>VLOOKUP(D:D,ranking!W:X,2,0)</f>
        <v>0.6</v>
      </c>
      <c r="S236" s="126" t="e">
        <f ca="1">R236*Q236</f>
        <v>#REF!</v>
      </c>
      <c r="T236" s="123">
        <v>0.26687946833762249</v>
      </c>
    </row>
    <row r="237" spans="1:20" x14ac:dyDescent="0.25">
      <c r="A237" s="98" t="s">
        <v>1781</v>
      </c>
      <c r="B237" s="98" t="s">
        <v>85</v>
      </c>
      <c r="C237" s="46" t="s">
        <v>906</v>
      </c>
      <c r="D237" s="98" t="s">
        <v>456</v>
      </c>
      <c r="E237" s="98" t="s">
        <v>211</v>
      </c>
      <c r="F237" s="46" t="s">
        <v>1917</v>
      </c>
      <c r="G237" s="130" t="s">
        <v>1946</v>
      </c>
      <c r="H237" s="46" t="s">
        <v>19</v>
      </c>
      <c r="I237" s="129">
        <v>44123</v>
      </c>
      <c r="J237" s="133"/>
      <c r="K237" s="46" t="s">
        <v>950</v>
      </c>
      <c r="L237" s="123">
        <f>VLOOKUP($C237&amp;$E237,'Updated SES'!A:N,14,0)</f>
        <v>127.11702000000001</v>
      </c>
      <c r="M237" s="124" t="e">
        <f>VLOOKUP($K237,'Genre Penetration'!A:B,2,0)*VLOOKUP($C237&amp;$E237,'Updated SES'!A:I,9,0)</f>
        <v>#N/A</v>
      </c>
      <c r="N237" s="124" t="e">
        <f>VLOOKUP(K:K,'Genre Penetration'!A:C,3,0)*VLOOKUP($C237&amp;$E237,'Updated SES'!A:J,10,0)</f>
        <v>#N/A</v>
      </c>
      <c r="O237" s="124">
        <f>VLOOKUP($B237,'Language Penetration'!$B$1:$BE$14,MATCH('Compile data Working'!$H154,'Language Penetration'!$B$1:$BE$1,0),0)</f>
        <v>0.6</v>
      </c>
      <c r="P237" s="124" t="str">
        <f ca="1">IF(ISBLANK(J237),RANDBETWEEN(1,2)&amp;"%",IF(J237=1,RANDBETWEEN(35,40)&amp;"%",IF(J237=2,RANDBETWEEN(30,35)&amp;"%",IF(J237=3,RANDBETWEEN(25,30)&amp;"%",IF(J237=4,RANDBETWEEN(20,25)&amp;"%",IF(J237=5,RANDBETWEEN(15,20)&amp;"%",IF(J237=6,RANDBETWEEN(10,15)&amp;"%",IF(J237=7,RANDBETWEEN(8,10)&amp;"%",IF(J237=8,RANDBETWEEN(6,8)&amp;"%",IF(J237=9,RANDBETWEEN(4,6)&amp;"%",IF(J237=10,RANDBETWEEN(2,4)&amp;"%","")))))))))))</f>
        <v>2%</v>
      </c>
      <c r="Q237" s="123" t="e">
        <f ca="1">IFERROR(L237*(M237+N237)*O237*P237,RANDBETWEEN(1,2)%*L237*(M237+N237)*O237)</f>
        <v>#N/A</v>
      </c>
      <c r="R237" s="125">
        <f>VLOOKUP(D:D,ranking!W:X,2,0)</f>
        <v>0.3</v>
      </c>
      <c r="S237" s="126" t="e">
        <f ca="1">R237*Q237</f>
        <v>#N/A</v>
      </c>
      <c r="T237" s="123">
        <v>0.19450734545088</v>
      </c>
    </row>
    <row r="238" spans="1:20" x14ac:dyDescent="0.25">
      <c r="A238" s="98" t="s">
        <v>1781</v>
      </c>
      <c r="B238" s="98" t="s">
        <v>85</v>
      </c>
      <c r="C238" s="46" t="s">
        <v>64</v>
      </c>
      <c r="D238" s="46" t="s">
        <v>1013</v>
      </c>
      <c r="E238" s="119" t="s">
        <v>211</v>
      </c>
      <c r="F238" s="46" t="s">
        <v>213</v>
      </c>
      <c r="G238" s="134" t="s">
        <v>1960</v>
      </c>
      <c r="H238" s="46" t="s">
        <v>19</v>
      </c>
      <c r="I238" s="129">
        <v>46065</v>
      </c>
      <c r="J238" s="133"/>
      <c r="K238" s="46" t="s">
        <v>168</v>
      </c>
      <c r="L238" s="123">
        <f>VLOOKUP($C238&amp;$E238,'Updated SES'!A:N,14,0)</f>
        <v>36.498239999999996</v>
      </c>
      <c r="M238" s="124">
        <f>VLOOKUP($K238,'Genre Penetration'!A:B,2,0)*VLOOKUP($C238&amp;$E238,'Updated SES'!A:I,9,0)</f>
        <v>0.33280000000000004</v>
      </c>
      <c r="N238" s="124">
        <f>VLOOKUP(K:K,'Genre Penetration'!A:C,3,0)*VLOOKUP($C238&amp;$E238,'Updated SES'!A:J,10,0)</f>
        <v>0.17279999999999998</v>
      </c>
      <c r="O238" s="124" t="e">
        <f>VLOOKUP($B238,'Language Penetration'!$B$1:$BE$14,MATCH('Compile data Working'!$H228,'Language Penetration'!$B$1:$BE$1,0),0)</f>
        <v>#N/A</v>
      </c>
      <c r="P238" s="124" t="str">
        <f ca="1">IF(ISBLANK(J238),RANDBETWEEN(1,2)&amp;"%",IF(J238=1,RANDBETWEEN(35,40)&amp;"%",IF(J238=2,RANDBETWEEN(30,35)&amp;"%",IF(J238=3,RANDBETWEEN(25,30)&amp;"%",IF(J238=4,RANDBETWEEN(20,25)&amp;"%",IF(J238=5,RANDBETWEEN(15,20)&amp;"%",IF(J238=6,RANDBETWEEN(10,15)&amp;"%",IF(J238=7,RANDBETWEEN(8,10)&amp;"%",IF(J238=8,RANDBETWEEN(6,8)&amp;"%",IF(J238=9,RANDBETWEEN(4,6)&amp;"%",IF(J238=10,RANDBETWEEN(2,4)&amp;"%","")))))))))))</f>
        <v>1%</v>
      </c>
      <c r="Q238" s="123" t="e">
        <f ca="1">IFERROR(L238*(M238+N238)*O238*P238,RANDBETWEEN(1,2)%*L238*(M238+N238)*O238)</f>
        <v>#N/A</v>
      </c>
      <c r="R238" s="125">
        <f>VLOOKUP(D:D,ranking!W:X,2,0)</f>
        <v>0.8</v>
      </c>
      <c r="S238" s="126" t="e">
        <f ca="1">R238*Q238</f>
        <v>#N/A</v>
      </c>
      <c r="T238" s="123">
        <v>0.1898787219149366</v>
      </c>
    </row>
    <row r="239" spans="1:20" x14ac:dyDescent="0.25">
      <c r="A239" s="98" t="s">
        <v>1057</v>
      </c>
      <c r="B239" s="98" t="s">
        <v>85</v>
      </c>
      <c r="C239" s="98" t="s">
        <v>906</v>
      </c>
      <c r="D239" s="98" t="s">
        <v>456</v>
      </c>
      <c r="E239" s="98" t="s">
        <v>211</v>
      </c>
      <c r="F239" s="46" t="s">
        <v>1917</v>
      </c>
      <c r="G239" s="130" t="s">
        <v>1790</v>
      </c>
      <c r="H239" s="98" t="s">
        <v>40</v>
      </c>
      <c r="I239" s="106">
        <v>45457</v>
      </c>
      <c r="J239" s="131">
        <v>7</v>
      </c>
      <c r="K239" s="98" t="s">
        <v>935</v>
      </c>
      <c r="L239" s="123">
        <f>VLOOKUP($C239&amp;$E239,'Updated SES'!A:N,14,0)</f>
        <v>127.11702000000001</v>
      </c>
      <c r="M239" s="124">
        <f>VLOOKUP($K239,'Genre Penetration'!A:B,2,0)*VLOOKUP($C239&amp;$E239,'Updated SES'!A:I,9,0)</f>
        <v>0.36849999999999999</v>
      </c>
      <c r="N239" s="124">
        <f>VLOOKUP(K:K,'Genre Penetration'!A:C,3,0)*VLOOKUP($C239&amp;$E239,'Updated SES'!A:J,10,0)</f>
        <v>0.14849999999999999</v>
      </c>
      <c r="O239" s="124">
        <f>VLOOKUP($B239,'Language Penetration'!$B$1:$BE$14,MATCH('Compile data Working'!$H243,'Language Penetration'!$B$1:$BE$1,0),0)</f>
        <v>0.6</v>
      </c>
      <c r="P239" s="124" t="str">
        <f ca="1">IF(ISBLANK(J239),RANDBETWEEN(1,2)&amp;"%",IF(J239=1,RANDBETWEEN(35,40)&amp;"%",IF(J239=2,RANDBETWEEN(30,35)&amp;"%",IF(J239=3,RANDBETWEEN(25,30)&amp;"%",IF(J239=4,RANDBETWEEN(20,25)&amp;"%",IF(J239=5,RANDBETWEEN(15,20)&amp;"%",IF(J239=6,RANDBETWEEN(10,15)&amp;"%",IF(J239=7,RANDBETWEEN(8,10)&amp;"%",IF(J239=8,RANDBETWEEN(6,8)&amp;"%",IF(J239=9,RANDBETWEEN(4,6)&amp;"%",IF(J239=10,RANDBETWEEN(2,4)&amp;"%","")))))))))))</f>
        <v>8%</v>
      </c>
      <c r="Q239" s="123">
        <f ca="1">IFERROR(L239*(M239+N239)*O239*P239,RANDBETWEEN(1,2)%*L239*(M239+N239)*O239)</f>
        <v>3.1545359683200007</v>
      </c>
      <c r="R239" s="125">
        <f>VLOOKUP(D:D,ranking!W:X,2,0)</f>
        <v>0.3</v>
      </c>
      <c r="S239" s="126">
        <f ca="1">R239*Q239</f>
        <v>0.94636079049600019</v>
      </c>
      <c r="T239" s="123">
        <v>0.18699856177012603</v>
      </c>
    </row>
    <row r="240" spans="1:20" x14ac:dyDescent="0.25">
      <c r="A240" s="98" t="s">
        <v>1057</v>
      </c>
      <c r="B240" s="98" t="s">
        <v>85</v>
      </c>
      <c r="C240" s="98" t="s">
        <v>906</v>
      </c>
      <c r="D240" s="98" t="s">
        <v>431</v>
      </c>
      <c r="E240" s="98" t="s">
        <v>211</v>
      </c>
      <c r="F240" s="46" t="s">
        <v>215</v>
      </c>
      <c r="G240" s="130" t="s">
        <v>1803</v>
      </c>
      <c r="H240" s="98" t="s">
        <v>1058</v>
      </c>
      <c r="I240" s="106">
        <v>46094</v>
      </c>
      <c r="J240" s="131">
        <v>9</v>
      </c>
      <c r="K240" s="98" t="s">
        <v>145</v>
      </c>
      <c r="L240" s="123">
        <f>VLOOKUP($C240&amp;$E240,'Updated SES'!A:N,14,0)</f>
        <v>127.11702000000001</v>
      </c>
      <c r="M240" s="124">
        <f>VLOOKUP($K240,'Genre Penetration'!A:B,2,0)*VLOOKUP($C240&amp;$E240,'Updated SES'!A:I,9,0)</f>
        <v>0.24789999999999998</v>
      </c>
      <c r="N240" s="124">
        <f>VLOOKUP(K:K,'Genre Penetration'!A:C,3,0)*VLOOKUP($C240&amp;$E240,'Updated SES'!A:J,10,0)</f>
        <v>0.20789999999999997</v>
      </c>
      <c r="O240" s="124" t="e">
        <f>VLOOKUP($B240,'Language Penetration'!$B$1:$BE$14,MATCH('Compile data Working'!$H108,'Language Penetration'!$B$1:$BE$1,0),0)</f>
        <v>#N/A</v>
      </c>
      <c r="P240" s="124" t="str">
        <f ca="1">IF(ISBLANK(J240),RANDBETWEEN(1,2)&amp;"%",IF(J240=1,RANDBETWEEN(35,40)&amp;"%",IF(J240=2,RANDBETWEEN(30,35)&amp;"%",IF(J240=3,RANDBETWEEN(25,30)&amp;"%",IF(J240=4,RANDBETWEEN(20,25)&amp;"%",IF(J240=5,RANDBETWEEN(15,20)&amp;"%",IF(J240=6,RANDBETWEEN(10,15)&amp;"%",IF(J240=7,RANDBETWEEN(8,10)&amp;"%",IF(J240=8,RANDBETWEEN(6,8)&amp;"%",IF(J240=9,RANDBETWEEN(4,6)&amp;"%",IF(J240=10,RANDBETWEEN(2,4)&amp;"%","")))))))))))</f>
        <v>5%</v>
      </c>
      <c r="Q240" s="123" t="e">
        <f ca="1">IFERROR(L240*(M240+N240)*O240*P240,RANDBETWEEN(1,2)%*L240*(M240+N240)*O240)</f>
        <v>#N/A</v>
      </c>
      <c r="R240" s="125">
        <f>VLOOKUP(D:D,ranking!W:X,2,0)</f>
        <v>0.6</v>
      </c>
      <c r="S240" s="126" t="e">
        <f ca="1">R240*Q240</f>
        <v>#N/A</v>
      </c>
      <c r="T240" s="123">
        <v>0.17875576554946518</v>
      </c>
    </row>
    <row r="241" spans="1:20" x14ac:dyDescent="0.25">
      <c r="A241" s="98" t="s">
        <v>1781</v>
      </c>
      <c r="B241" s="98" t="s">
        <v>85</v>
      </c>
      <c r="C241" s="46" t="s">
        <v>906</v>
      </c>
      <c r="D241" s="46" t="s">
        <v>1013</v>
      </c>
      <c r="E241" s="119" t="s">
        <v>211</v>
      </c>
      <c r="F241" s="46" t="s">
        <v>213</v>
      </c>
      <c r="G241" s="134" t="s">
        <v>1943</v>
      </c>
      <c r="H241" s="46" t="s">
        <v>19</v>
      </c>
      <c r="I241" s="129">
        <v>46034</v>
      </c>
      <c r="J241" s="133"/>
      <c r="K241" s="46" t="s">
        <v>168</v>
      </c>
      <c r="L241" s="123">
        <f>VLOOKUP($C241&amp;$E241,'Updated SES'!A:N,14,0)</f>
        <v>127.11702000000001</v>
      </c>
      <c r="M241" s="124">
        <f>VLOOKUP($K241,'Genre Penetration'!A:B,2,0)*VLOOKUP($C241&amp;$E241,'Updated SES'!A:I,9,0)</f>
        <v>0.42879999999999996</v>
      </c>
      <c r="N241" s="124">
        <f>VLOOKUP(K:K,'Genre Penetration'!A:C,3,0)*VLOOKUP($C241&amp;$E241,'Updated SES'!A:J,10,0)</f>
        <v>0.11879999999999998</v>
      </c>
      <c r="O241" s="124">
        <f>VLOOKUP($B241,'Language Penetration'!$B$1:$BE$14,MATCH('Compile data Working'!$H132,'Language Penetration'!$B$1:$BE$1,0),0)</f>
        <v>0.6</v>
      </c>
      <c r="P241" s="124" t="str">
        <f ca="1">IF(ISBLANK(J241),RANDBETWEEN(1,2)&amp;"%",IF(J241=1,RANDBETWEEN(35,40)&amp;"%",IF(J241=2,RANDBETWEEN(30,35)&amp;"%",IF(J241=3,RANDBETWEEN(25,30)&amp;"%",IF(J241=4,RANDBETWEEN(20,25)&amp;"%",IF(J241=5,RANDBETWEEN(15,20)&amp;"%",IF(J241=6,RANDBETWEEN(10,15)&amp;"%",IF(J241=7,RANDBETWEEN(8,10)&amp;"%",IF(J241=8,RANDBETWEEN(6,8)&amp;"%",IF(J241=9,RANDBETWEEN(4,6)&amp;"%",IF(J241=10,RANDBETWEEN(2,4)&amp;"%","")))))))))))</f>
        <v>2%</v>
      </c>
      <c r="Q241" s="123">
        <f ca="1">IFERROR(L241*(M241+N241)*O241*P241,RANDBETWEEN(1,2)%*L241*(M241+N241)*O241)</f>
        <v>0.8353113618239999</v>
      </c>
      <c r="R241" s="125">
        <f>VLOOKUP(D:D,ranking!W:X,2,0)</f>
        <v>0.8</v>
      </c>
      <c r="S241" s="126">
        <f ca="1">R241*Q241</f>
        <v>0.66824908945919992</v>
      </c>
      <c r="T241" s="123">
        <v>0.15814087972088389</v>
      </c>
    </row>
    <row r="242" spans="1:20" x14ac:dyDescent="0.25">
      <c r="A242" s="98" t="s">
        <v>1781</v>
      </c>
      <c r="B242" s="98" t="s">
        <v>85</v>
      </c>
      <c r="C242" s="46" t="s">
        <v>906</v>
      </c>
      <c r="D242" s="98" t="s">
        <v>456</v>
      </c>
      <c r="E242" s="98" t="s">
        <v>211</v>
      </c>
      <c r="F242" s="46" t="s">
        <v>1917</v>
      </c>
      <c r="G242" s="134" t="s">
        <v>427</v>
      </c>
      <c r="H242" s="46" t="s">
        <v>19</v>
      </c>
      <c r="I242" s="129">
        <v>45258</v>
      </c>
      <c r="J242" s="132"/>
      <c r="K242" s="46" t="s">
        <v>950</v>
      </c>
      <c r="L242" s="123">
        <f>VLOOKUP($C242&amp;$E242,'Updated SES'!A:N,14,0)</f>
        <v>127.11702000000001</v>
      </c>
      <c r="M242" s="124" t="e">
        <f>VLOOKUP($K242,'Genre Penetration'!A:B,2,0)*VLOOKUP($C242&amp;$E242,'Updated SES'!A:I,9,0)</f>
        <v>#N/A</v>
      </c>
      <c r="N242" s="124" t="e">
        <f>VLOOKUP(K:K,'Genre Penetration'!A:C,3,0)*VLOOKUP($C242&amp;$E242,'Updated SES'!A:J,10,0)</f>
        <v>#N/A</v>
      </c>
      <c r="O242" s="124">
        <f>VLOOKUP($B242,'Language Penetration'!$B$1:$BE$14,MATCH('Compile data Working'!$H81,'Language Penetration'!$B$1:$BE$1,0),0)</f>
        <v>0.2</v>
      </c>
      <c r="P242" s="124" t="str">
        <f ca="1">IF(ISBLANK(J242),RANDBETWEEN(1,2)&amp;"%",IF(J242=1,RANDBETWEEN(35,40)&amp;"%",IF(J242=2,RANDBETWEEN(30,35)&amp;"%",IF(J242=3,RANDBETWEEN(25,30)&amp;"%",IF(J242=4,RANDBETWEEN(20,25)&amp;"%",IF(J242=5,RANDBETWEEN(15,20)&amp;"%",IF(J242=6,RANDBETWEEN(10,15)&amp;"%",IF(J242=7,RANDBETWEEN(8,10)&amp;"%",IF(J242=8,RANDBETWEEN(6,8)&amp;"%",IF(J242=9,RANDBETWEEN(4,6)&amp;"%",IF(J242=10,RANDBETWEEN(2,4)&amp;"%","")))))))))))</f>
        <v>2%</v>
      </c>
      <c r="Q242" s="123" t="e">
        <f ca="1">IFERROR(L242*(M242+N242)*O242*P242,RANDBETWEEN(1,2)%*L242*(M242+N242)*O242)</f>
        <v>#N/A</v>
      </c>
      <c r="R242" s="125">
        <f>VLOOKUP(D:D,ranking!W:X,2,0)</f>
        <v>0.3</v>
      </c>
      <c r="S242" s="126" t="e">
        <f ca="1">R242*Q242</f>
        <v>#N/A</v>
      </c>
      <c r="T242" s="123">
        <v>0.15418944898186479</v>
      </c>
    </row>
    <row r="243" spans="1:20" x14ac:dyDescent="0.25">
      <c r="A243" s="98" t="s">
        <v>1057</v>
      </c>
      <c r="B243" s="98" t="s">
        <v>85</v>
      </c>
      <c r="C243" s="46" t="s">
        <v>1229</v>
      </c>
      <c r="D243" s="46" t="s">
        <v>433</v>
      </c>
      <c r="E243" s="46" t="s">
        <v>219</v>
      </c>
      <c r="F243" s="46" t="s">
        <v>215</v>
      </c>
      <c r="G243" s="134" t="s">
        <v>1869</v>
      </c>
      <c r="H243" s="46" t="s">
        <v>19</v>
      </c>
      <c r="I243" s="53">
        <v>46043</v>
      </c>
      <c r="J243" s="131">
        <v>9</v>
      </c>
      <c r="K243" s="46" t="s">
        <v>138</v>
      </c>
      <c r="L243" s="123">
        <f>VLOOKUP($C243&amp;$E243,'Updated SES'!A:N,14,0)</f>
        <v>78.939870000000013</v>
      </c>
      <c r="M243" s="124">
        <f>VLOOKUP($K243,'Genre Penetration'!A:B,2,0)*VLOOKUP($C243&amp;$E243,'Updated SES'!A:I,9,0)</f>
        <v>0.376</v>
      </c>
      <c r="N243" s="124">
        <f>VLOOKUP(K:K,'Genre Penetration'!A:C,3,0)*VLOOKUP($C243&amp;$E243,'Updated SES'!A:J,10,0)</f>
        <v>0.10600000000000001</v>
      </c>
      <c r="O243" s="124">
        <f>VLOOKUP($B243,'Language Penetration'!$B$1:$BE$14,MATCH('Compile data Working'!$H18,'Language Penetration'!$B$1:$BE$1,0),0)</f>
        <v>0.2</v>
      </c>
      <c r="P243" s="124" t="str">
        <f ca="1">IF(ISBLANK(J243),RANDBETWEEN(1,2)&amp;"%",IF(J243=1,RANDBETWEEN(35,40)&amp;"%",IF(J243=2,RANDBETWEEN(30,35)&amp;"%",IF(J243=3,RANDBETWEEN(25,30)&amp;"%",IF(J243=4,RANDBETWEEN(20,25)&amp;"%",IF(J243=5,RANDBETWEEN(15,20)&amp;"%",IF(J243=6,RANDBETWEEN(10,15)&amp;"%",IF(J243=7,RANDBETWEEN(8,10)&amp;"%",IF(J243=8,RANDBETWEEN(6,8)&amp;"%",IF(J243=9,RANDBETWEEN(4,6)&amp;"%",IF(J243=10,RANDBETWEEN(2,4)&amp;"%","")))))))))))</f>
        <v>4%</v>
      </c>
      <c r="Q243" s="123">
        <f ca="1">IFERROR(L243*(M243+N243)*O243*P243,RANDBETWEEN(1,2)%*L243*(M243+N243)*O243)</f>
        <v>0.30439213872000009</v>
      </c>
      <c r="R243" s="125">
        <f>VLOOKUP(D:D,ranking!W:X,2,0)</f>
        <v>0.6</v>
      </c>
      <c r="S243" s="126">
        <f ca="1">R243*Q243</f>
        <v>0.18263528323200004</v>
      </c>
      <c r="T243" s="123">
        <v>0.13840519289959308</v>
      </c>
    </row>
    <row r="244" spans="1:20" x14ac:dyDescent="0.25">
      <c r="A244" s="98" t="s">
        <v>1781</v>
      </c>
      <c r="B244" s="98" t="s">
        <v>85</v>
      </c>
      <c r="C244" s="46" t="s">
        <v>879</v>
      </c>
      <c r="D244" s="46" t="s">
        <v>1854</v>
      </c>
      <c r="E244" s="98" t="s">
        <v>219</v>
      </c>
      <c r="F244" s="46" t="s">
        <v>215</v>
      </c>
      <c r="G244" s="134" t="s">
        <v>1941</v>
      </c>
      <c r="H244" s="46" t="s">
        <v>19</v>
      </c>
      <c r="I244" s="129" t="s">
        <v>254</v>
      </c>
      <c r="J244" s="133"/>
      <c r="K244" s="46" t="s">
        <v>1979</v>
      </c>
      <c r="L244" s="123">
        <f>VLOOKUP($C244&amp;$E244,'Updated SES'!A:N,14,0)</f>
        <v>78.939870000000013</v>
      </c>
      <c r="M244" s="124" t="e">
        <f>VLOOKUP($K244,'Genre Penetration'!A:B,2,0)*VLOOKUP($C244&amp;$E244,'Updated SES'!A:I,9,0)</f>
        <v>#N/A</v>
      </c>
      <c r="N244" s="124" t="e">
        <f>VLOOKUP(K:K,'Genre Penetration'!A:C,3,0)*VLOOKUP($C244&amp;$E244,'Updated SES'!A:J,10,0)</f>
        <v>#N/A</v>
      </c>
      <c r="O244" s="124" t="e">
        <f>VLOOKUP($B244,'Language Penetration'!$B$1:$BE$14,MATCH('Compile data Working'!#REF!,'Language Penetration'!$B$1:$BE$1,0),0)</f>
        <v>#REF!</v>
      </c>
      <c r="P244" s="124" t="str">
        <f ca="1">IF(ISBLANK(J244),RANDBETWEEN(1,2)&amp;"%",IF(J244=1,RANDBETWEEN(35,40)&amp;"%",IF(J244=2,RANDBETWEEN(30,35)&amp;"%",IF(J244=3,RANDBETWEEN(25,30)&amp;"%",IF(J244=4,RANDBETWEEN(20,25)&amp;"%",IF(J244=5,RANDBETWEEN(15,20)&amp;"%",IF(J244=6,RANDBETWEEN(10,15)&amp;"%",IF(J244=7,RANDBETWEEN(8,10)&amp;"%",IF(J244=8,RANDBETWEEN(6,8)&amp;"%",IF(J244=9,RANDBETWEEN(4,6)&amp;"%",IF(J244=10,RANDBETWEEN(2,4)&amp;"%","")))))))))))</f>
        <v>1%</v>
      </c>
      <c r="Q244" s="123" t="e">
        <f ca="1">IFERROR(L244*(M244+N244)*O244*P244,RANDBETWEEN(1,2)%*L244*(M244+N244)*O244)</f>
        <v>#N/A</v>
      </c>
      <c r="R244" s="125">
        <f>VLOOKUP(D:D,ranking!W:X,2,0)</f>
        <v>0.6</v>
      </c>
      <c r="S244" s="126" t="e">
        <f ca="1">R244*Q244</f>
        <v>#N/A</v>
      </c>
      <c r="T244" s="123">
        <v>0.13691558940205834</v>
      </c>
    </row>
    <row r="245" spans="1:20" x14ac:dyDescent="0.25">
      <c r="A245" s="98" t="s">
        <v>1781</v>
      </c>
      <c r="B245" s="98" t="s">
        <v>85</v>
      </c>
      <c r="C245" s="46" t="s">
        <v>906</v>
      </c>
      <c r="D245" s="46" t="s">
        <v>1013</v>
      </c>
      <c r="E245" s="119" t="s">
        <v>211</v>
      </c>
      <c r="F245" s="46" t="s">
        <v>213</v>
      </c>
      <c r="G245" s="134" t="s">
        <v>1959</v>
      </c>
      <c r="H245" s="46" t="s">
        <v>19</v>
      </c>
      <c r="I245" s="129">
        <v>45387</v>
      </c>
      <c r="J245" s="133"/>
      <c r="K245" s="46" t="s">
        <v>1778</v>
      </c>
      <c r="L245" s="123">
        <f>VLOOKUP($C245&amp;$E245,'Updated SES'!A:N,14,0)</f>
        <v>127.11702000000001</v>
      </c>
      <c r="M245" s="124">
        <f>VLOOKUP($K245,'Genre Penetration'!A:B,2,0)*VLOOKUP($C245&amp;$E245,'Updated SES'!A:I,9,0)</f>
        <v>0.33499999999999996</v>
      </c>
      <c r="N245" s="124">
        <f>VLOOKUP(K:K,'Genre Penetration'!A:C,3,0)*VLOOKUP($C245&amp;$E245,'Updated SES'!A:J,10,0)</f>
        <v>0.16499999999999998</v>
      </c>
      <c r="O245" s="124">
        <f>VLOOKUP($B245,'Language Penetration'!$B$1:$BE$14,MATCH('Compile data Working'!$H223,'Language Penetration'!$B$1:$BE$1,0),0)</f>
        <v>0.6</v>
      </c>
      <c r="P245" s="124" t="str">
        <f ca="1">IF(ISBLANK(J245),RANDBETWEEN(1,2)&amp;"%",IF(J245=1,RANDBETWEEN(35,40)&amp;"%",IF(J245=2,RANDBETWEEN(30,35)&amp;"%",IF(J245=3,RANDBETWEEN(25,30)&amp;"%",IF(J245=4,RANDBETWEEN(20,25)&amp;"%",IF(J245=5,RANDBETWEEN(15,20)&amp;"%",IF(J245=6,RANDBETWEEN(10,15)&amp;"%",IF(J245=7,RANDBETWEEN(8,10)&amp;"%",IF(J245=8,RANDBETWEEN(6,8)&amp;"%",IF(J245=9,RANDBETWEEN(4,6)&amp;"%",IF(J245=10,RANDBETWEEN(2,4)&amp;"%","")))))))))))</f>
        <v>2%</v>
      </c>
      <c r="Q245" s="123">
        <f ca="1">IFERROR(L245*(M245+N245)*O245*P245,RANDBETWEEN(1,2)%*L245*(M245+N245)*O245)</f>
        <v>0.76270212000000004</v>
      </c>
      <c r="R245" s="125">
        <f>VLOOKUP(D:D,ranking!W:X,2,0)</f>
        <v>0.8</v>
      </c>
      <c r="S245" s="126">
        <f ca="1">R245*Q245</f>
        <v>0.61016169600000003</v>
      </c>
      <c r="T245" s="123">
        <v>0.13223413081929594</v>
      </c>
    </row>
    <row r="246" spans="1:20" x14ac:dyDescent="0.25">
      <c r="A246" s="98" t="s">
        <v>1057</v>
      </c>
      <c r="B246" s="98" t="s">
        <v>85</v>
      </c>
      <c r="C246" s="98" t="s">
        <v>150</v>
      </c>
      <c r="D246" s="98" t="s">
        <v>431</v>
      </c>
      <c r="E246" s="98" t="s">
        <v>211</v>
      </c>
      <c r="F246" s="46" t="s">
        <v>215</v>
      </c>
      <c r="G246" s="130" t="s">
        <v>1890</v>
      </c>
      <c r="H246" s="98" t="s">
        <v>320</v>
      </c>
      <c r="I246" s="106">
        <v>46052</v>
      </c>
      <c r="J246" s="131">
        <v>9</v>
      </c>
      <c r="K246" s="120" t="s">
        <v>176</v>
      </c>
      <c r="L246" s="123">
        <f>VLOOKUP($C246&amp;$E246,'Updated SES'!A:N,14,0)</f>
        <v>60.152000000000001</v>
      </c>
      <c r="M246" s="124">
        <f>VLOOKUP($K246,'Genre Penetration'!A:B,2,0)*VLOOKUP($C246&amp;$E246,'Updated SES'!A:I,9,0)</f>
        <v>0.40300000000000002</v>
      </c>
      <c r="N246" s="124">
        <f>VLOOKUP(K:K,'Genre Penetration'!A:C,3,0)*VLOOKUP($C246&amp;$E246,'Updated SES'!A:J,10,0)</f>
        <v>0.13299999999999998</v>
      </c>
      <c r="O246" s="124" t="e">
        <f>VLOOKUP($B246,'Language Penetration'!$B$1:$BE$14,MATCH('Compile data Working'!#REF!,'Language Penetration'!$B$1:$BE$1,0),0)</f>
        <v>#REF!</v>
      </c>
      <c r="P246" s="124" t="str">
        <f ca="1">IF(ISBLANK(J246),RANDBETWEEN(1,2)&amp;"%",IF(J246=1,RANDBETWEEN(35,40)&amp;"%",IF(J246=2,RANDBETWEEN(30,35)&amp;"%",IF(J246=3,RANDBETWEEN(25,30)&amp;"%",IF(J246=4,RANDBETWEEN(20,25)&amp;"%",IF(J246=5,RANDBETWEEN(15,20)&amp;"%",IF(J246=6,RANDBETWEEN(10,15)&amp;"%",IF(J246=7,RANDBETWEEN(8,10)&amp;"%",IF(J246=8,RANDBETWEEN(6,8)&amp;"%",IF(J246=9,RANDBETWEEN(4,6)&amp;"%",IF(J246=10,RANDBETWEEN(2,4)&amp;"%","")))))))))))</f>
        <v>4%</v>
      </c>
      <c r="Q246" s="123" t="e">
        <f ca="1">IFERROR(L246*(M246+N246)*O246*P246,RANDBETWEEN(1,2)%*L246*(M246+N246)*O246)</f>
        <v>#REF!</v>
      </c>
      <c r="R246" s="125">
        <f>VLOOKUP(D:D,ranking!W:X,2,0)</f>
        <v>0.6</v>
      </c>
      <c r="S246" s="126" t="e">
        <f ca="1">R246*Q246</f>
        <v>#REF!</v>
      </c>
      <c r="T246" s="123">
        <v>0.13154519928662967</v>
      </c>
    </row>
    <row r="247" spans="1:20" x14ac:dyDescent="0.25">
      <c r="A247" s="98" t="s">
        <v>1057</v>
      </c>
      <c r="B247" s="98" t="s">
        <v>85</v>
      </c>
      <c r="C247" s="98" t="s">
        <v>406</v>
      </c>
      <c r="D247" s="98" t="s">
        <v>434</v>
      </c>
      <c r="E247" s="119" t="s">
        <v>211</v>
      </c>
      <c r="F247" s="46" t="s">
        <v>213</v>
      </c>
      <c r="G247" s="136" t="s">
        <v>1785</v>
      </c>
      <c r="H247" s="119" t="s">
        <v>20</v>
      </c>
      <c r="I247" s="121">
        <v>46066</v>
      </c>
      <c r="J247" s="131">
        <v>9</v>
      </c>
      <c r="K247" s="119" t="s">
        <v>154</v>
      </c>
      <c r="L247" s="123">
        <f>VLOOKUP($C247&amp;$E247,'Updated SES'!A:N,14,0)</f>
        <v>1.669</v>
      </c>
      <c r="M247" s="124">
        <f>VLOOKUP($K247,'Genre Penetration'!A:B,2,0)*VLOOKUP($C247&amp;$E247,'Updated SES'!A:I,9,0)</f>
        <v>0.18</v>
      </c>
      <c r="N247" s="124">
        <f>VLOOKUP(K:K,'Genre Penetration'!A:C,3,0)*VLOOKUP($C247&amp;$E247,'Updated SES'!A:J,10,0)</f>
        <v>0.27999999999999997</v>
      </c>
      <c r="O247" s="124">
        <f>VLOOKUP($B247,'Language Penetration'!$B$1:$BE$14,MATCH('Compile data Working'!$H242,'Language Penetration'!$B$1:$BE$1,0),0)</f>
        <v>0.6</v>
      </c>
      <c r="P247" s="124" t="str">
        <f ca="1">IF(ISBLANK(J247),RANDBETWEEN(1,2)&amp;"%",IF(J247=1,RANDBETWEEN(35,40)&amp;"%",IF(J247=2,RANDBETWEEN(30,35)&amp;"%",IF(J247=3,RANDBETWEEN(25,30)&amp;"%",IF(J247=4,RANDBETWEEN(20,25)&amp;"%",IF(J247=5,RANDBETWEEN(15,20)&amp;"%",IF(J247=6,RANDBETWEEN(10,15)&amp;"%",IF(J247=7,RANDBETWEEN(8,10)&amp;"%",IF(J247=8,RANDBETWEEN(6,8)&amp;"%",IF(J247=9,RANDBETWEEN(4,6)&amp;"%",IF(J247=10,RANDBETWEEN(2,4)&amp;"%","")))))))))))</f>
        <v>4%</v>
      </c>
      <c r="Q247" s="123">
        <f ca="1">IFERROR(L247*(M247+N247)*O247*P247,RANDBETWEEN(1,2)%*L247*(M247+N247)*O247)</f>
        <v>1.8425759999999999E-2</v>
      </c>
      <c r="R247" s="125">
        <f>VLOOKUP(D:D,ranking!W:X,2,0)</f>
        <v>0.7</v>
      </c>
      <c r="S247" s="126">
        <f ca="1">R247*Q247</f>
        <v>1.2898031999999999E-2</v>
      </c>
      <c r="T247" s="123">
        <v>9.8129572629310408E-2</v>
      </c>
    </row>
    <row r="248" spans="1:20" x14ac:dyDescent="0.25">
      <c r="A248" s="98" t="s">
        <v>1781</v>
      </c>
      <c r="B248" s="98" t="s">
        <v>85</v>
      </c>
      <c r="C248" s="46" t="s">
        <v>906</v>
      </c>
      <c r="D248" s="98" t="s">
        <v>456</v>
      </c>
      <c r="E248" s="98" t="s">
        <v>211</v>
      </c>
      <c r="F248" s="46" t="s">
        <v>1917</v>
      </c>
      <c r="G248" s="134" t="s">
        <v>1796</v>
      </c>
      <c r="H248" s="46" t="s">
        <v>29</v>
      </c>
      <c r="I248" s="129">
        <v>44900</v>
      </c>
      <c r="J248" s="133"/>
      <c r="K248" s="46" t="s">
        <v>950</v>
      </c>
      <c r="L248" s="123">
        <f>VLOOKUP($C248&amp;$E248,'Updated SES'!A:N,14,0)</f>
        <v>127.11702000000001</v>
      </c>
      <c r="M248" s="124" t="e">
        <f>VLOOKUP($K248,'Genre Penetration'!A:B,2,0)*VLOOKUP($C248&amp;$E248,'Updated SES'!A:I,9,0)</f>
        <v>#N/A</v>
      </c>
      <c r="N248" s="124" t="e">
        <f>VLOOKUP(K:K,'Genre Penetration'!A:C,3,0)*VLOOKUP($C248&amp;$E248,'Updated SES'!A:J,10,0)</f>
        <v>#N/A</v>
      </c>
      <c r="O248" s="124" t="e">
        <f>VLOOKUP($B248,'Language Penetration'!$B$1:$BE$14,MATCH('Compile data Working'!$H215,'Language Penetration'!$B$1:$BE$1,0),0)</f>
        <v>#N/A</v>
      </c>
      <c r="P248" s="124" t="str">
        <f ca="1">IF(ISBLANK(J248),RANDBETWEEN(1,2)&amp;"%",IF(J248=1,RANDBETWEEN(35,40)&amp;"%",IF(J248=2,RANDBETWEEN(30,35)&amp;"%",IF(J248=3,RANDBETWEEN(25,30)&amp;"%",IF(J248=4,RANDBETWEEN(20,25)&amp;"%",IF(J248=5,RANDBETWEEN(15,20)&amp;"%",IF(J248=6,RANDBETWEEN(10,15)&amp;"%",IF(J248=7,RANDBETWEEN(8,10)&amp;"%",IF(J248=8,RANDBETWEEN(6,8)&amp;"%",IF(J248=9,RANDBETWEEN(4,6)&amp;"%",IF(J248=10,RANDBETWEEN(2,4)&amp;"%","")))))))))))</f>
        <v>1%</v>
      </c>
      <c r="Q248" s="123" t="e">
        <f ca="1">IFERROR(L248*(M248+N248)*O248*P248,RANDBETWEEN(1,2)%*L248*(M248+N248)*O248)</f>
        <v>#N/A</v>
      </c>
      <c r="R248" s="125">
        <f>VLOOKUP(D:D,ranking!W:X,2,0)</f>
        <v>0.3</v>
      </c>
      <c r="S248" s="126" t="e">
        <f ca="1">R248*Q248</f>
        <v>#N/A</v>
      </c>
      <c r="T248" s="123">
        <v>9.3102369815019417E-2</v>
      </c>
    </row>
    <row r="249" spans="1:20" x14ac:dyDescent="0.25">
      <c r="A249" s="98" t="s">
        <v>1057</v>
      </c>
      <c r="B249" s="98" t="s">
        <v>85</v>
      </c>
      <c r="C249" s="98" t="s">
        <v>150</v>
      </c>
      <c r="D249" s="98" t="s">
        <v>433</v>
      </c>
      <c r="E249" s="98" t="s">
        <v>219</v>
      </c>
      <c r="F249" s="46" t="s">
        <v>215</v>
      </c>
      <c r="G249" s="130" t="s">
        <v>1889</v>
      </c>
      <c r="H249" s="119" t="s">
        <v>40</v>
      </c>
      <c r="I249" s="106">
        <v>45597</v>
      </c>
      <c r="J249" s="131">
        <v>8</v>
      </c>
      <c r="K249" s="119" t="s">
        <v>173</v>
      </c>
      <c r="L249" s="123">
        <f>VLOOKUP($C249&amp;$E249,'Updated SES'!A:N,14,0)</f>
        <v>24.425800000000002</v>
      </c>
      <c r="M249" s="124">
        <f>VLOOKUP($K249,'Genre Penetration'!A:B,2,0)*VLOOKUP($C249&amp;$E249,'Updated SES'!A:I,9,0)</f>
        <v>0.37400000000000005</v>
      </c>
      <c r="N249" s="124">
        <f>VLOOKUP(K:K,'Genre Penetration'!A:C,3,0)*VLOOKUP($C249&amp;$E249,'Updated SES'!A:J,10,0)</f>
        <v>0.14400000000000002</v>
      </c>
      <c r="O249" s="124" t="e">
        <f>VLOOKUP($B249,'Language Penetration'!$B$1:$BE$14,MATCH('Compile data Working'!#REF!,'Language Penetration'!$B$1:$BE$1,0),0)</f>
        <v>#REF!</v>
      </c>
      <c r="P249" s="124" t="str">
        <f ca="1">IF(ISBLANK(J249),RANDBETWEEN(1,2)&amp;"%",IF(J249=1,RANDBETWEEN(35,40)&amp;"%",IF(J249=2,RANDBETWEEN(30,35)&amp;"%",IF(J249=3,RANDBETWEEN(25,30)&amp;"%",IF(J249=4,RANDBETWEEN(20,25)&amp;"%",IF(J249=5,RANDBETWEEN(15,20)&amp;"%",IF(J249=6,RANDBETWEEN(10,15)&amp;"%",IF(J249=7,RANDBETWEEN(8,10)&amp;"%",IF(J249=8,RANDBETWEEN(6,8)&amp;"%",IF(J249=9,RANDBETWEEN(4,6)&amp;"%",IF(J249=10,RANDBETWEEN(2,4)&amp;"%","")))))))))))</f>
        <v>6%</v>
      </c>
      <c r="Q249" s="123" t="e">
        <f ca="1">IFERROR(L249*(M249+N249)*O249*P249,RANDBETWEEN(1,2)%*L249*(M249+N249)*O249)</f>
        <v>#REF!</v>
      </c>
      <c r="R249" s="125">
        <f>VLOOKUP(D:D,ranking!W:X,2,0)</f>
        <v>0.6</v>
      </c>
      <c r="S249" s="126" t="e">
        <f ca="1">R249*Q249</f>
        <v>#REF!</v>
      </c>
      <c r="T249" s="123">
        <v>9.1926009621297752E-2</v>
      </c>
    </row>
    <row r="250" spans="1:20" x14ac:dyDescent="0.25">
      <c r="A250" s="98" t="s">
        <v>1057</v>
      </c>
      <c r="B250" s="98" t="s">
        <v>85</v>
      </c>
      <c r="C250" s="98" t="s">
        <v>406</v>
      </c>
      <c r="D250" s="98" t="s">
        <v>431</v>
      </c>
      <c r="E250" s="98" t="s">
        <v>211</v>
      </c>
      <c r="F250" s="46" t="s">
        <v>215</v>
      </c>
      <c r="G250" s="130" t="s">
        <v>1876</v>
      </c>
      <c r="H250" s="119" t="s">
        <v>20</v>
      </c>
      <c r="I250" s="106">
        <v>46141</v>
      </c>
      <c r="J250" s="131">
        <v>2</v>
      </c>
      <c r="K250" s="120" t="s">
        <v>324</v>
      </c>
      <c r="L250" s="123">
        <f>VLOOKUP($C250&amp;$E250,'Updated SES'!A:N,14,0)</f>
        <v>1.669</v>
      </c>
      <c r="M250" s="124">
        <f>VLOOKUP($K250,'Genre Penetration'!A:B,2,0)*VLOOKUP($C250&amp;$E250,'Updated SES'!A:I,9,0)</f>
        <v>0.38400000000000001</v>
      </c>
      <c r="N250" s="124">
        <f>VLOOKUP(K:K,'Genre Penetration'!A:C,3,0)*VLOOKUP($C250&amp;$E250,'Updated SES'!A:J,10,0)</f>
        <v>0.14399999999999999</v>
      </c>
      <c r="O250" s="124" t="e">
        <f>VLOOKUP($B250,'Language Penetration'!$B$1:$BE$14,MATCH('Compile data Working'!#REF!,'Language Penetration'!$B$1:$BE$1,0),0)</f>
        <v>#REF!</v>
      </c>
      <c r="P250" s="124" t="str">
        <f ca="1">IF(ISBLANK(J250),RANDBETWEEN(1,2)&amp;"%",IF(J250=1,RANDBETWEEN(35,40)&amp;"%",IF(J250=2,RANDBETWEEN(30,35)&amp;"%",IF(J250=3,RANDBETWEEN(25,30)&amp;"%",IF(J250=4,RANDBETWEEN(20,25)&amp;"%",IF(J250=5,RANDBETWEEN(15,20)&amp;"%",IF(J250=6,RANDBETWEEN(10,15)&amp;"%",IF(J250=7,RANDBETWEEN(8,10)&amp;"%",IF(J250=8,RANDBETWEEN(6,8)&amp;"%",IF(J250=9,RANDBETWEEN(4,6)&amp;"%",IF(J250=10,RANDBETWEEN(2,4)&amp;"%","")))))))))))</f>
        <v>31%</v>
      </c>
      <c r="Q250" s="123" t="e">
        <f ca="1">IFERROR(L250*(M250+N250)*O250*P250,RANDBETWEEN(1,2)%*L250*(M250+N250)*O250)</f>
        <v>#REF!</v>
      </c>
      <c r="R250" s="125">
        <f>VLOOKUP(D:D,ranking!W:X,2,0)</f>
        <v>0.6</v>
      </c>
      <c r="S250" s="126" t="e">
        <f ca="1">R250*Q250</f>
        <v>#REF!</v>
      </c>
      <c r="T250" s="123">
        <v>8.1174421837828317E-2</v>
      </c>
    </row>
    <row r="251" spans="1:20" x14ac:dyDescent="0.25">
      <c r="A251" s="98" t="s">
        <v>1781</v>
      </c>
      <c r="B251" s="98" t="s">
        <v>85</v>
      </c>
      <c r="C251" s="46" t="s">
        <v>906</v>
      </c>
      <c r="D251" s="98" t="s">
        <v>456</v>
      </c>
      <c r="E251" s="98" t="s">
        <v>211</v>
      </c>
      <c r="F251" s="46" t="s">
        <v>1917</v>
      </c>
      <c r="G251" s="130" t="s">
        <v>1845</v>
      </c>
      <c r="H251" s="46" t="s">
        <v>1967</v>
      </c>
      <c r="I251" s="129">
        <v>45781</v>
      </c>
      <c r="J251" s="133"/>
      <c r="K251" s="46" t="s">
        <v>1975</v>
      </c>
      <c r="L251" s="123">
        <f>VLOOKUP($C251&amp;$E251,'Updated SES'!A:N,14,0)</f>
        <v>127.11702000000001</v>
      </c>
      <c r="M251" s="124" t="e">
        <f>VLOOKUP($K251,'Genre Penetration'!A:B,2,0)*VLOOKUP($C251&amp;$E251,'Updated SES'!A:I,9,0)</f>
        <v>#N/A</v>
      </c>
      <c r="N251" s="124" t="e">
        <f>VLOOKUP(K:K,'Genre Penetration'!A:C,3,0)*VLOOKUP($C251&amp;$E251,'Updated SES'!A:J,10,0)</f>
        <v>#N/A</v>
      </c>
      <c r="O251" s="124" t="e">
        <f>VLOOKUP($B251,'Language Penetration'!$B$1:$BE$14,MATCH('Compile data Working'!$H240,'Language Penetration'!$B$1:$BE$1,0),0)</f>
        <v>#N/A</v>
      </c>
      <c r="P251" s="124" t="str">
        <f ca="1">IF(ISBLANK(J251),RANDBETWEEN(1,2)&amp;"%",IF(J251=1,RANDBETWEEN(35,40)&amp;"%",IF(J251=2,RANDBETWEEN(30,35)&amp;"%",IF(J251=3,RANDBETWEEN(25,30)&amp;"%",IF(J251=4,RANDBETWEEN(20,25)&amp;"%",IF(J251=5,RANDBETWEEN(15,20)&amp;"%",IF(J251=6,RANDBETWEEN(10,15)&amp;"%",IF(J251=7,RANDBETWEEN(8,10)&amp;"%",IF(J251=8,RANDBETWEEN(6,8)&amp;"%",IF(J251=9,RANDBETWEEN(4,6)&amp;"%",IF(J251=10,RANDBETWEEN(2,4)&amp;"%","")))))))))))</f>
        <v>2%</v>
      </c>
      <c r="Q251" s="123" t="e">
        <f ca="1">IFERROR(L251*(M251+N251)*O251*P251,RANDBETWEEN(1,2)%*L251*(M251+N251)*O251)</f>
        <v>#N/A</v>
      </c>
      <c r="R251" s="125">
        <f>VLOOKUP(D:D,ranking!W:X,2,0)</f>
        <v>0.3</v>
      </c>
      <c r="S251" s="126" t="e">
        <f ca="1">R251*Q251</f>
        <v>#N/A</v>
      </c>
      <c r="T251" s="123">
        <v>8.0103621803391645E-2</v>
      </c>
    </row>
    <row r="252" spans="1:20" x14ac:dyDescent="0.25">
      <c r="A252" s="98" t="s">
        <v>1781</v>
      </c>
      <c r="B252" s="98" t="s">
        <v>85</v>
      </c>
      <c r="C252" s="46" t="s">
        <v>906</v>
      </c>
      <c r="D252" s="98" t="s">
        <v>456</v>
      </c>
      <c r="E252" s="98" t="s">
        <v>211</v>
      </c>
      <c r="F252" s="46" t="s">
        <v>1917</v>
      </c>
      <c r="G252" s="134" t="s">
        <v>1846</v>
      </c>
      <c r="H252" s="46" t="s">
        <v>29</v>
      </c>
      <c r="I252" s="129" t="s">
        <v>254</v>
      </c>
      <c r="J252" s="131"/>
      <c r="K252" s="46" t="s">
        <v>970</v>
      </c>
      <c r="L252" s="123">
        <f>VLOOKUP($C252&amp;$E252,'Updated SES'!A:N,14,0)</f>
        <v>127.11702000000001</v>
      </c>
      <c r="M252" s="124">
        <f>VLOOKUP($K252,'Genre Penetration'!A:B,2,0)*VLOOKUP($C252&amp;$E252,'Updated SES'!A:I,9,0)</f>
        <v>0.33499999999999996</v>
      </c>
      <c r="N252" s="124">
        <f>VLOOKUP(K:K,'Genre Penetration'!A:C,3,0)*VLOOKUP($C252&amp;$E252,'Updated SES'!A:J,10,0)</f>
        <v>0.16499999999999998</v>
      </c>
      <c r="O252" s="124" t="e">
        <f>VLOOKUP($B252,'Language Penetration'!$B$1:$BE$14,MATCH('Compile data Working'!$H50,'Language Penetration'!$B$1:$BE$1,0),0)</f>
        <v>#N/A</v>
      </c>
      <c r="P252" s="124" t="str">
        <f ca="1">IF(ISBLANK(J252),RANDBETWEEN(1,2)&amp;"%",IF(J252=1,RANDBETWEEN(35,40)&amp;"%",IF(J252=2,RANDBETWEEN(30,35)&amp;"%",IF(J252=3,RANDBETWEEN(25,30)&amp;"%",IF(J252=4,RANDBETWEEN(20,25)&amp;"%",IF(J252=5,RANDBETWEEN(15,20)&amp;"%",IF(J252=6,RANDBETWEEN(10,15)&amp;"%",IF(J252=7,RANDBETWEEN(8,10)&amp;"%",IF(J252=8,RANDBETWEEN(6,8)&amp;"%",IF(J252=9,RANDBETWEEN(4,6)&amp;"%",IF(J252=10,RANDBETWEEN(2,4)&amp;"%","")))))))))))</f>
        <v>1%</v>
      </c>
      <c r="Q252" s="123" t="e">
        <f ca="1">IFERROR(L252*(M252+N252)*O252*P252,RANDBETWEEN(1,2)%*L252*(M252+N252)*O252)</f>
        <v>#N/A</v>
      </c>
      <c r="R252" s="125">
        <f>VLOOKUP(D:D,ranking!W:X,2,0)</f>
        <v>0.3</v>
      </c>
      <c r="S252" s="126" t="e">
        <f ca="1">R252*Q252</f>
        <v>#N/A</v>
      </c>
      <c r="T252" s="123">
        <v>6.161400664600411E-2</v>
      </c>
    </row>
    <row r="253" spans="1:20" x14ac:dyDescent="0.25">
      <c r="A253" s="98" t="s">
        <v>1057</v>
      </c>
      <c r="B253" s="98" t="s">
        <v>85</v>
      </c>
      <c r="C253" s="98" t="s">
        <v>150</v>
      </c>
      <c r="D253" s="98" t="s">
        <v>434</v>
      </c>
      <c r="E253" s="98" t="s">
        <v>211</v>
      </c>
      <c r="F253" s="46" t="s">
        <v>213</v>
      </c>
      <c r="G253" s="130" t="s">
        <v>1886</v>
      </c>
      <c r="H253" s="98" t="s">
        <v>19</v>
      </c>
      <c r="I253" s="106">
        <v>45982</v>
      </c>
      <c r="J253" s="132">
        <v>10</v>
      </c>
      <c r="K253" s="98" t="s">
        <v>173</v>
      </c>
      <c r="L253" s="123">
        <f>VLOOKUP($C253&amp;$E253,'Updated SES'!A:N,14,0)</f>
        <v>60.152000000000001</v>
      </c>
      <c r="M253" s="124">
        <f>VLOOKUP($K253,'Genre Penetration'!A:B,2,0)*VLOOKUP($C253&amp;$E253,'Updated SES'!A:I,9,0)</f>
        <v>0.35750000000000004</v>
      </c>
      <c r="N253" s="124">
        <f>VLOOKUP(K:K,'Genre Penetration'!A:C,3,0)*VLOOKUP($C253&amp;$E253,'Updated SES'!A:J,10,0)</f>
        <v>0.1575</v>
      </c>
      <c r="O253" s="124" t="e">
        <f>VLOOKUP($B253,'Language Penetration'!$B$1:$BE$14,MATCH('Compile data Working'!#REF!,'Language Penetration'!$B$1:$BE$1,0),0)</f>
        <v>#REF!</v>
      </c>
      <c r="P253" s="124" t="str">
        <f ca="1">IF(ISBLANK(J253),RANDBETWEEN(1,2)&amp;"%",IF(J253=1,RANDBETWEEN(35,40)&amp;"%",IF(J253=2,RANDBETWEEN(30,35)&amp;"%",IF(J253=3,RANDBETWEEN(25,30)&amp;"%",IF(J253=4,RANDBETWEEN(20,25)&amp;"%",IF(J253=5,RANDBETWEEN(15,20)&amp;"%",IF(J253=6,RANDBETWEEN(10,15)&amp;"%",IF(J253=7,RANDBETWEEN(8,10)&amp;"%",IF(J253=8,RANDBETWEEN(6,8)&amp;"%",IF(J253=9,RANDBETWEEN(4,6)&amp;"%",IF(J253=10,RANDBETWEEN(2,4)&amp;"%","")))))))))))</f>
        <v>2%</v>
      </c>
      <c r="Q253" s="123" t="e">
        <f ca="1">IFERROR(L253*(M253+N253)*O253*P253,RANDBETWEEN(1,2)%*L253*(M253+N253)*O253)</f>
        <v>#REF!</v>
      </c>
      <c r="R253" s="125">
        <f>VLOOKUP(D:D,ranking!W:X,2,0)</f>
        <v>0.7</v>
      </c>
      <c r="S253" s="126" t="e">
        <f ca="1">R253*Q253</f>
        <v>#REF!</v>
      </c>
      <c r="T253" s="123">
        <v>1.5219396544081838E-2</v>
      </c>
    </row>
    <row r="254" spans="1:20" x14ac:dyDescent="0.25">
      <c r="A254" s="98" t="s">
        <v>1781</v>
      </c>
      <c r="B254" s="98" t="s">
        <v>85</v>
      </c>
      <c r="C254" s="46" t="s">
        <v>906</v>
      </c>
      <c r="D254" s="98" t="s">
        <v>456</v>
      </c>
      <c r="E254" s="98" t="s">
        <v>211</v>
      </c>
      <c r="F254" s="46" t="s">
        <v>1917</v>
      </c>
      <c r="G254" s="134" t="s">
        <v>1795</v>
      </c>
      <c r="H254" s="46" t="s">
        <v>1967</v>
      </c>
      <c r="I254" s="129">
        <v>44065</v>
      </c>
      <c r="J254" s="133"/>
      <c r="K254" s="46" t="s">
        <v>1982</v>
      </c>
      <c r="L254" s="123">
        <f>VLOOKUP($C254&amp;$E254,'Updated SES'!A:N,14,0)</f>
        <v>127.11702000000001</v>
      </c>
      <c r="M254" s="124" t="e">
        <f>VLOOKUP($K254,'Genre Penetration'!A:B,2,0)*VLOOKUP($C254&amp;$E254,'Updated SES'!A:I,9,0)</f>
        <v>#N/A</v>
      </c>
      <c r="N254" s="124" t="e">
        <f>VLOOKUP(K:K,'Genre Penetration'!A:C,3,0)*VLOOKUP($C254&amp;$E254,'Updated SES'!A:J,10,0)</f>
        <v>#N/A</v>
      </c>
      <c r="O254" s="124">
        <f>VLOOKUP($B254,'Language Penetration'!$B$1:$BE$14,MATCH('Compile data Working'!$H131,'Language Penetration'!$B$1:$BE$1,0),0)</f>
        <v>0.2</v>
      </c>
      <c r="P254" s="124" t="str">
        <f ca="1">IF(ISBLANK(J254),RANDBETWEEN(1,2)&amp;"%",IF(J254=1,RANDBETWEEN(35,40)&amp;"%",IF(J254=2,RANDBETWEEN(30,35)&amp;"%",IF(J254=3,RANDBETWEEN(25,30)&amp;"%",IF(J254=4,RANDBETWEEN(20,25)&amp;"%",IF(J254=5,RANDBETWEEN(15,20)&amp;"%",IF(J254=6,RANDBETWEEN(10,15)&amp;"%",IF(J254=7,RANDBETWEEN(8,10)&amp;"%",IF(J254=8,RANDBETWEEN(6,8)&amp;"%",IF(J254=9,RANDBETWEEN(4,6)&amp;"%",IF(J254=10,RANDBETWEEN(2,4)&amp;"%","")))))))))))</f>
        <v>2%</v>
      </c>
      <c r="Q254" s="123" t="e">
        <f ca="1">IFERROR(L254*(M254+N254)*O254*P254,RANDBETWEEN(1,2)%*L254*(M254+N254)*O254)</f>
        <v>#N/A</v>
      </c>
      <c r="R254" s="125">
        <f>VLOOKUP(D:D,ranking!W:X,2,0)</f>
        <v>0.3</v>
      </c>
      <c r="S254" s="126" t="e">
        <f ca="1">R254*Q254</f>
        <v>#N/A</v>
      </c>
      <c r="T254" s="123">
        <v>1.285873921021405E-2</v>
      </c>
    </row>
    <row r="255" spans="1:20" x14ac:dyDescent="0.25">
      <c r="A255" s="98" t="s">
        <v>1057</v>
      </c>
      <c r="B255" s="98" t="s">
        <v>85</v>
      </c>
      <c r="C255" s="98" t="s">
        <v>150</v>
      </c>
      <c r="D255" s="98" t="s">
        <v>431</v>
      </c>
      <c r="E255" s="98" t="s">
        <v>211</v>
      </c>
      <c r="F255" s="46" t="s">
        <v>215</v>
      </c>
      <c r="G255" s="136" t="s">
        <v>1791</v>
      </c>
      <c r="H255" s="119" t="s">
        <v>19</v>
      </c>
      <c r="I255" s="121">
        <v>45534</v>
      </c>
      <c r="J255" s="131">
        <v>5</v>
      </c>
      <c r="K255" s="119" t="s">
        <v>176</v>
      </c>
      <c r="L255" s="123">
        <f>VLOOKUP($C255&amp;$E255,'Updated SES'!A:N,14,0)</f>
        <v>60.152000000000001</v>
      </c>
      <c r="M255" s="124">
        <f>VLOOKUP($K255,'Genre Penetration'!A:B,2,0)*VLOOKUP($C255&amp;$E255,'Updated SES'!A:I,9,0)</f>
        <v>0.40300000000000002</v>
      </c>
      <c r="N255" s="124">
        <f>VLOOKUP(K:K,'Genre Penetration'!A:C,3,0)*VLOOKUP($C255&amp;$E255,'Updated SES'!A:J,10,0)</f>
        <v>0.13299999999999998</v>
      </c>
      <c r="O255" s="124" t="e">
        <f>VLOOKUP($B255,'Language Penetration'!$B$1:$BE$14,MATCH('Compile data Working'!#REF!,'Language Penetration'!$B$1:$BE$1,0),0)</f>
        <v>#REF!</v>
      </c>
      <c r="P255" s="124" t="str">
        <f ca="1">IF(ISBLANK(J255),RANDBETWEEN(1,2)&amp;"%",IF(J255=1,RANDBETWEEN(35,40)&amp;"%",IF(J255=2,RANDBETWEEN(30,35)&amp;"%",IF(J255=3,RANDBETWEEN(25,30)&amp;"%",IF(J255=4,RANDBETWEEN(20,25)&amp;"%",IF(J255=5,RANDBETWEEN(15,20)&amp;"%",IF(J255=6,RANDBETWEEN(10,15)&amp;"%",IF(J255=7,RANDBETWEEN(8,10)&amp;"%",IF(J255=8,RANDBETWEEN(6,8)&amp;"%",IF(J255=9,RANDBETWEEN(4,6)&amp;"%",IF(J255=10,RANDBETWEEN(2,4)&amp;"%","")))))))))))</f>
        <v>15%</v>
      </c>
      <c r="Q255" s="123" t="e">
        <f ca="1">IFERROR(L255*(M255+N255)*O255*P255,RANDBETWEEN(1,2)%*L255*(M255+N255)*O255)</f>
        <v>#REF!</v>
      </c>
      <c r="R255" s="125">
        <f>VLOOKUP(D:D,ranking!W:X,2,0)</f>
        <v>0.6</v>
      </c>
      <c r="S255" s="126" t="e">
        <f ca="1">R255*Q255</f>
        <v>#REF!</v>
      </c>
      <c r="T255" s="123">
        <v>9.2001505080518894E-3</v>
      </c>
    </row>
    <row r="256" spans="1:20" x14ac:dyDescent="0.25">
      <c r="A256" s="98" t="s">
        <v>1057</v>
      </c>
      <c r="B256" s="98" t="s">
        <v>85</v>
      </c>
      <c r="C256" s="98" t="s">
        <v>406</v>
      </c>
      <c r="D256" s="98" t="s">
        <v>432</v>
      </c>
      <c r="E256" s="119" t="s">
        <v>211</v>
      </c>
      <c r="F256" s="46" t="s">
        <v>213</v>
      </c>
      <c r="G256" s="130" t="s">
        <v>581</v>
      </c>
      <c r="H256" s="119" t="s">
        <v>20</v>
      </c>
      <c r="I256" s="106">
        <v>45275</v>
      </c>
      <c r="J256" s="131">
        <v>10</v>
      </c>
      <c r="K256" s="98" t="s">
        <v>124</v>
      </c>
      <c r="L256" s="123">
        <f>VLOOKUP($C256&amp;$E256,'Updated SES'!A:N,14,0)</f>
        <v>1.669</v>
      </c>
      <c r="M256" s="124">
        <f>VLOOKUP($K256,'Genre Penetration'!A:B,2,0)*VLOOKUP($C256&amp;$E256,'Updated SES'!A:I,9,0)</f>
        <v>0.27</v>
      </c>
      <c r="N256" s="124">
        <f>VLOOKUP(K:K,'Genre Penetration'!A:C,3,0)*VLOOKUP($C256&amp;$E256,'Updated SES'!A:J,10,0)</f>
        <v>0.22000000000000003</v>
      </c>
      <c r="O256" s="124">
        <f>VLOOKUP($B256,'Language Penetration'!$B$1:$BE$14,MATCH('Compile data Working'!$H181,'Language Penetration'!$B$1:$BE$1,0),0)</f>
        <v>0.6</v>
      </c>
      <c r="P256" s="124" t="str">
        <f ca="1">IF(ISBLANK(J256),RANDBETWEEN(1,2)&amp;"%",IF(J256=1,RANDBETWEEN(35,40)&amp;"%",IF(J256=2,RANDBETWEEN(30,35)&amp;"%",IF(J256=3,RANDBETWEEN(25,30)&amp;"%",IF(J256=4,RANDBETWEEN(20,25)&amp;"%",IF(J256=5,RANDBETWEEN(15,20)&amp;"%",IF(J256=6,RANDBETWEEN(10,15)&amp;"%",IF(J256=7,RANDBETWEEN(8,10)&amp;"%",IF(J256=8,RANDBETWEEN(6,8)&amp;"%",IF(J256=9,RANDBETWEEN(4,6)&amp;"%",IF(J256=10,RANDBETWEEN(2,4)&amp;"%","")))))))))))</f>
        <v>3%</v>
      </c>
      <c r="Q256" s="123">
        <f ca="1">IFERROR(L256*(M256+N256)*O256*P256,RANDBETWEEN(1,2)%*L256*(M256+N256)*O256)</f>
        <v>1.4720580000000002E-2</v>
      </c>
      <c r="R256" s="125">
        <f>VLOOKUP(D:D,ranking!W:X,2,0)</f>
        <v>0.8</v>
      </c>
      <c r="S256" s="126">
        <f ca="1">R256*Q256</f>
        <v>1.1776464000000002E-2</v>
      </c>
      <c r="T256" s="123">
        <v>2.9355359029914858E-3</v>
      </c>
    </row>
    <row r="257" spans="1:20" x14ac:dyDescent="0.25">
      <c r="A257" s="98" t="s">
        <v>1057</v>
      </c>
      <c r="B257" s="98" t="s">
        <v>85</v>
      </c>
      <c r="C257" s="98" t="s">
        <v>406</v>
      </c>
      <c r="D257" s="98" t="s">
        <v>434</v>
      </c>
      <c r="E257" s="119" t="s">
        <v>211</v>
      </c>
      <c r="F257" s="46" t="s">
        <v>213</v>
      </c>
      <c r="G257" s="136" t="s">
        <v>1784</v>
      </c>
      <c r="H257" s="119" t="s">
        <v>20</v>
      </c>
      <c r="I257" s="121">
        <v>46003</v>
      </c>
      <c r="J257" s="131">
        <v>3</v>
      </c>
      <c r="K257" s="119" t="s">
        <v>92</v>
      </c>
      <c r="L257" s="123">
        <f>VLOOKUP($C257&amp;$E257,'Updated SES'!A:N,14,0)</f>
        <v>1.669</v>
      </c>
      <c r="M257" s="124">
        <f>VLOOKUP($K257,'Genre Penetration'!A:B,2,0)*VLOOKUP($C257&amp;$E257,'Updated SES'!A:I,9,0)</f>
        <v>0.318</v>
      </c>
      <c r="N257" s="124">
        <f>VLOOKUP(K:K,'Genre Penetration'!A:C,3,0)*VLOOKUP($C257&amp;$E257,'Updated SES'!A:J,10,0)</f>
        <v>0.188</v>
      </c>
      <c r="O257" s="124" t="e">
        <f>VLOOKUP($B257,'Language Penetration'!$B$1:$BE$14,MATCH('Compile data Working'!$H54,'Language Penetration'!$B$1:$BE$1,0),0)</f>
        <v>#N/A</v>
      </c>
      <c r="P257" s="124" t="str">
        <f ca="1">IF(ISBLANK(J257),RANDBETWEEN(1,2)&amp;"%",IF(J257=1,RANDBETWEEN(35,40)&amp;"%",IF(J257=2,RANDBETWEEN(30,35)&amp;"%",IF(J257=3,RANDBETWEEN(25,30)&amp;"%",IF(J257=4,RANDBETWEEN(20,25)&amp;"%",IF(J257=5,RANDBETWEEN(15,20)&amp;"%",IF(J257=6,RANDBETWEEN(10,15)&amp;"%",IF(J257=7,RANDBETWEEN(8,10)&amp;"%",IF(J257=8,RANDBETWEEN(6,8)&amp;"%",IF(J257=9,RANDBETWEEN(4,6)&amp;"%",IF(J257=10,RANDBETWEEN(2,4)&amp;"%","")))))))))))</f>
        <v>28%</v>
      </c>
      <c r="Q257" s="123" t="e">
        <f ca="1">IFERROR(L257*(M257+N257)*O257*P257,RANDBETWEEN(1,2)%*L257*(M257+N257)*O257)</f>
        <v>#N/A</v>
      </c>
      <c r="R257" s="125">
        <f>VLOOKUP(D:D,ranking!W:X,2,0)</f>
        <v>0.7</v>
      </c>
      <c r="S257" s="126" t="e">
        <f ca="1">R257*Q257</f>
        <v>#N/A</v>
      </c>
      <c r="T257" s="123">
        <v>3.7644252120426312E-4</v>
      </c>
    </row>
    <row r="258" spans="1:20" x14ac:dyDescent="0.25">
      <c r="A258" s="98" t="s">
        <v>1057</v>
      </c>
      <c r="B258" s="98" t="s">
        <v>85</v>
      </c>
      <c r="C258" s="98" t="s">
        <v>406</v>
      </c>
      <c r="D258" s="98" t="s">
        <v>432</v>
      </c>
      <c r="E258" s="119" t="s">
        <v>211</v>
      </c>
      <c r="F258" s="46" t="s">
        <v>213</v>
      </c>
      <c r="G258" s="98" t="s">
        <v>1787</v>
      </c>
      <c r="H258" s="119" t="s">
        <v>20</v>
      </c>
      <c r="I258" s="106">
        <v>45982</v>
      </c>
      <c r="J258" s="119">
        <v>8</v>
      </c>
      <c r="K258" s="98" t="s">
        <v>124</v>
      </c>
      <c r="L258" s="123">
        <f>VLOOKUP($C258&amp;$E258,'Updated SES'!A:N,14,0)</f>
        <v>1.669</v>
      </c>
      <c r="M258" s="124">
        <f>VLOOKUP($K258,'Genre Penetration'!A:B,2,0)*VLOOKUP($C258&amp;$E258,'Updated SES'!A:I,9,0)</f>
        <v>0.27</v>
      </c>
      <c r="N258" s="124">
        <f>VLOOKUP(K:K,'Genre Penetration'!A:C,3,0)*VLOOKUP($C258&amp;$E258,'Updated SES'!A:J,10,0)</f>
        <v>0.22000000000000003</v>
      </c>
      <c r="O258" s="124" t="e">
        <f>VLOOKUP($B258,'Language Penetration'!$B$1:$BE$14,MATCH('Compile data Working'!#REF!,'Language Penetration'!$B$1:$BE$1,0),0)</f>
        <v>#REF!</v>
      </c>
      <c r="P258" s="124" t="str">
        <f ca="1">IF(ISBLANK(J258),RANDBETWEEN(1,2)&amp;"%",IF(J258=1,RANDBETWEEN(35,40)&amp;"%",IF(J258=2,RANDBETWEEN(30,35)&amp;"%",IF(J258=3,RANDBETWEEN(25,30)&amp;"%",IF(J258=4,RANDBETWEEN(20,25)&amp;"%",IF(J258=5,RANDBETWEEN(15,20)&amp;"%",IF(J258=6,RANDBETWEEN(10,15)&amp;"%",IF(J258=7,RANDBETWEEN(8,10)&amp;"%",IF(J258=8,RANDBETWEEN(6,8)&amp;"%",IF(J258=9,RANDBETWEEN(4,6)&amp;"%",IF(J258=10,RANDBETWEEN(2,4)&amp;"%","")))))))))))</f>
        <v>7%</v>
      </c>
      <c r="Q258" s="123" t="e">
        <f ca="1">IFERROR(L258*(M258+N258)*O258*P258,RANDBETWEEN(1,2)%*L258*(M258+N258)*O258)</f>
        <v>#REF!</v>
      </c>
      <c r="R258" s="125">
        <f>VLOOKUP(D:D,ranking!W:X,2,0)</f>
        <v>0.8</v>
      </c>
      <c r="S258" s="126" t="e">
        <f ca="1">R258*Q258</f>
        <v>#REF!</v>
      </c>
      <c r="T258" s="123">
        <v>1.7605526263071836E-4</v>
      </c>
    </row>
    <row r="259" spans="1:20" x14ac:dyDescent="0.25">
      <c r="A259" s="98" t="s">
        <v>1057</v>
      </c>
      <c r="B259" s="98" t="s">
        <v>85</v>
      </c>
      <c r="C259" s="98" t="s">
        <v>406</v>
      </c>
      <c r="D259" s="98" t="s">
        <v>432</v>
      </c>
      <c r="E259" s="98" t="s">
        <v>211</v>
      </c>
      <c r="F259" s="46" t="s">
        <v>213</v>
      </c>
      <c r="G259" s="98" t="s">
        <v>1786</v>
      </c>
      <c r="H259" s="119" t="s">
        <v>20</v>
      </c>
      <c r="I259" s="106">
        <v>45800</v>
      </c>
      <c r="J259" s="119">
        <v>7</v>
      </c>
      <c r="K259" s="98" t="s">
        <v>381</v>
      </c>
      <c r="L259" s="123">
        <f>VLOOKUP($C259&amp;$E259,'Updated SES'!A:N,14,0)</f>
        <v>1.669</v>
      </c>
      <c r="M259" s="124">
        <f>VLOOKUP($K259,'Genre Penetration'!A:B,2,0)*VLOOKUP($C259&amp;$E259,'Updated SES'!A:I,9,0)</f>
        <v>0.33</v>
      </c>
      <c r="N259" s="124">
        <f>VLOOKUP(K:K,'Genre Penetration'!A:C,3,0)*VLOOKUP($C259&amp;$E259,'Updated SES'!A:J,10,0)</f>
        <v>0.18000000000000002</v>
      </c>
      <c r="O259" s="124" t="e">
        <f>VLOOKUP($B259,'Language Penetration'!$B$1:$BE$14,MATCH('Compile data Working'!$H251,'Language Penetration'!$B$1:$BE$1,0),0)</f>
        <v>#N/A</v>
      </c>
      <c r="P259" s="124" t="str">
        <f ca="1">IF(ISBLANK(J259),RANDBETWEEN(1,2)&amp;"%",IF(J259=1,RANDBETWEEN(35,40)&amp;"%",IF(J259=2,RANDBETWEEN(30,35)&amp;"%",IF(J259=3,RANDBETWEEN(25,30)&amp;"%",IF(J259=4,RANDBETWEEN(20,25)&amp;"%",IF(J259=5,RANDBETWEEN(15,20)&amp;"%",IF(J259=6,RANDBETWEEN(10,15)&amp;"%",IF(J259=7,RANDBETWEEN(8,10)&amp;"%",IF(J259=8,RANDBETWEEN(6,8)&amp;"%",IF(J259=9,RANDBETWEEN(4,6)&amp;"%",IF(J259=10,RANDBETWEEN(2,4)&amp;"%","")))))))))))</f>
        <v>9%</v>
      </c>
      <c r="Q259" s="123" t="e">
        <f ca="1">IFERROR(L259*(M259+N259)*O259*P259,RANDBETWEEN(1,2)%*L259*(M259+N259)*O259)</f>
        <v>#N/A</v>
      </c>
      <c r="R259" s="125">
        <f>VLOOKUP(D:D,ranking!W:X,2,0)</f>
        <v>0.8</v>
      </c>
      <c r="S259" s="126" t="e">
        <f ca="1">R259*Q259</f>
        <v>#N/A</v>
      </c>
      <c r="T259" s="123">
        <v>1.0802788121446494E-4</v>
      </c>
    </row>
    <row r="260" spans="1:20" x14ac:dyDescent="0.25">
      <c r="A260" s="98" t="s">
        <v>1057</v>
      </c>
      <c r="B260" s="98" t="s">
        <v>85</v>
      </c>
      <c r="C260" s="98" t="s">
        <v>406</v>
      </c>
      <c r="D260" s="98" t="s">
        <v>434</v>
      </c>
      <c r="E260" s="119" t="s">
        <v>211</v>
      </c>
      <c r="F260" s="46" t="s">
        <v>213</v>
      </c>
      <c r="G260" s="98" t="s">
        <v>1055</v>
      </c>
      <c r="H260" s="119" t="s">
        <v>20</v>
      </c>
      <c r="I260" s="106">
        <v>45905</v>
      </c>
      <c r="J260" s="119">
        <v>4</v>
      </c>
      <c r="K260" s="98" t="s">
        <v>168</v>
      </c>
      <c r="L260" s="123">
        <f>VLOOKUP($C260&amp;$E260,'Updated SES'!A:N,14,0)</f>
        <v>1.669</v>
      </c>
      <c r="M260" s="124">
        <f>VLOOKUP($K260,'Genre Penetration'!A:B,2,0)*VLOOKUP($C260&amp;$E260,'Updated SES'!A:I,9,0)</f>
        <v>0.38400000000000001</v>
      </c>
      <c r="N260" s="124">
        <f>VLOOKUP(K:K,'Genre Penetration'!A:C,3,0)*VLOOKUP($C260&amp;$E260,'Updated SES'!A:J,10,0)</f>
        <v>0.14399999999999999</v>
      </c>
      <c r="O260" s="124" t="e">
        <f>VLOOKUP($B260,'Language Penetration'!$B$1:$BE$14,MATCH('Compile data Working'!$H212,'Language Penetration'!$B$1:$BE$1,0),0)</f>
        <v>#N/A</v>
      </c>
      <c r="P260" s="124" t="str">
        <f ca="1">IF(ISBLANK(J260),RANDBETWEEN(1,2)&amp;"%",IF(J260=1,RANDBETWEEN(35,40)&amp;"%",IF(J260=2,RANDBETWEEN(30,35)&amp;"%",IF(J260=3,RANDBETWEEN(25,30)&amp;"%",IF(J260=4,RANDBETWEEN(20,25)&amp;"%",IF(J260=5,RANDBETWEEN(15,20)&amp;"%",IF(J260=6,RANDBETWEEN(10,15)&amp;"%",IF(J260=7,RANDBETWEEN(8,10)&amp;"%",IF(J260=8,RANDBETWEEN(6,8)&amp;"%",IF(J260=9,RANDBETWEEN(4,6)&amp;"%",IF(J260=10,RANDBETWEEN(2,4)&amp;"%","")))))))))))</f>
        <v>23%</v>
      </c>
      <c r="Q260" s="123" t="e">
        <f ca="1">IFERROR(L260*(M260+N260)*O260*P260,RANDBETWEEN(1,2)%*L260*(M260+N260)*O260)</f>
        <v>#N/A</v>
      </c>
      <c r="R260" s="125">
        <f>VLOOKUP(D:D,ranking!W:X,2,0)</f>
        <v>0.7</v>
      </c>
      <c r="S260" s="126" t="e">
        <f ca="1">R260*Q260</f>
        <v>#N/A</v>
      </c>
      <c r="T260" s="123">
        <v>7.9788711745844108E-5</v>
      </c>
    </row>
    <row r="261" spans="1:20" x14ac:dyDescent="0.25">
      <c r="A261" s="98" t="s">
        <v>1057</v>
      </c>
      <c r="B261" s="98" t="s">
        <v>85</v>
      </c>
      <c r="C261" s="98" t="s">
        <v>406</v>
      </c>
      <c r="D261" s="98" t="s">
        <v>432</v>
      </c>
      <c r="E261" s="119" t="s">
        <v>211</v>
      </c>
      <c r="F261" s="46" t="s">
        <v>213</v>
      </c>
      <c r="G261" s="98" t="s">
        <v>1033</v>
      </c>
      <c r="H261" s="119" t="s">
        <v>20</v>
      </c>
      <c r="I261" s="106">
        <v>45702</v>
      </c>
      <c r="J261" s="119">
        <v>6</v>
      </c>
      <c r="K261" s="98" t="s">
        <v>168</v>
      </c>
      <c r="L261" s="123">
        <f>VLOOKUP($C261&amp;$E261,'Updated SES'!A:N,14,0)</f>
        <v>1.669</v>
      </c>
      <c r="M261" s="124">
        <f>VLOOKUP($K261,'Genre Penetration'!A:B,2,0)*VLOOKUP($C261&amp;$E261,'Updated SES'!A:I,9,0)</f>
        <v>0.38400000000000001</v>
      </c>
      <c r="N261" s="124">
        <f>VLOOKUP(K:K,'Genre Penetration'!A:C,3,0)*VLOOKUP($C261&amp;$E261,'Updated SES'!A:J,10,0)</f>
        <v>0.14399999999999999</v>
      </c>
      <c r="O261" s="124" t="e">
        <f>VLOOKUP($B261,'Language Penetration'!$B$1:$BE$14,MATCH('Compile data Working'!$H26,'Language Penetration'!$B$1:$BE$1,0),0)</f>
        <v>#N/A</v>
      </c>
      <c r="P261" s="124" t="str">
        <f ca="1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11%</v>
      </c>
      <c r="Q261" s="123" t="e">
        <f ca="1">IFERROR(L261*(M261+N261)*O261*P261,RANDBETWEEN(1,2)%*L261*(M261+N261)*O261)</f>
        <v>#N/A</v>
      </c>
      <c r="R261" s="125">
        <f>VLOOKUP(D:D,ranking!W:X,2,0)</f>
        <v>0.8</v>
      </c>
      <c r="S261" s="126" t="e">
        <f ca="1">R261*Q261</f>
        <v>#N/A</v>
      </c>
      <c r="T261" s="123">
        <v>5.5748630744372749E-5</v>
      </c>
    </row>
  </sheetData>
  <autoFilter ref="A4:U261" xr:uid="{A2D6C5F7-E04E-4CA0-8007-A188E93E8878}"/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66CD-DA27-4C92-B350-F94AAE2BADBA}">
  <dimension ref="A1:B10"/>
  <sheetViews>
    <sheetView workbookViewId="0">
      <selection activeCell="B2" sqref="B2:B10"/>
    </sheetView>
  </sheetViews>
  <sheetFormatPr defaultRowHeight="15" x14ac:dyDescent="0.25"/>
  <sheetData>
    <row r="1" spans="1:2" x14ac:dyDescent="0.25">
      <c r="A1" t="s">
        <v>1775</v>
      </c>
      <c r="B1" t="s">
        <v>1775</v>
      </c>
    </row>
    <row r="2" spans="1:2" x14ac:dyDescent="0.25">
      <c r="A2" s="46" t="s">
        <v>1763</v>
      </c>
      <c r="B2" s="26">
        <v>9.5000000000000001E-2</v>
      </c>
    </row>
    <row r="3" spans="1:2" x14ac:dyDescent="0.25">
      <c r="A3" s="46" t="s">
        <v>1764</v>
      </c>
      <c r="B3" s="26">
        <v>0.26666666666666666</v>
      </c>
    </row>
    <row r="4" spans="1:2" x14ac:dyDescent="0.25">
      <c r="A4" s="46" t="s">
        <v>1757</v>
      </c>
      <c r="B4" s="26">
        <v>0.22999999999999998</v>
      </c>
    </row>
    <row r="5" spans="1:2" x14ac:dyDescent="0.25">
      <c r="A5" s="46" t="s">
        <v>1545</v>
      </c>
      <c r="B5" s="26" t="e">
        <v>#N/A</v>
      </c>
    </row>
    <row r="6" spans="1:2" x14ac:dyDescent="0.25">
      <c r="A6" s="46" t="s">
        <v>1765</v>
      </c>
      <c r="B6" s="26">
        <v>0.19000000000000003</v>
      </c>
    </row>
    <row r="7" spans="1:2" x14ac:dyDescent="0.25">
      <c r="A7" s="46" t="s">
        <v>147</v>
      </c>
      <c r="B7" s="26">
        <v>0.1</v>
      </c>
    </row>
    <row r="8" spans="1:2" x14ac:dyDescent="0.25">
      <c r="A8" s="46" t="s">
        <v>1766</v>
      </c>
      <c r="B8" s="26">
        <v>0.22399999999999998</v>
      </c>
    </row>
    <row r="9" spans="1:2" x14ac:dyDescent="0.25">
      <c r="A9" s="46" t="s">
        <v>1762</v>
      </c>
      <c r="B9" s="26">
        <v>0.375</v>
      </c>
    </row>
    <row r="10" spans="1:2" x14ac:dyDescent="0.25">
      <c r="A10" s="46" t="s">
        <v>1767</v>
      </c>
      <c r="B10" s="26">
        <v>0.19142857142857145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/>
  <dimension ref="A1:AX46"/>
  <sheetViews>
    <sheetView zoomScale="80" zoomScaleNormal="80" workbookViewId="0">
      <selection activeCell="A2" sqref="A2:N45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t="15.75" thickBot="1" x14ac:dyDescent="0.3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t="15.75" thickBot="1" x14ac:dyDescent="0.3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x14ac:dyDescent="0.25">
      <c r="A21" s="39" t="str">
        <f t="shared" si="0"/>
        <v>Jio HotstarFREE</v>
      </c>
      <c r="B21" s="37" t="s">
        <v>906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0.1014262011640221</v>
      </c>
      <c r="V21" s="83">
        <f ca="1">V9*RANDBETWEEN(80,110)/100</f>
        <v>3.3792388202146313E-2</v>
      </c>
      <c r="W21" s="83">
        <f ca="1">W9*RANDBETWEEN(95,115)/100</f>
        <v>3.9178408677178769E-2</v>
      </c>
      <c r="X21" s="83">
        <f ca="1">X9*RANDBETWEEN(98,118)/100</f>
        <v>9.0677863600038128E-2</v>
      </c>
      <c r="Y21" s="83">
        <f t="shared" ref="Y21:AG21" ca="1" si="2">Y9*RANDBETWEEN(90,105)/100</f>
        <v>1.3939182190695249E-2</v>
      </c>
      <c r="Z21" s="83">
        <f t="shared" ca="1" si="2"/>
        <v>4.0039431936559441E-2</v>
      </c>
      <c r="AA21" s="83">
        <f t="shared" ca="1" si="2"/>
        <v>3.2674192982117052E-2</v>
      </c>
      <c r="AB21" s="83">
        <f t="shared" ca="1" si="2"/>
        <v>3.3978046060769145E-2</v>
      </c>
      <c r="AC21" s="83">
        <f t="shared" ca="1" si="2"/>
        <v>0.11784051113907948</v>
      </c>
      <c r="AD21" s="83">
        <f t="shared" ca="1" si="2"/>
        <v>2.4121394019373472E-2</v>
      </c>
      <c r="AE21" s="83">
        <f t="shared" ca="1" si="2"/>
        <v>3.0139024031150655E-2</v>
      </c>
      <c r="AF21" s="83">
        <f t="shared" ca="1" si="2"/>
        <v>9.8090128605893903E-2</v>
      </c>
      <c r="AG21" s="83">
        <f t="shared" ca="1" si="2"/>
        <v>4.446310351526056E-2</v>
      </c>
      <c r="AK21" s="82" t="s">
        <v>1245</v>
      </c>
      <c r="AL21" s="83">
        <f ca="1">AL9*RANDBETWEEN(90,105)/100</f>
        <v>0.15466572245514684</v>
      </c>
      <c r="AM21" s="83">
        <f t="shared" ref="AM21:AX21" ca="1" si="3">AM9*RANDBETWEEN(90,105)/100</f>
        <v>0.21592266078942096</v>
      </c>
      <c r="AN21" s="83">
        <f t="shared" ca="1" si="3"/>
        <v>0.21954364114041058</v>
      </c>
      <c r="AO21" s="83">
        <f t="shared" ca="1" si="3"/>
        <v>0.35754140465857775</v>
      </c>
      <c r="AP21" s="83">
        <f t="shared" ca="1" si="3"/>
        <v>0.17876964874830198</v>
      </c>
      <c r="AQ21" s="83">
        <f t="shared" ca="1" si="3"/>
        <v>0.20270270270270274</v>
      </c>
      <c r="AR21" s="83">
        <f t="shared" ca="1" si="3"/>
        <v>0.19453280318091454</v>
      </c>
      <c r="AS21" s="83">
        <f t="shared" ca="1" si="3"/>
        <v>1.0756759955032245E-3</v>
      </c>
      <c r="AT21" s="83">
        <f t="shared" ca="1" si="3"/>
        <v>4.1728677733257006E-3</v>
      </c>
      <c r="AU21" s="83">
        <f t="shared" ca="1" si="3"/>
        <v>1.9471342783135932E-3</v>
      </c>
      <c r="AV21" s="83">
        <f t="shared" ca="1" si="3"/>
        <v>0.48480474365700377</v>
      </c>
      <c r="AW21" s="83">
        <f t="shared" ca="1" si="3"/>
        <v>0.20777810105712347</v>
      </c>
      <c r="AX21" s="83">
        <f t="shared" ca="1" si="3"/>
        <v>9.6550336920446539E-2</v>
      </c>
    </row>
    <row r="22" spans="1:50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0.12648920225582969</v>
      </c>
      <c r="V22" s="83">
        <f t="shared" ref="V22:V28" ca="1" si="4">V10*RANDBETWEEN(80,110)/100</f>
        <v>0.15513485037426269</v>
      </c>
      <c r="W22" s="83">
        <f t="shared" ref="W22:W28" ca="1" si="5">W10*RANDBETWEEN(95,115)/100</f>
        <v>0.23722143397362352</v>
      </c>
      <c r="X22" s="83">
        <f t="shared" ref="X22:X28" ca="1" si="6">X10*RANDBETWEEN(98,118)/100</f>
        <v>0.32549440056803847</v>
      </c>
      <c r="Y22" s="83">
        <f t="shared" ref="U22:AG28" ca="1" si="7">Y10*RANDBETWEEN(90,105)/100</f>
        <v>0.10392047182603042</v>
      </c>
      <c r="Z22" s="83">
        <f t="shared" ca="1" si="7"/>
        <v>0.11756076167129287</v>
      </c>
      <c r="AA22" s="83">
        <f t="shared" ca="1" si="7"/>
        <v>0.1852553299367444</v>
      </c>
      <c r="AB22" s="83">
        <f t="shared" ca="1" si="7"/>
        <v>0.15782660078896035</v>
      </c>
      <c r="AC22" s="83">
        <f t="shared" ca="1" si="7"/>
        <v>0.14055648849446462</v>
      </c>
      <c r="AD22" s="83">
        <f t="shared" ca="1" si="7"/>
        <v>4.4794825815383695E-2</v>
      </c>
      <c r="AE22" s="83">
        <f t="shared" ca="1" si="7"/>
        <v>0.14587506548534937</v>
      </c>
      <c r="AF22" s="83">
        <f t="shared" ca="1" si="7"/>
        <v>0.23500334153166422</v>
      </c>
      <c r="AG22" s="83">
        <f t="shared" ca="1" si="7"/>
        <v>0.2362351684555356</v>
      </c>
      <c r="AK22" s="82" t="s">
        <v>1246</v>
      </c>
      <c r="AL22" s="83">
        <f ca="1">AL10*RANDBETWEEN(90,105)/100</f>
        <v>0.14040963698601458</v>
      </c>
      <c r="AM22" s="83">
        <f t="shared" ref="AM22:AX22" ca="1" si="8">AM10*RANDBETWEEN(90,105)/100</f>
        <v>9.8146663995191369E-2</v>
      </c>
      <c r="AN22" s="83">
        <f t="shared" ca="1" si="8"/>
        <v>8.5814926534981004E-2</v>
      </c>
      <c r="AO22" s="83">
        <f t="shared" ca="1" si="8"/>
        <v>0.33521447760753409</v>
      </c>
      <c r="AP22" s="83">
        <f t="shared" ca="1" si="8"/>
        <v>0.14595381331263341</v>
      </c>
      <c r="AQ22" s="83">
        <f t="shared" ca="1" si="8"/>
        <v>0.12046332046332049</v>
      </c>
      <c r="AR22" s="83">
        <f t="shared" ca="1" si="8"/>
        <v>0.14909045725646122</v>
      </c>
      <c r="AS22" s="83">
        <f t="shared" ca="1" si="8"/>
        <v>9.8613494270555972E-4</v>
      </c>
      <c r="AT22" s="83">
        <f t="shared" ca="1" si="8"/>
        <v>3.517772402459516E-3</v>
      </c>
      <c r="AU22" s="83">
        <f t="shared" ca="1" si="8"/>
        <v>4.2280187550575547E-3</v>
      </c>
      <c r="AV22" s="83">
        <f t="shared" ca="1" si="8"/>
        <v>0.36247083637906818</v>
      </c>
      <c r="AW22" s="83">
        <f t="shared" ca="1" si="8"/>
        <v>0.11633401221995929</v>
      </c>
      <c r="AX22" s="83">
        <f t="shared" ca="1" si="8"/>
        <v>0.14761641355727645</v>
      </c>
    </row>
    <row r="23" spans="1:50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0.18256064795054555</v>
      </c>
      <c r="V23" s="83">
        <f t="shared" ca="1" si="4"/>
        <v>0.18875368606994442</v>
      </c>
      <c r="W23" s="83">
        <f t="shared" ca="1" si="5"/>
        <v>0.18331432597081102</v>
      </c>
      <c r="X23" s="83">
        <f t="shared" ca="1" si="6"/>
        <v>0.22064355043960338</v>
      </c>
      <c r="Y23" s="83">
        <f t="shared" ca="1" si="7"/>
        <v>0.29723681859985052</v>
      </c>
      <c r="Z23" s="83">
        <f t="shared" ca="1" si="7"/>
        <v>0.20007812262154212</v>
      </c>
      <c r="AA23" s="83">
        <f t="shared" ca="1" si="7"/>
        <v>0.35869134060056013</v>
      </c>
      <c r="AB23" s="83">
        <f t="shared" ca="1" si="7"/>
        <v>0.17647264008116767</v>
      </c>
      <c r="AC23" s="83">
        <f t="shared" ca="1" si="7"/>
        <v>0.20617905253070443</v>
      </c>
      <c r="AD23" s="83">
        <f t="shared" ca="1" si="7"/>
        <v>0.24909713888194457</v>
      </c>
      <c r="AE23" s="83">
        <f t="shared" ca="1" si="7"/>
        <v>0.33298188156295</v>
      </c>
      <c r="AF23" s="83">
        <f t="shared" ca="1" si="7"/>
        <v>0.1109891208673978</v>
      </c>
      <c r="AG23" s="83">
        <f t="shared" ca="1" si="7"/>
        <v>0.25498490841082144</v>
      </c>
      <c r="AK23" s="82" t="s">
        <v>1247</v>
      </c>
      <c r="AL23" s="83">
        <f ca="1">AL11*RANDBETWEEN(90,105)/100</f>
        <v>0.1524606395052909</v>
      </c>
      <c r="AM23" s="83">
        <f t="shared" ref="AM23:AX23" ca="1" si="9">AM11*RANDBETWEEN(90,105)/100</f>
        <v>0.17830494890803444</v>
      </c>
      <c r="AN23" s="83">
        <f t="shared" ca="1" si="9"/>
        <v>0.19651649314002143</v>
      </c>
      <c r="AO23" s="83">
        <f t="shared" ca="1" si="9"/>
        <v>5.203436365246659E-3</v>
      </c>
      <c r="AP23" s="83">
        <f t="shared" ca="1" si="9"/>
        <v>0.13227052202600428</v>
      </c>
      <c r="AQ23" s="83">
        <f t="shared" ca="1" si="9"/>
        <v>0.15678764478764481</v>
      </c>
      <c r="AR23" s="83">
        <f t="shared" ca="1" si="9"/>
        <v>0.13550497017892643</v>
      </c>
      <c r="AS23" s="83">
        <f t="shared" ca="1" si="9"/>
        <v>0.53118158688834971</v>
      </c>
      <c r="AT23" s="83">
        <f t="shared" ca="1" si="9"/>
        <v>2.0980667319090789E-3</v>
      </c>
      <c r="AU23" s="83">
        <f t="shared" ca="1" si="9"/>
        <v>0.51681605408147058</v>
      </c>
      <c r="AV23" s="83">
        <f t="shared" ca="1" si="9"/>
        <v>2.5255671393517383E-3</v>
      </c>
      <c r="AW23" s="83">
        <f t="shared" ca="1" si="9"/>
        <v>0.13517602560372416</v>
      </c>
      <c r="AX23" s="83">
        <f t="shared" ca="1" si="9"/>
        <v>0.18923866036407522</v>
      </c>
    </row>
    <row r="24" spans="1:50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0.1099645869223911</v>
      </c>
      <c r="V24" s="83">
        <f t="shared" ca="1" si="4"/>
        <v>0.10745497478500775</v>
      </c>
      <c r="W24" s="83">
        <f t="shared" ca="1" si="5"/>
        <v>9.3268505089500062E-2</v>
      </c>
      <c r="X24" s="83">
        <f t="shared" ca="1" si="6"/>
        <v>8.0429978332923022E-2</v>
      </c>
      <c r="Y24" s="83">
        <f t="shared" ca="1" si="7"/>
        <v>8.789293313165597E-2</v>
      </c>
      <c r="Z24" s="83">
        <f t="shared" ca="1" si="7"/>
        <v>2.8400765901133215E-2</v>
      </c>
      <c r="AA24" s="83">
        <f t="shared" ca="1" si="7"/>
        <v>7.5368810498747649E-2</v>
      </c>
      <c r="AB24" s="83">
        <f t="shared" ca="1" si="7"/>
        <v>7.8116992521467477E-2</v>
      </c>
      <c r="AC24" s="83">
        <f t="shared" ca="1" si="7"/>
        <v>7.7562925113406886E-2</v>
      </c>
      <c r="AD24" s="83">
        <f t="shared" ca="1" si="7"/>
        <v>8.1035860615882693E-2</v>
      </c>
      <c r="AE24" s="83">
        <f t="shared" ca="1" si="7"/>
        <v>0.17711202195694939</v>
      </c>
      <c r="AF24" s="83">
        <f t="shared" ca="1" si="7"/>
        <v>0.12819630426231332</v>
      </c>
      <c r="AG24" s="83">
        <f t="shared" ca="1" si="7"/>
        <v>9.0102486780733473E-2</v>
      </c>
      <c r="AK24" s="82" t="s">
        <v>1248</v>
      </c>
      <c r="AL24" s="83">
        <f ca="1">AL12*RANDBETWEEN(90,105)/100</f>
        <v>0.10577585537195215</v>
      </c>
      <c r="AM24" s="83">
        <f t="shared" ref="AM24:AX24" ca="1" si="10">AM12*RANDBETWEEN(90,105)/100</f>
        <v>9.4724504107393304E-2</v>
      </c>
      <c r="AN24" s="83">
        <f t="shared" ca="1" si="10"/>
        <v>7.2826700398949118E-2</v>
      </c>
      <c r="AO24" s="83">
        <f t="shared" ca="1" si="10"/>
        <v>3.2989106367903652E-3</v>
      </c>
      <c r="AP24" s="83">
        <f t="shared" ca="1" si="10"/>
        <v>0.11422472346206095</v>
      </c>
      <c r="AQ24" s="83">
        <f t="shared" ca="1" si="10"/>
        <v>8.9131274131274155E-2</v>
      </c>
      <c r="AR24" s="83">
        <f t="shared" ca="1" si="10"/>
        <v>0.14111332007952287</v>
      </c>
      <c r="AS24" s="83">
        <f t="shared" ca="1" si="10"/>
        <v>0.47886219750310632</v>
      </c>
      <c r="AT24" s="83">
        <f t="shared" ca="1" si="10"/>
        <v>4.0652639547980865E-3</v>
      </c>
      <c r="AU24" s="83">
        <f t="shared" ca="1" si="10"/>
        <v>0.4107361669835099</v>
      </c>
      <c r="AV24" s="83">
        <f t="shared" ca="1" si="10"/>
        <v>4.5601829095584653E-3</v>
      </c>
      <c r="AW24" s="83">
        <f t="shared" ca="1" si="10"/>
        <v>9.5897585103287761E-2</v>
      </c>
      <c r="AX24" s="83">
        <f t="shared" ca="1" si="10"/>
        <v>0.18646283817761236</v>
      </c>
    </row>
    <row r="25" spans="1:50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6.8220403636151811E-2</v>
      </c>
      <c r="V25" s="83">
        <f t="shared" ca="1" si="4"/>
        <v>6.5374963495402394E-2</v>
      </c>
      <c r="W25" s="83">
        <f t="shared" ca="1" si="5"/>
        <v>5.1208201569042447E-2</v>
      </c>
      <c r="X25" s="83">
        <f t="shared" ca="1" si="6"/>
        <v>4.9814343810419236E-2</v>
      </c>
      <c r="Y25" s="83">
        <f t="shared" ca="1" si="7"/>
        <v>3.0051511395789147E-2</v>
      </c>
      <c r="Z25" s="83">
        <f t="shared" ca="1" si="7"/>
        <v>8.3033413238488424E-2</v>
      </c>
      <c r="AA25" s="83">
        <f t="shared" ca="1" si="7"/>
        <v>3.892153371905363E-2</v>
      </c>
      <c r="AB25" s="83">
        <f t="shared" ca="1" si="7"/>
        <v>0.17563380142493326</v>
      </c>
      <c r="AC25" s="83">
        <f t="shared" ca="1" si="7"/>
        <v>0.14675533898703555</v>
      </c>
      <c r="AD25" s="83">
        <f t="shared" ca="1" si="7"/>
        <v>0.17514361165844261</v>
      </c>
      <c r="AE25" s="83">
        <f t="shared" ca="1" si="7"/>
        <v>4.5075964739445057E-2</v>
      </c>
      <c r="AF25" s="83">
        <f t="shared" ca="1" si="7"/>
        <v>4.6510608767313909E-2</v>
      </c>
      <c r="AG25" s="83">
        <f t="shared" ca="1" si="7"/>
        <v>6.6595816902100841E-2</v>
      </c>
      <c r="AK25" s="82" t="s">
        <v>1249</v>
      </c>
      <c r="AL25" s="83">
        <f ca="1">AL13*RANDBETWEEN(90,105)/100</f>
        <v>0.12325171322551969</v>
      </c>
      <c r="AM25" s="83">
        <f t="shared" ref="AM25:AX25" ca="1" si="11">AM13*RANDBETWEEN(90,105)/100</f>
        <v>0.1865357643758766</v>
      </c>
      <c r="AN25" s="83">
        <f t="shared" ca="1" si="11"/>
        <v>0.24638221270798874</v>
      </c>
      <c r="AO25" s="83">
        <f t="shared" ca="1" si="11"/>
        <v>0.11068402562512919</v>
      </c>
      <c r="AP25" s="83">
        <f t="shared" ca="1" si="11"/>
        <v>0.17102270522026</v>
      </c>
      <c r="AQ25" s="83">
        <f t="shared" ca="1" si="11"/>
        <v>0.20675675675675681</v>
      </c>
      <c r="AR25" s="83">
        <f t="shared" ca="1" si="11"/>
        <v>0.17534791252485088</v>
      </c>
      <c r="AS25" s="83">
        <f t="shared" ca="1" si="11"/>
        <v>4.8907362483482245E-3</v>
      </c>
      <c r="AT25" s="83">
        <f t="shared" ca="1" si="11"/>
        <v>3.6444411618073384E-3</v>
      </c>
      <c r="AU25" s="83">
        <f t="shared" ca="1" si="11"/>
        <v>1.2670117741804341E-3</v>
      </c>
      <c r="AV25" s="83">
        <f t="shared" ca="1" si="11"/>
        <v>2.8350981562070211E-3</v>
      </c>
      <c r="AW25" s="83">
        <f t="shared" ca="1" si="11"/>
        <v>0.22145087770342356</v>
      </c>
      <c r="AX25" s="83">
        <f t="shared" ca="1" si="11"/>
        <v>0.14277381072111031</v>
      </c>
    </row>
    <row r="26" spans="1:50" s="1" customFormat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0.15236691106227054</v>
      </c>
      <c r="V26" s="83">
        <f t="shared" ca="1" si="4"/>
        <v>0.13998028741014693</v>
      </c>
      <c r="W26" s="83">
        <f t="shared" ca="1" si="5"/>
        <v>0.20019690786654545</v>
      </c>
      <c r="X26" s="83">
        <f t="shared" ca="1" si="6"/>
        <v>0.17293551675833702</v>
      </c>
      <c r="Y26" s="83">
        <f t="shared" ca="1" si="7"/>
        <v>0.1370728764061587</v>
      </c>
      <c r="Z26" s="83">
        <f t="shared" ca="1" si="7"/>
        <v>0.22580167902306578</v>
      </c>
      <c r="AA26" s="83">
        <f t="shared" ca="1" si="7"/>
        <v>0.10232441695986044</v>
      </c>
      <c r="AB26" s="83">
        <f t="shared" ca="1" si="7"/>
        <v>0.11671962478420056</v>
      </c>
      <c r="AC26" s="83">
        <f t="shared" ca="1" si="7"/>
        <v>9.2675953317317872E-2</v>
      </c>
      <c r="AD26" s="83">
        <f t="shared" ca="1" si="7"/>
        <v>0.16283210569461648</v>
      </c>
      <c r="AE26" s="83">
        <f t="shared" ca="1" si="7"/>
        <v>9.8666275214135568E-2</v>
      </c>
      <c r="AF26" s="83">
        <f t="shared" ca="1" si="7"/>
        <v>0.21153221782753881</v>
      </c>
      <c r="AG26" s="83">
        <f t="shared" ca="1" si="7"/>
        <v>0.10513771639779856</v>
      </c>
      <c r="AK26" s="82" t="s">
        <v>1250</v>
      </c>
      <c r="AL26" s="83">
        <f t="shared" ref="AL26:AX26" ca="1" si="12">AL14*RANDBETWEEN(90,105)/100</f>
        <v>0.12317806153385874</v>
      </c>
      <c r="AM26" s="83">
        <f t="shared" ca="1" si="12"/>
        <v>8.4199559206571836E-2</v>
      </c>
      <c r="AN26" s="83">
        <f t="shared" ca="1" si="12"/>
        <v>6.5593071908144396E-2</v>
      </c>
      <c r="AO26" s="83">
        <f t="shared" ca="1" si="12"/>
        <v>7.2952499040533775E-2</v>
      </c>
      <c r="AP26" s="83">
        <f t="shared" ca="1" si="12"/>
        <v>9.3945274597321951E-2</v>
      </c>
      <c r="AQ26" s="83">
        <f t="shared" ca="1" si="12"/>
        <v>9.9382239382239404E-2</v>
      </c>
      <c r="AR26" s="83">
        <f t="shared" ca="1" si="12"/>
        <v>8.9622266401590475E-2</v>
      </c>
      <c r="AS26" s="83">
        <f t="shared" ca="1" si="12"/>
        <v>9.0842750922036158E-4</v>
      </c>
      <c r="AT26" s="83">
        <f t="shared" ca="1" si="12"/>
        <v>4.5828424765034992E-3</v>
      </c>
      <c r="AU26" s="83">
        <f t="shared" ca="1" si="12"/>
        <v>6.6943630288411257E-3</v>
      </c>
      <c r="AV26" s="83">
        <f t="shared" ca="1" si="12"/>
        <v>3.8421908656181237E-3</v>
      </c>
      <c r="AW26" s="83">
        <f t="shared" ca="1" si="12"/>
        <v>9.1901852390650768E-2</v>
      </c>
      <c r="AX26" s="83">
        <f t="shared" ca="1" si="12"/>
        <v>0.10258473297797444</v>
      </c>
    </row>
    <row r="27" spans="1:50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0.11366911999310339</v>
      </c>
      <c r="V27" s="83">
        <f t="shared" ca="1" si="4"/>
        <v>0.14657331713232308</v>
      </c>
      <c r="W27" s="83">
        <f t="shared" ca="1" si="5"/>
        <v>0.1648821684121313</v>
      </c>
      <c r="X27" s="83">
        <f t="shared" ca="1" si="6"/>
        <v>0.12224932252584216</v>
      </c>
      <c r="Y27" s="83">
        <f t="shared" ca="1" si="7"/>
        <v>0.18841102017321582</v>
      </c>
      <c r="Z27" s="83">
        <f t="shared" ca="1" si="7"/>
        <v>0.19036328828023902</v>
      </c>
      <c r="AA27" s="83">
        <f t="shared" ca="1" si="7"/>
        <v>6.9852277685525765E-2</v>
      </c>
      <c r="AB27" s="83">
        <f t="shared" ca="1" si="7"/>
        <v>0.12190308089289326</v>
      </c>
      <c r="AC27" s="83">
        <f t="shared" ca="1" si="7"/>
        <v>9.6058947452911381E-2</v>
      </c>
      <c r="AD27" s="83">
        <f t="shared" ca="1" si="7"/>
        <v>9.4101644870386844E-2</v>
      </c>
      <c r="AE27" s="83">
        <f t="shared" ca="1" si="7"/>
        <v>7.2940201579556052E-2</v>
      </c>
      <c r="AF27" s="83">
        <f t="shared" ca="1" si="7"/>
        <v>8.7267728722618385E-2</v>
      </c>
      <c r="AG27" s="83">
        <f t="shared" ca="1" si="7"/>
        <v>0.11720459806948554</v>
      </c>
      <c r="AK27" s="82" t="s">
        <v>1251</v>
      </c>
      <c r="AL27" s="83">
        <f t="shared" ref="AL27:AX27" ca="1" si="13">AL15*RANDBETWEEN(90,105)/100</f>
        <v>8.8386297824887397E-2</v>
      </c>
      <c r="AM27" s="83">
        <f t="shared" ca="1" si="13"/>
        <v>8.5437788018433186E-2</v>
      </c>
      <c r="AN27" s="83">
        <f t="shared" ca="1" si="13"/>
        <v>6.0688916999124258E-2</v>
      </c>
      <c r="AO27" s="83">
        <f t="shared" ca="1" si="13"/>
        <v>6.1084049242759744E-2</v>
      </c>
      <c r="AP27" s="83">
        <f t="shared" ca="1" si="13"/>
        <v>7.0658839510964508E-2</v>
      </c>
      <c r="AQ27" s="83">
        <f t="shared" ca="1" si="13"/>
        <v>8.3397683397683414E-2</v>
      </c>
      <c r="AR27" s="83">
        <f t="shared" ca="1" si="13"/>
        <v>7.2331013916500986E-2</v>
      </c>
      <c r="AS27" s="83">
        <f t="shared" ca="1" si="13"/>
        <v>9.9796856201802642E-4</v>
      </c>
      <c r="AT27" s="83">
        <f t="shared" ca="1" si="13"/>
        <v>0.5648788177973344</v>
      </c>
      <c r="AU27" s="83">
        <f t="shared" ca="1" si="13"/>
        <v>9.7569663578251254E-4</v>
      </c>
      <c r="AV27" s="83">
        <f t="shared" ca="1" si="13"/>
        <v>6.7316012470398381E-2</v>
      </c>
      <c r="AW27" s="83">
        <f t="shared" ca="1" si="13"/>
        <v>7.4716322374163535E-2</v>
      </c>
      <c r="AX27" s="83">
        <f t="shared" ca="1" si="13"/>
        <v>7.9806899326159114E-2</v>
      </c>
    </row>
    <row r="28" spans="1:50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0.12998069229439355</v>
      </c>
      <c r="V28" s="83">
        <f t="shared" ca="1" si="4"/>
        <v>8.0848611810676929E-2</v>
      </c>
      <c r="W28" s="83">
        <f t="shared" ca="1" si="5"/>
        <v>5.8132314256818057E-2</v>
      </c>
      <c r="X28" s="83">
        <f t="shared" ca="1" si="6"/>
        <v>3.2385156821696487E-2</v>
      </c>
      <c r="Y28" s="83">
        <f t="shared" ca="1" si="7"/>
        <v>7.3223283705815406E-2</v>
      </c>
      <c r="Z28" s="83">
        <f t="shared" ca="1" si="7"/>
        <v>9.8042529603367165E-2</v>
      </c>
      <c r="AA28" s="83">
        <f t="shared" ca="1" si="7"/>
        <v>8.4400915725586889E-2</v>
      </c>
      <c r="AB28" s="83">
        <f t="shared" ca="1" si="7"/>
        <v>0.11159684187078245</v>
      </c>
      <c r="AC28" s="83">
        <f t="shared" ca="1" si="7"/>
        <v>7.9354108895767134E-2</v>
      </c>
      <c r="AD28" s="83">
        <f t="shared" ca="1" si="7"/>
        <v>0.14333481719089011</v>
      </c>
      <c r="AE28" s="83">
        <f t="shared" ca="1" si="7"/>
        <v>7.506232922001814E-2</v>
      </c>
      <c r="AF28" s="83">
        <f t="shared" ca="1" si="7"/>
        <v>6.5011423162551679E-2</v>
      </c>
      <c r="AG28" s="83">
        <f t="shared" ca="1" si="7"/>
        <v>7.5699086185693876E-2</v>
      </c>
      <c r="AK28" s="82" t="s">
        <v>1252</v>
      </c>
      <c r="AL28" s="83">
        <f t="shared" ref="AL28:AX28" ca="1" si="14">AL16*RANDBETWEEN(90,105)/100</f>
        <v>7.1013420743596456E-2</v>
      </c>
      <c r="AM28" s="83">
        <f t="shared" ca="1" si="14"/>
        <v>3.8877980364656381E-2</v>
      </c>
      <c r="AN28" s="83">
        <f t="shared" ca="1" si="14"/>
        <v>2.0834873990464142E-2</v>
      </c>
      <c r="AO28" s="83">
        <f t="shared" ca="1" si="14"/>
        <v>6.1185014613408868E-2</v>
      </c>
      <c r="AP28" s="83">
        <f t="shared" ca="1" si="14"/>
        <v>4.0131961963904533E-2</v>
      </c>
      <c r="AQ28" s="83">
        <f t="shared" ca="1" si="14"/>
        <v>3.7343629343629357E-2</v>
      </c>
      <c r="AR28" s="83">
        <f t="shared" ca="1" si="14"/>
        <v>3.9339960238568589E-2</v>
      </c>
      <c r="AS28" s="83">
        <f t="shared" ca="1" si="14"/>
        <v>8.5251365796895628E-4</v>
      </c>
      <c r="AT28" s="83">
        <f t="shared" ca="1" si="14"/>
        <v>0.33916472536869713</v>
      </c>
      <c r="AU28" s="83">
        <f t="shared" ca="1" si="14"/>
        <v>1.0468411821416539E-3</v>
      </c>
      <c r="AV28" s="83">
        <f t="shared" ca="1" si="14"/>
        <v>4.8565641385526298E-2</v>
      </c>
      <c r="AW28" s="83">
        <f t="shared" ca="1" si="14"/>
        <v>2.9653767820773936E-2</v>
      </c>
      <c r="AX28" s="83">
        <f t="shared" ca="1" si="14"/>
        <v>4.6339133058433069E-2</v>
      </c>
    </row>
    <row r="29" spans="1:50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0.98467776527870765</v>
      </c>
      <c r="V29" s="26">
        <f t="shared" ref="V29:AG29" ca="1" si="15">SUM(V21:V28)</f>
        <v>0.9179130792799105</v>
      </c>
      <c r="W29" s="26">
        <f t="shared" ca="1" si="15"/>
        <v>1.0274022658156505</v>
      </c>
      <c r="X29" s="26">
        <f t="shared" ca="1" si="15"/>
        <v>1.0946301328568977</v>
      </c>
      <c r="Y29" s="26">
        <f t="shared" ca="1" si="15"/>
        <v>0.93174809742921127</v>
      </c>
      <c r="Z29" s="26">
        <f t="shared" ca="1" si="15"/>
        <v>0.98331999227568812</v>
      </c>
      <c r="AA29" s="26">
        <f t="shared" ca="1" si="15"/>
        <v>0.94748881810819596</v>
      </c>
      <c r="AB29" s="26">
        <f t="shared" ca="1" si="15"/>
        <v>0.97224762842517409</v>
      </c>
      <c r="AC29" s="26">
        <f t="shared" ca="1" si="15"/>
        <v>0.95698332593068736</v>
      </c>
      <c r="AD29" s="26">
        <f t="shared" ca="1" si="15"/>
        <v>0.9744613987469205</v>
      </c>
      <c r="AE29" s="26">
        <f t="shared" ca="1" si="15"/>
        <v>0.97785276378955432</v>
      </c>
      <c r="AF29" s="26">
        <f t="shared" ca="1" si="15"/>
        <v>0.9826008737472921</v>
      </c>
      <c r="AG29" s="26">
        <f t="shared" ca="1" si="15"/>
        <v>0.9904228847174299</v>
      </c>
    </row>
    <row r="30" spans="1:50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0.10300445967246347</v>
      </c>
      <c r="V32" s="94">
        <f t="shared" ref="V32:AG32" ca="1" si="16">V21/V$29</f>
        <v>3.6814366158346878E-2</v>
      </c>
      <c r="W32" s="94">
        <f t="shared" ca="1" si="16"/>
        <v>3.8133465323901335E-2</v>
      </c>
      <c r="X32" s="94">
        <f t="shared" ca="1" si="16"/>
        <v>8.2838815484985881E-2</v>
      </c>
      <c r="Y32" s="94">
        <f t="shared" ca="1" si="16"/>
        <v>1.4960247548833086E-2</v>
      </c>
      <c r="Z32" s="94">
        <f t="shared" ca="1" si="16"/>
        <v>4.0718618812881621E-2</v>
      </c>
      <c r="AA32" s="94">
        <f t="shared" ca="1" si="16"/>
        <v>3.4485043366903258E-2</v>
      </c>
      <c r="AB32" s="94">
        <f t="shared" ca="1" si="16"/>
        <v>3.4947934114075499E-2</v>
      </c>
      <c r="AC32" s="94">
        <f t="shared" ca="1" si="16"/>
        <v>0.12313747580134375</v>
      </c>
      <c r="AD32" s="94">
        <f t="shared" ca="1" si="16"/>
        <v>2.4753565457176302E-2</v>
      </c>
      <c r="AE32" s="94">
        <f t="shared" ca="1" si="16"/>
        <v>3.082163813123602E-2</v>
      </c>
      <c r="AF32" s="94">
        <f t="shared" ca="1" si="16"/>
        <v>9.9827031734475116E-2</v>
      </c>
      <c r="AG32" s="94">
        <f t="shared" ca="1" si="16"/>
        <v>4.4893049424989805E-2</v>
      </c>
    </row>
    <row r="33" spans="1:50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0.1284574575724553</v>
      </c>
      <c r="V33" s="94">
        <f t="shared" ca="1" si="17"/>
        <v>0.16900821425920168</v>
      </c>
      <c r="W33" s="94">
        <f t="shared" ca="1" si="17"/>
        <v>0.23089440413613882</v>
      </c>
      <c r="X33" s="94">
        <f t="shared" ca="1" si="17"/>
        <v>0.29735560057946142</v>
      </c>
      <c r="Y33" s="94">
        <f t="shared" ca="1" si="17"/>
        <v>0.11153279745111118</v>
      </c>
      <c r="Z33" s="94">
        <f t="shared" ca="1" si="17"/>
        <v>0.11955493897690732</v>
      </c>
      <c r="AA33" s="94">
        <f t="shared" ca="1" si="17"/>
        <v>0.19552244458845916</v>
      </c>
      <c r="AB33" s="94">
        <f t="shared" ca="1" si="17"/>
        <v>0.16233169017301127</v>
      </c>
      <c r="AC33" s="94">
        <f t="shared" ca="1" si="17"/>
        <v>0.1468745428325727</v>
      </c>
      <c r="AD33" s="94">
        <f t="shared" ca="1" si="17"/>
        <v>4.5968804791022264E-2</v>
      </c>
      <c r="AE33" s="94">
        <f t="shared" ca="1" si="17"/>
        <v>0.14917896731203947</v>
      </c>
      <c r="AF33" s="94">
        <f t="shared" ca="1" si="17"/>
        <v>0.23916459654207778</v>
      </c>
      <c r="AG33" s="94">
        <f t="shared" ca="1" si="17"/>
        <v>0.23851949717714174</v>
      </c>
    </row>
    <row r="34" spans="1:50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0.18540141190135714</v>
      </c>
      <c r="V34" s="94">
        <f t="shared" ca="1" si="17"/>
        <v>0.20563350749726644</v>
      </c>
      <c r="W34" s="94">
        <f t="shared" ca="1" si="17"/>
        <v>0.17842507464715246</v>
      </c>
      <c r="X34" s="94">
        <f t="shared" ca="1" si="17"/>
        <v>0.20156904493734448</v>
      </c>
      <c r="Y34" s="94">
        <f t="shared" ca="1" si="17"/>
        <v>0.31900984764010515</v>
      </c>
      <c r="Z34" s="94">
        <f t="shared" ca="1" si="17"/>
        <v>0.20347203778345158</v>
      </c>
      <c r="AA34" s="94">
        <f t="shared" ca="1" si="17"/>
        <v>0.37857052636963184</v>
      </c>
      <c r="AB34" s="94">
        <f t="shared" ca="1" si="17"/>
        <v>0.18150997227631635</v>
      </c>
      <c r="AC34" s="94">
        <f t="shared" ca="1" si="17"/>
        <v>0.21544685988148304</v>
      </c>
      <c r="AD34" s="94">
        <f t="shared" ca="1" si="17"/>
        <v>0.25562545545905008</v>
      </c>
      <c r="AE34" s="94">
        <f t="shared" ca="1" si="17"/>
        <v>0.34052353676694391</v>
      </c>
      <c r="AF34" s="94">
        <f t="shared" ca="1" si="17"/>
        <v>0.11295442924259222</v>
      </c>
      <c r="AG34" s="94">
        <f t="shared" ca="1" si="17"/>
        <v>0.25745054193044953</v>
      </c>
    </row>
    <row r="35" spans="1:50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0.11167570833821583</v>
      </c>
      <c r="V35" s="94">
        <f t="shared" ca="1" si="17"/>
        <v>0.11706443367089248</v>
      </c>
      <c r="W35" s="94">
        <f t="shared" ca="1" si="17"/>
        <v>9.0780902663724003E-2</v>
      </c>
      <c r="X35" s="94">
        <f t="shared" ca="1" si="17"/>
        <v>7.3476853887629756E-2</v>
      </c>
      <c r="Y35" s="94">
        <f t="shared" ca="1" si="17"/>
        <v>9.4331218248968368E-2</v>
      </c>
      <c r="Z35" s="94">
        <f t="shared" ca="1" si="17"/>
        <v>2.8882526669070964E-2</v>
      </c>
      <c r="AA35" s="94">
        <f t="shared" ca="1" si="17"/>
        <v>7.9545857490152569E-2</v>
      </c>
      <c r="AB35" s="94">
        <f t="shared" ca="1" si="17"/>
        <v>8.0346806963159906E-2</v>
      </c>
      <c r="AC35" s="94">
        <f t="shared" ca="1" si="17"/>
        <v>8.1049400769836022E-2</v>
      </c>
      <c r="AD35" s="94">
        <f t="shared" ca="1" si="17"/>
        <v>8.3159641541561663E-2</v>
      </c>
      <c r="AE35" s="94">
        <f t="shared" ca="1" si="17"/>
        <v>0.18112340478598477</v>
      </c>
      <c r="AF35" s="94">
        <f t="shared" ca="1" si="17"/>
        <v>0.13046630395657799</v>
      </c>
      <c r="AG35" s="94">
        <f t="shared" ca="1" si="17"/>
        <v>9.0973752899944291E-2</v>
      </c>
    </row>
    <row r="36" spans="1:50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6.9281958059490056E-2</v>
      </c>
      <c r="V36" s="94">
        <f t="shared" ca="1" si="17"/>
        <v>7.1221300764869919E-2</v>
      </c>
      <c r="W36" s="94">
        <f t="shared" ca="1" si="17"/>
        <v>4.9842406691977134E-2</v>
      </c>
      <c r="X36" s="94">
        <f t="shared" ca="1" si="17"/>
        <v>4.5507923009946522E-2</v>
      </c>
      <c r="Y36" s="94">
        <f t="shared" ca="1" si="17"/>
        <v>3.2252828289861125E-2</v>
      </c>
      <c r="Z36" s="94">
        <f t="shared" ca="1" si="17"/>
        <v>8.4441904863873443E-2</v>
      </c>
      <c r="AA36" s="94">
        <f t="shared" ca="1" si="17"/>
        <v>4.107862063930879E-2</v>
      </c>
      <c r="AB36" s="94">
        <f t="shared" ca="1" si="17"/>
        <v>0.18064718934765739</v>
      </c>
      <c r="AC36" s="94">
        <f t="shared" ca="1" si="17"/>
        <v>0.15335203342682355</v>
      </c>
      <c r="AD36" s="94">
        <f t="shared" ca="1" si="17"/>
        <v>0.1797337604995573</v>
      </c>
      <c r="AE36" s="94">
        <f t="shared" ca="1" si="17"/>
        <v>4.6096883302511119E-2</v>
      </c>
      <c r="AF36" s="94">
        <f t="shared" ca="1" si="17"/>
        <v>4.7334182179117043E-2</v>
      </c>
      <c r="AG36" s="94">
        <f t="shared" ca="1" si="17"/>
        <v>6.7239780026994017E-2</v>
      </c>
    </row>
    <row r="37" spans="1:50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0.15473784057583947</v>
      </c>
      <c r="V37" s="94">
        <f t="shared" ca="1" si="17"/>
        <v>0.1524984125075976</v>
      </c>
      <c r="W37" s="94">
        <f t="shared" ca="1" si="17"/>
        <v>0.19485737429984148</v>
      </c>
      <c r="X37" s="94">
        <f t="shared" ca="1" si="17"/>
        <v>0.15798534278148277</v>
      </c>
      <c r="Y37" s="94">
        <f t="shared" ca="1" si="17"/>
        <v>0.14711366385867258</v>
      </c>
      <c r="Z37" s="94">
        <f t="shared" ca="1" si="17"/>
        <v>0.2296319415824091</v>
      </c>
      <c r="AA37" s="94">
        <f t="shared" ca="1" si="17"/>
        <v>0.10799538211349717</v>
      </c>
      <c r="AB37" s="94">
        <f t="shared" ca="1" si="17"/>
        <v>0.12005133401380522</v>
      </c>
      <c r="AC37" s="94">
        <f t="shared" ca="1" si="17"/>
        <v>9.68417639118095E-2</v>
      </c>
      <c r="AD37" s="94">
        <f t="shared" ca="1" si="17"/>
        <v>0.16709959563714433</v>
      </c>
      <c r="AE37" s="94">
        <f t="shared" ca="1" si="17"/>
        <v>0.10090095244172131</v>
      </c>
      <c r="AF37" s="94">
        <f t="shared" ca="1" si="17"/>
        <v>0.21527786457265172</v>
      </c>
      <c r="AG37" s="94">
        <f t="shared" ca="1" si="17"/>
        <v>0.10615436902772558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0.11543788638400905</v>
      </c>
      <c r="V38" s="94">
        <f t="shared" ca="1" si="17"/>
        <v>0.15968104218245557</v>
      </c>
      <c r="W38" s="94">
        <f t="shared" ca="1" si="17"/>
        <v>0.16048452869746399</v>
      </c>
      <c r="X38" s="94">
        <f t="shared" ca="1" si="17"/>
        <v>0.11168094030700684</v>
      </c>
      <c r="Y38" s="94">
        <f t="shared" ca="1" si="17"/>
        <v>0.20221240128427542</v>
      </c>
      <c r="Z38" s="94">
        <f t="shared" ca="1" si="17"/>
        <v>0.19359241119432857</v>
      </c>
      <c r="AA38" s="94">
        <f t="shared" ca="1" si="17"/>
        <v>7.3723590559091084E-2</v>
      </c>
      <c r="AB38" s="94">
        <f t="shared" ca="1" si="17"/>
        <v>0.12538274954740622</v>
      </c>
      <c r="AC38" s="94">
        <f t="shared" ca="1" si="17"/>
        <v>0.10037682460088</v>
      </c>
      <c r="AD38" s="94">
        <f t="shared" ca="1" si="17"/>
        <v>9.6567852755782876E-2</v>
      </c>
      <c r="AE38" s="94">
        <f t="shared" ca="1" si="17"/>
        <v>7.4592212938975402E-2</v>
      </c>
      <c r="AF38" s="94">
        <f t="shared" ca="1" si="17"/>
        <v>8.8812997275089067E-2</v>
      </c>
      <c r="AG38" s="94">
        <f t="shared" ca="1" si="17"/>
        <v>0.11833793410672684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0.13200327749616975</v>
      </c>
      <c r="V39" s="94">
        <f t="shared" ca="1" si="17"/>
        <v>8.8078722959369415E-2</v>
      </c>
      <c r="W39" s="94">
        <f t="shared" ca="1" si="17"/>
        <v>5.6581843539800884E-2</v>
      </c>
      <c r="X39" s="94">
        <f t="shared" ca="1" si="17"/>
        <v>2.9585479012142486E-2</v>
      </c>
      <c r="Y39" s="94">
        <f t="shared" ca="1" si="17"/>
        <v>7.8586995678173066E-2</v>
      </c>
      <c r="Z39" s="94">
        <f t="shared" ca="1" si="17"/>
        <v>9.9705620117077315E-2</v>
      </c>
      <c r="AA39" s="94">
        <f t="shared" ca="1" si="17"/>
        <v>8.9078534872956097E-2</v>
      </c>
      <c r="AB39" s="94">
        <f t="shared" ca="1" si="17"/>
        <v>0.11478232356456824</v>
      </c>
      <c r="AC39" s="94">
        <f t="shared" ca="1" si="17"/>
        <v>8.2921098775251403E-2</v>
      </c>
      <c r="AD39" s="94">
        <f t="shared" ca="1" si="17"/>
        <v>0.14709132385870516</v>
      </c>
      <c r="AE39" s="94">
        <f t="shared" ca="1" si="17"/>
        <v>7.6762404320587938E-2</v>
      </c>
      <c r="AF39" s="94">
        <f t="shared" ca="1" si="17"/>
        <v>6.6162594497418986E-2</v>
      </c>
      <c r="AG39" s="94">
        <f t="shared" ca="1" si="17"/>
        <v>7.6431075406028212E-2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x14ac:dyDescent="0.25">
      <c r="A43" s="39" t="str">
        <f t="shared" si="0"/>
        <v>Jio HotstarPAID</v>
      </c>
      <c r="B43" s="37" t="s">
        <v>906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0.12075001011810799</v>
      </c>
      <c r="V45" s="83">
        <f t="shared" ref="V45" ca="1" si="20">V33*RANDBETWEEN(80,110)/100</f>
        <v>0.18252887139993781</v>
      </c>
      <c r="W45" s="83">
        <f t="shared" ref="W45" ca="1" si="21">W33*RANDBETWEEN(95,115)/100</f>
        <v>0.24705701242566852</v>
      </c>
      <c r="X45" s="83">
        <f t="shared" ref="X45" ca="1" si="22">X33*RANDBETWEEN(98,118)/100</f>
        <v>0.30627626859684526</v>
      </c>
      <c r="Y45" s="83">
        <f t="shared" ref="Y45:AG45" ca="1" si="23">Y33*RANDBETWEEN(90,105)/100</f>
        <v>0.10484082960404451</v>
      </c>
      <c r="Z45" s="83">
        <f t="shared" ca="1" si="23"/>
        <v>0.11238164263829288</v>
      </c>
      <c r="AA45" s="83">
        <f t="shared" ca="1" si="23"/>
        <v>0.20138811792611291</v>
      </c>
      <c r="AB45" s="83">
        <f t="shared" ca="1" si="23"/>
        <v>0.15908505636955106</v>
      </c>
      <c r="AC45" s="83">
        <f t="shared" ca="1" si="23"/>
        <v>0.13659332483429262</v>
      </c>
      <c r="AD45" s="83">
        <f t="shared" ca="1" si="23"/>
        <v>4.367036455147115E-2</v>
      </c>
      <c r="AE45" s="83">
        <f t="shared" ca="1" si="23"/>
        <v>0.14470359829267829</v>
      </c>
      <c r="AF45" s="83">
        <f t="shared" ca="1" si="23"/>
        <v>0.24633953443834009</v>
      </c>
      <c r="AG45" s="83">
        <f t="shared" ca="1" si="23"/>
        <v>0.24090469214891319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1777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1770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1779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1769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1768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1771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1774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1778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1772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1780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1773</v>
      </c>
      <c r="B659" s="112">
        <v>0.7</v>
      </c>
      <c r="C659" s="112">
        <v>0.3</v>
      </c>
    </row>
    <row r="660" spans="1:5" hidden="1" x14ac:dyDescent="0.25">
      <c r="A660" s="51" t="s">
        <v>1776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1782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E22"/>
  <sheetViews>
    <sheetView topLeftCell="AB1" workbookViewId="0">
      <selection activeCell="BE1" sqref="BE1"/>
    </sheetView>
  </sheetViews>
  <sheetFormatPr defaultColWidth="8.85546875" defaultRowHeight="15" x14ac:dyDescent="0.25"/>
  <sheetData>
    <row r="1" spans="1:57" ht="13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1806</v>
      </c>
      <c r="F1" s="24" t="s">
        <v>1807</v>
      </c>
      <c r="G1" s="24" t="s">
        <v>22</v>
      </c>
      <c r="H1" s="24" t="s">
        <v>23</v>
      </c>
      <c r="I1" s="24" t="s">
        <v>1808</v>
      </c>
      <c r="J1" s="24" t="s">
        <v>25</v>
      </c>
      <c r="K1" s="24" t="s">
        <v>26</v>
      </c>
      <c r="L1" s="24" t="s">
        <v>1809</v>
      </c>
      <c r="M1" s="24" t="s">
        <v>1810</v>
      </c>
      <c r="N1" s="24" t="s">
        <v>1810</v>
      </c>
      <c r="O1" s="24" t="s">
        <v>29</v>
      </c>
      <c r="P1" s="24" t="s">
        <v>30</v>
      </c>
      <c r="Q1" s="24" t="s">
        <v>1811</v>
      </c>
      <c r="R1" s="24" t="s">
        <v>1810</v>
      </c>
      <c r="S1" s="24" t="s">
        <v>32</v>
      </c>
      <c r="T1" s="24" t="s">
        <v>33</v>
      </c>
      <c r="U1" s="24" t="s">
        <v>1812</v>
      </c>
      <c r="V1" s="24" t="s">
        <v>1813</v>
      </c>
      <c r="W1" s="24" t="s">
        <v>1813</v>
      </c>
      <c r="X1" s="24" t="s">
        <v>1814</v>
      </c>
      <c r="Y1" s="24" t="s">
        <v>1815</v>
      </c>
      <c r="Z1" s="24" t="s">
        <v>36</v>
      </c>
      <c r="AA1" s="24" t="s">
        <v>37</v>
      </c>
      <c r="AB1" s="24" t="s">
        <v>1816</v>
      </c>
      <c r="AC1" s="24" t="s">
        <v>1817</v>
      </c>
      <c r="AD1" s="24" t="s">
        <v>1818</v>
      </c>
      <c r="AE1" s="24" t="s">
        <v>1819</v>
      </c>
      <c r="AF1" s="24" t="s">
        <v>1820</v>
      </c>
      <c r="AG1" s="24" t="s">
        <v>1821</v>
      </c>
      <c r="AH1" s="24" t="s">
        <v>1814</v>
      </c>
      <c r="AI1" s="24" t="s">
        <v>1809</v>
      </c>
      <c r="AJ1" s="24" t="s">
        <v>1811</v>
      </c>
      <c r="AK1" s="24" t="s">
        <v>1822</v>
      </c>
      <c r="AL1" s="24" t="s">
        <v>1823</v>
      </c>
      <c r="AM1" s="24" t="s">
        <v>1824</v>
      </c>
      <c r="AN1" s="24" t="s">
        <v>1825</v>
      </c>
      <c r="AO1" s="24" t="s">
        <v>1826</v>
      </c>
      <c r="AP1" s="24" t="s">
        <v>1827</v>
      </c>
      <c r="AQ1" s="24" t="s">
        <v>1828</v>
      </c>
      <c r="AR1" s="24" t="s">
        <v>1829</v>
      </c>
      <c r="AS1" s="24" t="s">
        <v>469</v>
      </c>
      <c r="AT1" s="24" t="s">
        <v>1830</v>
      </c>
      <c r="AU1" s="24" t="s">
        <v>1831</v>
      </c>
      <c r="AV1" s="24" t="s">
        <v>1832</v>
      </c>
      <c r="AW1" s="24" t="s">
        <v>1833</v>
      </c>
      <c r="AX1" s="24" t="s">
        <v>1812</v>
      </c>
      <c r="AY1" s="24" t="s">
        <v>1834</v>
      </c>
      <c r="AZ1" s="24" t="s">
        <v>1835</v>
      </c>
      <c r="BA1" s="24" t="s">
        <v>1805</v>
      </c>
      <c r="BB1" s="24" t="s">
        <v>1838</v>
      </c>
      <c r="BC1" s="24" t="s">
        <v>1836</v>
      </c>
      <c r="BD1" s="24" t="s">
        <v>1837</v>
      </c>
      <c r="BE1" s="24" t="s">
        <v>1839</v>
      </c>
    </row>
    <row r="2" spans="1:57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57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57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57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57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57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57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57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57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57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57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57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57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</row>
    <row r="15" spans="1:57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57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40" t="s">
        <v>222</v>
      </c>
      <c r="N3" s="140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>
        <f>VLOOKUP($C5&amp;$E5,'Updated SES'!A:N,14,0)</f>
        <v>127.11702000000001</v>
      </c>
      <c r="M5" s="102">
        <f>VLOOKUP($K5,'Genre Penetration'!A:B,2,0)*VLOOKUP($C5&amp;$E5,'Updated SES'!A:I,9,0)</f>
        <v>0.30149999999999999</v>
      </c>
      <c r="N5" s="102">
        <f>VLOOKUP(K:K,'Genre Penetration'!A:C,3,0)*VLOOKUP($C5&amp;$E5,'Updated SES'!A:J,10,0)</f>
        <v>0.18149999999999999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 t="e">
        <f t="shared" ref="Q5:Q68" ca="1" si="1">IFERROR(L5*(M5+N5)*O5*P5,RANDBETWEEN(1,2)%*L5*(M5+N5)*O5)</f>
        <v>#REF!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1%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2%</v>
      </c>
      <c r="Q7" s="101">
        <f t="shared" ca="1" si="1"/>
        <v>0.25487450956799995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>
        <f>VLOOKUP($C8&amp;$E8,'Updated SES'!A:N,14,0)</f>
        <v>127.11702000000001</v>
      </c>
      <c r="M8" s="102">
        <f>VLOOKUP($K8,'Genre Penetration'!A:B,2,0)*VLOOKUP($C8&amp;$E8,'Updated SES'!A:I,9,0)</f>
        <v>0.31489999999999996</v>
      </c>
      <c r="N8" s="102">
        <f>VLOOKUP(K:K,'Genre Penetration'!A:C,3,0)*VLOOKUP($C8&amp;$E8,'Updated SES'!A:J,10,0)</f>
        <v>0.1749</v>
      </c>
      <c r="O8" s="102" t="e">
        <f>VLOOKUP($B8,'Language Penetration'!$B$1:$AY$14,MATCH('Compile data Working'!$H6,'Language Penetration'!$B$1:$AY$1,0),0)</f>
        <v>#N/A</v>
      </c>
      <c r="P8" s="103" t="str">
        <f t="shared" ca="1" si="0"/>
        <v>2%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>
        <f>VLOOKUP($C9&amp;$E9,'Updated SES'!A:N,14,0)</f>
        <v>127.11702000000001</v>
      </c>
      <c r="M9" s="102">
        <f>VLOOKUP($K9,'Genre Penetration'!A:B,2,0)*VLOOKUP($C9&amp;$E9,'Updated SES'!A:I,9,0)</f>
        <v>0.30149999999999999</v>
      </c>
      <c r="N9" s="102">
        <f>VLOOKUP(K:K,'Genre Penetration'!A:C,3,0)*VLOOKUP($C9&amp;$E9,'Updated SES'!A:J,10,0)</f>
        <v>0.18149999999999999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1%</v>
      </c>
      <c r="Q9" s="101" t="e">
        <f t="shared" ca="1" si="1"/>
        <v>#REF!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>
        <f>VLOOKUP($B10,'Language Penetration'!$B$1:$AY$14,MATCH('Compile data Working'!$H7,'Language Penetration'!$B$1:$AY$1,0),0)</f>
        <v>0.6</v>
      </c>
      <c r="P10" s="103" t="str">
        <f t="shared" ca="1" si="0"/>
        <v>2%</v>
      </c>
      <c r="Q10" s="101">
        <f t="shared" ca="1" si="1"/>
        <v>0.33342071039999999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Working'!$H8,'Language Penetration'!$B$1:$AY$1,0),0)</f>
        <v>#N/A</v>
      </c>
      <c r="P11" s="103" t="str">
        <f t="shared" ca="1" si="0"/>
        <v>1%</v>
      </c>
      <c r="Q11" s="101" t="e">
        <f t="shared" ca="1" si="1"/>
        <v>#N/A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 t="e">
        <f>VLOOKUP($B12,'Language Penetration'!$B$1:$AY$14,MATCH('Compile data Working'!$H9,'Language Penetration'!$B$1:$AY$1,0),0)</f>
        <v>#N/A</v>
      </c>
      <c r="P12" s="103" t="str">
        <f t="shared" ca="1" si="0"/>
        <v>1%</v>
      </c>
      <c r="Q12" s="101" t="e">
        <f t="shared" ca="1" si="1"/>
        <v>#N/A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1%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 t="e">
        <f>VLOOKUP($B14,'Language Penetration'!$B$1:$AY$14,MATCH('Compile data Working'!$H10,'Language Penetration'!$B$1:$AY$1,0),0)</f>
        <v>#N/A</v>
      </c>
      <c r="P14" s="103" t="str">
        <f t="shared" ca="1" si="0"/>
        <v>1%</v>
      </c>
      <c r="Q14" s="101" t="e">
        <f t="shared" ca="1" si="1"/>
        <v>#N/A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1%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Working'!$H11,'Language Penetration'!$B$1:$AY$1,0),0)</f>
        <v>0.6</v>
      </c>
      <c r="P16" s="103" t="str">
        <f t="shared" ca="1" si="0"/>
        <v>1%</v>
      </c>
      <c r="Q16" s="101">
        <f t="shared" ca="1" si="1"/>
        <v>0.16604484480000001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>
        <f>VLOOKUP($C17&amp;$E17,'Updated SES'!A:N,14,0)</f>
        <v>127.11702000000001</v>
      </c>
      <c r="M17" s="102">
        <f>VLOOKUP($K17,'Genre Penetration'!A:B,2,0)*VLOOKUP($C17&amp;$E17,'Updated SES'!A:I,9,0)</f>
        <v>0.35509999999999997</v>
      </c>
      <c r="N17" s="102">
        <f>VLOOKUP(K:K,'Genre Penetration'!A:C,3,0)*VLOOKUP($C17&amp;$E17,'Updated SES'!A:J,10,0)</f>
        <v>0.15509999999999996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1%</v>
      </c>
      <c r="Q17" s="101" t="e">
        <f t="shared" ca="1" si="1"/>
        <v>#REF!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 t="e">
        <f>VLOOKUP($B18,'Language Penetration'!$B$1:$AY$14,MATCH('Compile data Working'!$H12,'Language Penetration'!$B$1:$AY$1,0),0)</f>
        <v>#N/A</v>
      </c>
      <c r="P18" s="103" t="str">
        <f t="shared" ca="1" si="0"/>
        <v>1%</v>
      </c>
      <c r="Q18" s="101" t="e">
        <f t="shared" ca="1" si="1"/>
        <v>#N/A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>
        <f>VLOOKUP($B19,'Language Penetration'!$B$1:$AY$14,MATCH('Compile data Working'!$H13,'Language Penetration'!$B$1:$AY$1,0),0)</f>
        <v>0.6</v>
      </c>
      <c r="P19" s="103" t="str">
        <f t="shared" ca="1" si="0"/>
        <v>2%</v>
      </c>
      <c r="Q19" s="101">
        <f t="shared" ca="1" si="1"/>
        <v>2.8134000000000003E-2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Working'!$H14,'Language Penetration'!$B$1:$AY$1,0),0)</f>
        <v>#N/A</v>
      </c>
      <c r="P20" s="103" t="str">
        <f t="shared" ca="1" si="0"/>
        <v>1%</v>
      </c>
      <c r="Q20" s="101" t="e">
        <f t="shared" ca="1" si="1"/>
        <v>#N/A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2%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 t="e">
        <f>VLOOKUP($B22,'Language Penetration'!$B$1:$AY$14,MATCH('Compile data Working'!$H15,'Language Penetration'!$B$1:$AY$1,0),0)</f>
        <v>#N/A</v>
      </c>
      <c r="P22" s="103" t="str">
        <f t="shared" ca="1" si="0"/>
        <v>2%</v>
      </c>
      <c r="Q22" s="101" t="e">
        <f t="shared" ca="1" si="1"/>
        <v>#N/A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2%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>
        <f>VLOOKUP($C24&amp;$E24,'Updated SES'!A:N,14,0)</f>
        <v>127.11702000000001</v>
      </c>
      <c r="M24" s="102">
        <f>VLOOKUP($K24,'Genre Penetration'!A:B,2,0)*VLOOKUP($C24&amp;$E24,'Updated SES'!A:I,9,0)</f>
        <v>0.33499999999999996</v>
      </c>
      <c r="N24" s="102">
        <f>VLOOKUP(K:K,'Genre Penetration'!A:C,3,0)*VLOOKUP($C24&amp;$E24,'Updated SES'!A:J,10,0)</f>
        <v>0.16499999999999998</v>
      </c>
      <c r="O24" s="102">
        <f>VLOOKUP($B24,'Language Penetration'!$B$1:$AY$14,MATCH('Compile data Working'!$H16,'Language Penetration'!$B$1:$AY$1,0),0)</f>
        <v>0.2</v>
      </c>
      <c r="P24" s="103" t="str">
        <f t="shared" ca="1" si="0"/>
        <v>1%</v>
      </c>
      <c r="Q24" s="101">
        <f t="shared" ca="1" si="1"/>
        <v>0.12711702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>
        <f>VLOOKUP($C25&amp;$E25,'Updated SES'!A:N,14,0)</f>
        <v>127.11702000000001</v>
      </c>
      <c r="M25" s="102">
        <f>VLOOKUP($K25,'Genre Penetration'!A:B,2,0)*VLOOKUP($C25&amp;$E25,'Updated SES'!A:I,9,0)</f>
        <v>0.48239999999999994</v>
      </c>
      <c r="N25" s="102">
        <f>VLOOKUP(K:K,'Genre Penetration'!A:C,3,0)*VLOOKUP($C25&amp;$E25,'Updated SES'!A:J,10,0)</f>
        <v>9.2399999999999996E-2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1%</v>
      </c>
      <c r="Q25" s="101" t="e">
        <f t="shared" ca="1" si="1"/>
        <v>#REF!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 t="e">
        <f>VLOOKUP($B26,'Language Penetration'!$B$1:$AY$14,MATCH('Compile data Working'!$H17,'Language Penetration'!$B$1:$AY$1,0),0)</f>
        <v>#N/A</v>
      </c>
      <c r="P26" s="103" t="str">
        <f t="shared" ca="1" si="0"/>
        <v>2%</v>
      </c>
      <c r="Q26" s="101" t="e">
        <f t="shared" ca="1" si="1"/>
        <v>#N/A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1%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>
        <f>VLOOKUP($B28,'Language Penetration'!$B$1:$AY$14,MATCH('Compile data Working'!$H18,'Language Penetration'!$B$1:$AY$1,0),0)</f>
        <v>0.2</v>
      </c>
      <c r="P28" s="103" t="str">
        <f t="shared" ca="1" si="0"/>
        <v>1%</v>
      </c>
      <c r="Q28" s="101">
        <f t="shared" ca="1" si="1"/>
        <v>3.6907020288000005E-2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 t="e">
        <f>VLOOKUP($B29,'Language Penetration'!$B$1:$AY$14,MATCH('Compile data Working'!$H19,'Language Penetration'!$B$1:$AY$1,0),0)</f>
        <v>#N/A</v>
      </c>
      <c r="P29" s="103" t="str">
        <f t="shared" ca="1" si="0"/>
        <v>2%</v>
      </c>
      <c r="Q29" s="101" t="e">
        <f t="shared" ca="1" si="1"/>
        <v>#N/A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Working'!$H20,'Language Penetration'!$B$1:$AY$1,0),0)</f>
        <v>#N/A</v>
      </c>
      <c r="P30" s="103" t="str">
        <f t="shared" ca="1" si="0"/>
        <v>2%</v>
      </c>
      <c r="Q30" s="101" t="e">
        <f t="shared" ca="1" si="1"/>
        <v>#N/A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2%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>
        <f>VLOOKUP($B33,'Language Penetration'!$B$1:$AY$14,MATCH('Compile data Working'!$H21,'Language Penetration'!$B$1:$AY$1,0),0)</f>
        <v>0.6</v>
      </c>
      <c r="P33" s="103" t="str">
        <f t="shared" ca="1" si="0"/>
        <v>2%</v>
      </c>
      <c r="Q33" s="101">
        <f t="shared" ca="1" si="1"/>
        <v>0.22249327104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 t="e">
        <f>VLOOKUP($B34,'Language Penetration'!$B$1:$AY$14,MATCH('Compile data Working'!$H22,'Language Penetration'!$B$1:$AY$1,0),0)</f>
        <v>#N/A</v>
      </c>
      <c r="P34" s="103" t="str">
        <f t="shared" ca="1" si="0"/>
        <v>2%</v>
      </c>
      <c r="Q34" s="101" t="e">
        <f t="shared" ca="1" si="1"/>
        <v>#N/A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>
        <f>VLOOKUP($B35,'Language Penetration'!$B$1:$AY$14,MATCH('Compile data Working'!$H23,'Language Penetration'!$B$1:$AY$1,0),0)</f>
        <v>0.6</v>
      </c>
      <c r="P35" s="103" t="str">
        <f t="shared" ca="1" si="0"/>
        <v>1%</v>
      </c>
      <c r="Q35" s="101">
        <f t="shared" ca="1" si="1"/>
        <v>0.16584519168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>
        <f>VLOOKUP($C36&amp;$E36,'Updated SES'!A:N,14,0)</f>
        <v>127.11702000000001</v>
      </c>
      <c r="M36" s="102">
        <f>VLOOKUP($K36,'Genre Penetration'!A:B,2,0)*VLOOKUP($C36&amp;$E36,'Updated SES'!A:I,9,0)</f>
        <v>0.28139999999999998</v>
      </c>
      <c r="N36" s="102">
        <f>VLOOKUP(K:K,'Genre Penetration'!A:C,3,0)*VLOOKUP($C36&amp;$E36,'Updated SES'!A:J,10,0)</f>
        <v>0.19139999999999996</v>
      </c>
      <c r="O36" s="102" t="e">
        <f>VLOOKUP($B36,'Language Penetration'!$B$1:$AY$14,MATCH('Compile data Working'!$H24,'Language Penetration'!$B$1:$AY$1,0),0)</f>
        <v>#N/A</v>
      </c>
      <c r="P36" s="103" t="str">
        <f t="shared" ca="1" si="0"/>
        <v>2%</v>
      </c>
      <c r="Q36" s="101" t="e">
        <f t="shared" ca="1" si="1"/>
        <v>#N/A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>
        <f>VLOOKUP($C37&amp;$E37,'Updated SES'!A:N,14,0)</f>
        <v>127.11702000000001</v>
      </c>
      <c r="M37" s="102">
        <f>VLOOKUP($K37,'Genre Penetration'!A:B,2,0)*VLOOKUP($C37&amp;$E37,'Updated SES'!A:I,9,0)</f>
        <v>0.33499999999999996</v>
      </c>
      <c r="N37" s="102">
        <f>VLOOKUP(K:K,'Genre Penetration'!A:C,3,0)*VLOOKUP($C37&amp;$E37,'Updated SES'!A:J,10,0)</f>
        <v>0.16499999999999998</v>
      </c>
      <c r="O37" s="102">
        <v>0.7</v>
      </c>
      <c r="P37" s="103" t="str">
        <f t="shared" ca="1" si="0"/>
        <v>2%</v>
      </c>
      <c r="Q37" s="101">
        <f t="shared" ca="1" si="1"/>
        <v>0.88981913999999995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>
        <f>VLOOKUP($B38,'Language Penetration'!$B$1:$AY$14,MATCH('Compile data Working'!$H25,'Language Penetration'!$B$1:$AY$1,0),0)</f>
        <v>0.2</v>
      </c>
      <c r="P38" s="103" t="str">
        <f t="shared" ca="1" si="0"/>
        <v>2%</v>
      </c>
      <c r="Q38" s="101">
        <f t="shared" ca="1" si="1"/>
        <v>7.3463657471999996E-2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2%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2%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Working'!$H26,'Language Penetration'!$B$1:$AY$1,0),0)</f>
        <v>#N/A</v>
      </c>
      <c r="P41" s="103" t="str">
        <f t="shared" ca="1" si="0"/>
        <v>1%</v>
      </c>
      <c r="Q41" s="101" t="e">
        <f t="shared" ca="1" si="1"/>
        <v>#N/A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1%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>
        <f>VLOOKUP($C43&amp;$E43,'Updated SES'!A:N,14,0)</f>
        <v>127.11702000000001</v>
      </c>
      <c r="M43" s="102">
        <f>VLOOKUP($K43,'Genre Penetration'!A:B,2,0)*VLOOKUP($C43&amp;$E43,'Updated SES'!A:I,9,0)</f>
        <v>0.36849999999999999</v>
      </c>
      <c r="N43" s="102">
        <f>VLOOKUP(K:K,'Genre Penetration'!A:C,3,0)*VLOOKUP($C43&amp;$E43,'Updated SES'!A:J,10,0)</f>
        <v>0.14849999999999997</v>
      </c>
      <c r="O43" s="102">
        <f>VLOOKUP($B43,'Language Penetration'!$B$1:$AY$14,MATCH('Compile data Working'!$H27,'Language Penetration'!$B$1:$AY$1,0),0)</f>
        <v>0.6</v>
      </c>
      <c r="P43" s="103" t="str">
        <f t="shared" ca="1" si="0"/>
        <v>1%</v>
      </c>
      <c r="Q43" s="101">
        <f t="shared" ca="1" si="1"/>
        <v>0.39431699603999998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 t="e">
        <f>VLOOKUP($B44,'Language Penetration'!$B$1:$AY$14,MATCH('Compile data Working'!$H28,'Language Penetration'!$B$1:$AY$1,0),0)</f>
        <v>#N/A</v>
      </c>
      <c r="P44" s="103" t="str">
        <f t="shared" ca="1" si="0"/>
        <v>1%</v>
      </c>
      <c r="Q44" s="101" t="e">
        <f t="shared" ca="1" si="1"/>
        <v>#N/A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1%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>
        <f>VLOOKUP($C46&amp;$E46,'Updated SES'!A:N,14,0)</f>
        <v>127.11702000000001</v>
      </c>
      <c r="M46" s="102">
        <f>VLOOKUP($K46,'Genre Penetration'!A:B,2,0)*VLOOKUP($C46&amp;$E46,'Updated SES'!A:I,9,0)</f>
        <v>0.38859999999999995</v>
      </c>
      <c r="N46" s="102">
        <f>VLOOKUP(K:K,'Genre Penetration'!A:C,3,0)*VLOOKUP($C46&amp;$E46,'Updated SES'!A:J,10,0)</f>
        <v>0.13859999999999997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2%</v>
      </c>
      <c r="Q46" s="101" t="e">
        <f t="shared" ca="1" si="1"/>
        <v>#REF!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 t="e">
        <f>VLOOKUP($B47,'Language Penetration'!$B$1:$AY$14,MATCH('Compile data Working'!$H29,'Language Penetration'!$B$1:$AY$1,0),0)</f>
        <v>#N/A</v>
      </c>
      <c r="P47" s="103" t="str">
        <f t="shared" ca="1" si="0"/>
        <v>1%</v>
      </c>
      <c r="Q47" s="101" t="e">
        <f t="shared" ca="1" si="1"/>
        <v>#N/A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1%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2%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2%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2%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40%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33%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25%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21%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17%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13%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9%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6%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6%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2%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39%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32%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29%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23%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15%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15%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10%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7%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6%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3%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 t="e">
        <f>VLOOKUP($B72,'Language Penetration'!$B$1:$AY$14,MATCH('Compile data Working'!$H30,'Language Penetration'!$B$1:$AY$1,0),0)</f>
        <v>#N/A</v>
      </c>
      <c r="P72" s="103" t="str">
        <f t="shared" ca="1" si="2"/>
        <v>35%</v>
      </c>
      <c r="Q72" s="101" t="e">
        <f t="shared" ca="1" si="3"/>
        <v>#N/A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34%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29%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24%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20%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11%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9%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>
        <f>VLOOKUP($B79,'Language Penetration'!$B$1:$AY$14,MATCH('Compile data Working'!$H31,'Language Penetration'!$B$1:$AY$1,0),0)</f>
        <v>0.6</v>
      </c>
      <c r="P79" s="103" t="str">
        <f t="shared" ca="1" si="2"/>
        <v>6%</v>
      </c>
      <c r="Q79" s="101">
        <f t="shared" ca="1" si="3"/>
        <v>0.22018839897599998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5%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 t="e">
        <f>VLOOKUP($B81,'Language Penetration'!$B$1:$AY$14,MATCH('Compile data Working'!$H32,'Language Penetration'!$B$1:$AY$1,0),0)</f>
        <v>#N/A</v>
      </c>
      <c r="P81" s="103" t="str">
        <f t="shared" ca="1" si="2"/>
        <v>2%</v>
      </c>
      <c r="Q81" s="101" t="e">
        <f t="shared" ca="1" si="3"/>
        <v>#N/A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36%</v>
      </c>
      <c r="Q82" s="101">
        <f t="shared" ca="1" si="3"/>
        <v>1.3349596262400001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30%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Working'!$H33,'Language Penetration'!$B$1:$AY$1,0),0)</f>
        <v>#N/A</v>
      </c>
      <c r="P84" s="103" t="str">
        <f t="shared" ca="1" si="2"/>
        <v>25%</v>
      </c>
      <c r="Q84" s="101" t="e">
        <f t="shared" ca="1" si="3"/>
        <v>#N/A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20%</v>
      </c>
      <c r="Q85" s="101">
        <f t="shared" ca="1" si="3"/>
        <v>2.5896231244800001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20%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14%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8%</v>
      </c>
      <c r="Q88" s="101">
        <f t="shared" ca="1" si="3"/>
        <v>0.73463657471999999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7%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5%</v>
      </c>
      <c r="Q90" s="101">
        <f t="shared" ca="1" si="3"/>
        <v>0.63999663839999998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>
        <f>VLOOKUP($B91,'Language Penetration'!$B$1:$AY$14,MATCH('Compile data Working'!$H35,'Language Penetration'!$B$1:$AY$1,0),0)</f>
        <v>0.2</v>
      </c>
      <c r="P91" s="103" t="str">
        <f t="shared" ca="1" si="2"/>
        <v>3%</v>
      </c>
      <c r="Q91" s="101">
        <f t="shared" ca="1" si="3"/>
        <v>0.109319528448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>
        <f>VLOOKUP($B92,'Language Penetration'!$B$1:$AY$14,MATCH('Compile data Working'!$H36,'Language Penetration'!$B$1:$AY$1,0),0)</f>
        <v>0.1</v>
      </c>
      <c r="P92" s="103" t="str">
        <f t="shared" ca="1" si="2"/>
        <v>37%</v>
      </c>
      <c r="Q92" s="101">
        <f t="shared" ca="1" si="3"/>
        <v>9.2992248E-2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>
        <f>VLOOKUP($B93,'Language Penetration'!$B$1:$AY$14,MATCH('Compile data Working'!$H37,'Language Penetration'!$B$1:$AY$1,0),0)</f>
        <v>0.6</v>
      </c>
      <c r="P93" s="103" t="str">
        <f t="shared" ca="1" si="2"/>
        <v>35%</v>
      </c>
      <c r="Q93" s="101">
        <f t="shared" ca="1" si="3"/>
        <v>0.52779384000000007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 t="e">
        <f>VLOOKUP($B94,'Language Penetration'!$B$1:$AY$14,MATCH('Compile data Working'!$H38,'Language Penetration'!$B$1:$AY$1,0),0)</f>
        <v>#N/A</v>
      </c>
      <c r="P94" s="103" t="str">
        <f t="shared" ca="1" si="2"/>
        <v>27%</v>
      </c>
      <c r="Q94" s="101" t="e">
        <f t="shared" ca="1" si="3"/>
        <v>#N/A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Working'!$H39,'Language Penetration'!$B$1:$AY$1,0),0)</f>
        <v>0.2</v>
      </c>
      <c r="P95" s="103" t="str">
        <f t="shared" ca="1" si="2"/>
        <v>24%</v>
      </c>
      <c r="Q95" s="101">
        <f t="shared" ca="1" si="3"/>
        <v>0.11901807360000001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19%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>
        <f>VLOOKUP($B97,'Language Penetration'!$B$1:$AY$14,MATCH('Compile data Working'!$H40,'Language Penetration'!$B$1:$AY$1,0),0)</f>
        <v>0.2</v>
      </c>
      <c r="P97" s="103" t="str">
        <f t="shared" ca="1" si="2"/>
        <v>13%</v>
      </c>
      <c r="Q97" s="101">
        <f t="shared" ca="1" si="3"/>
        <v>6.3151451999999997E-2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10%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7%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Working'!$H41,'Language Penetration'!$B$1:$AY$1,0),0)</f>
        <v>#N/A</v>
      </c>
      <c r="P100" s="103" t="str">
        <f t="shared" ca="1" si="2"/>
        <v>5%</v>
      </c>
      <c r="Q100" s="101" t="e">
        <f t="shared" ca="1" si="3"/>
        <v>#N/A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4%</v>
      </c>
      <c r="Q101" s="101">
        <f t="shared" ca="1" si="3"/>
        <v>4.5877175999999999E-2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38%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34%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27%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 t="e">
        <f>VLOOKUP($B105,'Language Penetration'!$B$1:$AY$14,MATCH('Compile data Working'!$H43,'Language Penetration'!$B$1:$AY$1,0),0)</f>
        <v>#N/A</v>
      </c>
      <c r="P105" s="103" t="str">
        <f t="shared" ca="1" si="2"/>
        <v>22%</v>
      </c>
      <c r="Q105" s="101" t="e">
        <f t="shared" ca="1" si="3"/>
        <v>#N/A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20%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13%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Working'!$H44,'Language Penetration'!$B$1:$AY$1,0),0)</f>
        <v>#N/A</v>
      </c>
      <c r="P108" s="103" t="str">
        <f t="shared" ca="1" si="2"/>
        <v>8%</v>
      </c>
      <c r="Q108" s="101" t="e">
        <f t="shared" ca="1" si="3"/>
        <v>#N/A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 t="e">
        <f>VLOOKUP($B109,'Language Penetration'!$B$1:$AY$14,MATCH('Compile data Working'!$H45,'Language Penetration'!$B$1:$AY$1,0),0)</f>
        <v>#N/A</v>
      </c>
      <c r="P109" s="103" t="str">
        <f t="shared" ca="1" si="2"/>
        <v>6%</v>
      </c>
      <c r="Q109" s="101" t="e">
        <f t="shared" ca="1" si="3"/>
        <v>#N/A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6%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 t="e">
        <f>VLOOKUP($B111,'Language Penetration'!$B$1:$AY$14,MATCH('Compile data Working'!$H46,'Language Penetration'!$B$1:$AY$1,0),0)</f>
        <v>#N/A</v>
      </c>
      <c r="P111" s="103" t="str">
        <f t="shared" ca="1" si="2"/>
        <v>4%</v>
      </c>
      <c r="Q111" s="101" t="e">
        <f t="shared" ca="1" si="3"/>
        <v>#N/A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40%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31%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27%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21%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16%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10%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8%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8%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4%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2%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36%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33%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29%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20%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17%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12%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9%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7%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5%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2%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40%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32%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30%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20%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19%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10%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9%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7%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5%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4%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37%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35%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25%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20%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18%</v>
      </c>
      <c r="Q146" s="101">
        <f t="shared" ca="1" si="5"/>
        <v>3.6855360000000004E-2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10%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10%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6%</v>
      </c>
      <c r="Q149" s="101">
        <f t="shared" ca="1" si="5"/>
        <v>1.1673920000000001E-2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4%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36%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35%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28%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24%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15%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11%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8%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7%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4%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2%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35%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30%</v>
      </c>
      <c r="Q163" s="101">
        <f t="shared" ca="1" si="5"/>
        <v>8.8857299999999972E-2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27%</v>
      </c>
      <c r="Q164" s="101">
        <f t="shared" ca="1" si="5"/>
        <v>7.9361099999999976E-2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25%</v>
      </c>
      <c r="Q165" s="101">
        <f t="shared" ca="1" si="5"/>
        <v>7.3482499999999978E-2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18%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13%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9%</v>
      </c>
      <c r="Q168" s="101">
        <f t="shared" ca="1" si="5"/>
        <v>2.645369999999999E-2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8%</v>
      </c>
      <c r="Q169" s="101">
        <f t="shared" ca="1" si="5"/>
        <v>2.3514399999999994E-2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4%</v>
      </c>
      <c r="Q170" s="101">
        <f t="shared" ca="1" si="5"/>
        <v>1.2661599999999995E-2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3%</v>
      </c>
      <c r="Q171" s="101">
        <f t="shared" ca="1" si="5"/>
        <v>6.5407499999999997E-3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40%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35%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30%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23%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16%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11%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10%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7%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6%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3%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35%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31%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30%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21%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18%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11%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9%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6%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5%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4%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35%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35%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27%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22%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20%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10%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10%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8%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4%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4%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Working'!$H47,'Language Penetration'!$B$1:$AY$1,0),0)</f>
        <v>#N/A</v>
      </c>
      <c r="P202" s="103" t="str">
        <f t="shared" ca="1" si="6"/>
        <v>35%</v>
      </c>
      <c r="Q202" s="101" t="e">
        <f t="shared" ca="1" si="7"/>
        <v>#N/A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31%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>
        <f>VLOOKUP($B204,'Language Penetration'!$B$1:$AY$14,MATCH('Compile data Working'!$H48,'Language Penetration'!$B$1:$AY$1,0),0)</f>
        <v>0.2</v>
      </c>
      <c r="P204" s="103" t="str">
        <f t="shared" ca="1" si="6"/>
        <v>28%</v>
      </c>
      <c r="Q204" s="101">
        <f t="shared" ca="1" si="7"/>
        <v>0.47339516000000004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>
        <f>VLOOKUP($B205,'Language Penetration'!$B$1:$AY$14,MATCH('Compile data Working'!$H49,'Language Penetration'!$B$1:$AY$1,0),0)</f>
        <v>0.2</v>
      </c>
      <c r="P205" s="103" t="str">
        <f t="shared" ca="1" si="6"/>
        <v>22%</v>
      </c>
      <c r="Q205" s="101">
        <f t="shared" ca="1" si="7"/>
        <v>0.37939240679999997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17%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 t="e">
        <f>VLOOKUP($B207,'Language Penetration'!$B$1:$AY$14,MATCH('Compile data Working'!$H50,'Language Penetration'!$B$1:$AY$1,0),0)</f>
        <v>#N/A</v>
      </c>
      <c r="P207" s="103" t="str">
        <f t="shared" ca="1" si="6"/>
        <v>13%</v>
      </c>
      <c r="Q207" s="101" t="e">
        <f t="shared" ca="1" si="7"/>
        <v>#N/A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9%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8%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>
        <f>VLOOKUP($B210,'Language Penetration'!$B$1:$AY$14,MATCH('Compile data Working'!$H51,'Language Penetration'!$B$1:$AY$1,0),0)</f>
        <v>0.1</v>
      </c>
      <c r="P210" s="103" t="str">
        <f t="shared" ca="1" si="6"/>
        <v>4%</v>
      </c>
      <c r="Q210" s="101">
        <f t="shared" ca="1" si="7"/>
        <v>3.3813940000000001E-2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Working'!$H52,'Language Penetration'!$B$1:$AY$1,0),0)</f>
        <v>0.2</v>
      </c>
      <c r="P211" s="103" t="str">
        <f t="shared" ca="1" si="6"/>
        <v>3%</v>
      </c>
      <c r="Q211" s="101">
        <f t="shared" ca="1" si="7"/>
        <v>5.3155513680000002E-2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 t="e">
        <f>VLOOKUP($B212,'Language Penetration'!$B$1:$AY$14,MATCH('Compile data Working'!$H53,'Language Penetration'!$B$1:$AY$1,0),0)</f>
        <v>#N/A</v>
      </c>
      <c r="P212" s="103" t="str">
        <f t="shared" ca="1" si="6"/>
        <v>37%</v>
      </c>
      <c r="Q212" s="101" t="e">
        <f t="shared" ca="1" si="7"/>
        <v>#N/A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Working'!$H54,'Language Penetration'!$B$1:$AY$1,0),0)</f>
        <v>#N/A</v>
      </c>
      <c r="P213" s="103" t="str">
        <f t="shared" ca="1" si="6"/>
        <v>33%</v>
      </c>
      <c r="Q213" s="101" t="e">
        <f t="shared" ca="1" si="7"/>
        <v>#N/A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26%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>
        <f>VLOOKUP($B215,'Language Penetration'!$B$1:$AY$14,MATCH('Compile data Working'!$H55,'Language Penetration'!$B$1:$AY$1,0),0)</f>
        <v>0.6</v>
      </c>
      <c r="P215" s="103" t="str">
        <f t="shared" ca="1" si="6"/>
        <v>23%</v>
      </c>
      <c r="Q215" s="101">
        <f t="shared" ca="1" si="7"/>
        <v>1.2132441672000001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>
        <f>VLOOKUP($B216,'Language Penetration'!$B$1:$AY$14,MATCH('Compile data Working'!$H56,'Language Penetration'!$B$1:$AY$1,0),0)</f>
        <v>0.2</v>
      </c>
      <c r="P216" s="103" t="str">
        <f t="shared" ca="1" si="6"/>
        <v>18%</v>
      </c>
      <c r="Q216" s="101">
        <f t="shared" ca="1" si="7"/>
        <v>0.31649847840000001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10%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10%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7%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>
        <f>VLOOKUP($B220,'Language Penetration'!$B$1:$AY$14,MATCH('Compile data Working'!$H57,'Language Penetration'!$B$1:$AY$1,0),0)</f>
        <v>0.2</v>
      </c>
      <c r="P220" s="103" t="str">
        <f t="shared" ca="1" si="6"/>
        <v>4%</v>
      </c>
      <c r="Q220" s="101">
        <f t="shared" ca="1" si="7"/>
        <v>7.1415041280000008E-2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 t="e">
        <f>VLOOKUP($B221,'Language Penetration'!$B$1:$AY$14,MATCH('Compile data Working'!$H58,'Language Penetration'!$B$1:$AY$1,0),0)</f>
        <v>#N/A</v>
      </c>
      <c r="P221" s="103" t="str">
        <f t="shared" ca="1" si="6"/>
        <v>4%</v>
      </c>
      <c r="Q221" s="101" t="e">
        <f t="shared" ca="1" si="7"/>
        <v>#N/A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>
        <f>VLOOKUP($C222&amp;$E222,'Updated SES'!A:N,14,0)</f>
        <v>127.11702000000001</v>
      </c>
      <c r="M222" s="102">
        <f>VLOOKUP($K222,'Genre Penetration'!A:B,2,0)*VLOOKUP($C222&amp;$E222,'Updated SES'!A:I,9,0)</f>
        <v>0.26799999999999996</v>
      </c>
      <c r="N222" s="102">
        <f>VLOOKUP(K:K,'Genre Penetration'!A:C,3,0)*VLOOKUP($C222&amp;$E222,'Updated SES'!A:J,10,0)</f>
        <v>0.19799999999999998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35%</v>
      </c>
      <c r="Q222" s="101" t="e">
        <f t="shared" ca="1" si="7"/>
        <v>#REF!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>
        <f>VLOOKUP($C223&amp;$E223,'Updated SES'!A:N,14,0)</f>
        <v>127.11702000000001</v>
      </c>
      <c r="M223" s="102">
        <f>VLOOKUP($K223,'Genre Penetration'!A:B,2,0)*VLOOKUP($C223&amp;$E223,'Updated SES'!A:I,9,0)</f>
        <v>0.30149999999999999</v>
      </c>
      <c r="N223" s="102">
        <f>VLOOKUP(K:K,'Genre Penetration'!A:C,3,0)*VLOOKUP($C223&amp;$E223,'Updated SES'!A:J,10,0)</f>
        <v>0.18149999999999999</v>
      </c>
      <c r="O223" s="102">
        <f>VLOOKUP($B223,'Language Penetration'!$B$1:$AY$14,MATCH('Compile data Working'!$H59,'Language Penetration'!$B$1:$AY$1,0),0)</f>
        <v>0.6</v>
      </c>
      <c r="P223" s="103" t="str">
        <f t="shared" ca="1" si="6"/>
        <v>33%</v>
      </c>
      <c r="Q223" s="101">
        <f t="shared" ca="1" si="7"/>
        <v>12.15670909068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>
        <f>VLOOKUP($C224&amp;$E224,'Updated SES'!A:N,14,0)</f>
        <v>127.11702000000001</v>
      </c>
      <c r="M224" s="102">
        <f>VLOOKUP($K224,'Genre Penetration'!A:B,2,0)*VLOOKUP($C224&amp;$E224,'Updated SES'!A:I,9,0)</f>
        <v>0.4756999999999999</v>
      </c>
      <c r="N224" s="102">
        <f>VLOOKUP(K:K,'Genre Penetration'!A:C,3,0)*VLOOKUP($C224&amp;$E224,'Updated SES'!A:J,10,0)</f>
        <v>9.569999999999998E-2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29%</v>
      </c>
      <c r="Q224" s="101" t="e">
        <f t="shared" ca="1" si="7"/>
        <v>#REF!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>
        <f>VLOOKUP($C225&amp;$E225,'Updated SES'!A:N,14,0)</f>
        <v>127.11702000000001</v>
      </c>
      <c r="M225" s="102">
        <f>VLOOKUP($K225,'Genre Penetration'!A:B,2,0)*VLOOKUP($C225&amp;$E225,'Updated SES'!A:I,9,0)</f>
        <v>0.30149999999999999</v>
      </c>
      <c r="N225" s="102">
        <f>VLOOKUP(K:K,'Genre Penetration'!A:C,3,0)*VLOOKUP($C225&amp;$E225,'Updated SES'!A:J,10,0)</f>
        <v>0.18149999999999999</v>
      </c>
      <c r="O225" s="102">
        <v>0.7</v>
      </c>
      <c r="P225" s="103" t="str">
        <f t="shared" ca="1" si="6"/>
        <v>24%</v>
      </c>
      <c r="Q225" s="101">
        <f t="shared" ca="1" si="7"/>
        <v>10.31478347088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>
        <f>VLOOKUP($C226&amp;$E226,'Updated SES'!A:N,14,0)</f>
        <v>127.11702000000001</v>
      </c>
      <c r="M226" s="102">
        <f>VLOOKUP($K226,'Genre Penetration'!A:B,2,0)*VLOOKUP($C226&amp;$E226,'Updated SES'!A:I,9,0)</f>
        <v>0.39529999999999993</v>
      </c>
      <c r="N226" s="102">
        <f>VLOOKUP(K:K,'Genre Penetration'!A:C,3,0)*VLOOKUP($C226&amp;$E226,'Updated SES'!A:J,10,0)</f>
        <v>0.13529999999999998</v>
      </c>
      <c r="O226" s="102">
        <v>0.7</v>
      </c>
      <c r="P226" s="103" t="str">
        <f t="shared" ca="1" si="6"/>
        <v>16%</v>
      </c>
      <c r="Q226" s="101">
        <f t="shared" ca="1" si="7"/>
        <v>7.5542085709439997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>
        <f>VLOOKUP($C227&amp;$E227,'Updated SES'!A:N,14,0)</f>
        <v>127.11702000000001</v>
      </c>
      <c r="M227" s="102">
        <f>VLOOKUP($K227,'Genre Penetration'!A:B,2,0)*VLOOKUP($C227&amp;$E227,'Updated SES'!A:I,9,0)</f>
        <v>0.46899999999999992</v>
      </c>
      <c r="N227" s="102">
        <f>VLOOKUP(K:K,'Genre Penetration'!A:C,3,0)*VLOOKUP($C227&amp;$E227,'Updated SES'!A:J,10,0)</f>
        <v>9.8999999999999991E-2</v>
      </c>
      <c r="O227" s="102" t="e">
        <f>VLOOKUP($B227,'Language Penetration'!$B$1:$AY$14,MATCH('Compile data Working'!$H62,'Language Penetration'!$B$1:$AY$1,0),0)</f>
        <v>#N/A</v>
      </c>
      <c r="P227" s="103" t="str">
        <f t="shared" ca="1" si="6"/>
        <v>12%</v>
      </c>
      <c r="Q227" s="101" t="e">
        <f t="shared" ca="1" si="7"/>
        <v>#N/A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>
        <f>VLOOKUP($C228&amp;$E228,'Updated SES'!A:N,14,0)</f>
        <v>127.11702000000001</v>
      </c>
      <c r="M228" s="102">
        <f>VLOOKUP($K228,'Genre Penetration'!A:B,2,0)*VLOOKUP($C228&amp;$E228,'Updated SES'!A:I,9,0)</f>
        <v>0.36849999999999999</v>
      </c>
      <c r="N228" s="102">
        <f>VLOOKUP(K:K,'Genre Penetration'!A:C,3,0)*VLOOKUP($C228&amp;$E228,'Updated SES'!A:J,10,0)</f>
        <v>0.14849999999999999</v>
      </c>
      <c r="O228" s="102">
        <f>VLOOKUP($B228,'Language Penetration'!$B$1:$AY$14,MATCH('Compile data Working'!$H63,'Language Penetration'!$B$1:$AY$1,0),0)</f>
        <v>0.6</v>
      </c>
      <c r="P228" s="103" t="str">
        <f t="shared" ca="1" si="6"/>
        <v>8%</v>
      </c>
      <c r="Q228" s="101">
        <f t="shared" ca="1" si="7"/>
        <v>3.1545359683200007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>
        <f>VLOOKUP($C229&amp;$E229,'Updated SES'!A:N,14,0)</f>
        <v>127.11702000000001</v>
      </c>
      <c r="M229" s="102">
        <f>VLOOKUP($K229,'Genre Penetration'!A:B,2,0)*VLOOKUP($C229&amp;$E229,'Updated SES'!A:I,9,0)</f>
        <v>0.33499999999999996</v>
      </c>
      <c r="N229" s="102">
        <f>VLOOKUP(K:K,'Genre Penetration'!A:C,3,0)*VLOOKUP($C229&amp;$E229,'Updated SES'!A:J,10,0)</f>
        <v>0.16499999999999998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7%</v>
      </c>
      <c r="Q229" s="101" t="e">
        <f t="shared" ca="1" si="7"/>
        <v>#REF!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>
        <f>VLOOKUP($C230&amp;$E230,'Updated SES'!A:N,14,0)</f>
        <v>127.11702000000001</v>
      </c>
      <c r="M230" s="102">
        <f>VLOOKUP($K230,'Genre Penetration'!A:B,2,0)*VLOOKUP($C230&amp;$E230,'Updated SES'!A:I,9,0)</f>
        <v>0.35509999999999997</v>
      </c>
      <c r="N230" s="102">
        <f>VLOOKUP(K:K,'Genre Penetration'!A:C,3,0)*VLOOKUP($C230&amp;$E230,'Updated SES'!A:J,10,0)</f>
        <v>0.15509999999999996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4%</v>
      </c>
      <c r="Q230" s="101" t="e">
        <f t="shared" ca="1" si="7"/>
        <v>#REF!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>
        <f>VLOOKUP($C231&amp;$E231,'Updated SES'!A:N,14,0)</f>
        <v>56.129220000000004</v>
      </c>
      <c r="M231" s="102">
        <f>VLOOKUP($K231,'Genre Penetration'!A:B,2,0)*VLOOKUP($C231&amp;$E231,'Updated SES'!A:I,9,0)</f>
        <v>0.25</v>
      </c>
      <c r="N231" s="102">
        <f>VLOOKUP(K:K,'Genre Penetration'!A:C,3,0)*VLOOKUP($C231&amp;$E231,'Updated SES'!A:J,10,0)</f>
        <v>0.22499999999999998</v>
      </c>
      <c r="O231" s="102">
        <f>VLOOKUP($B231,'Language Penetration'!$B$1:$AY$14,MATCH('Compile data Working'!$H64,'Language Penetration'!$B$1:$AY$1,0),0)</f>
        <v>0.2</v>
      </c>
      <c r="P231" s="103" t="str">
        <f t="shared" ca="1" si="6"/>
        <v>2%</v>
      </c>
      <c r="Q231" s="101">
        <f t="shared" ca="1" si="7"/>
        <v>0.10664551799999999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37%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30%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27%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Working'!$H65,'Language Penetration'!$B$1:$AY$1,0),0)</f>
        <v>0.2</v>
      </c>
      <c r="P235" s="103" t="str">
        <f t="shared" ca="1" si="6"/>
        <v>22%</v>
      </c>
      <c r="Q235" s="101">
        <f t="shared" ca="1" si="7"/>
        <v>1.4257914000000005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20%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14%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10%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8%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 t="e">
        <f>VLOOKUP($B240,'Language Penetration'!$B$1:$AY$14,MATCH('Compile data Working'!$H66,'Language Penetration'!$B$1:$AY$1,0),0)</f>
        <v>#N/A</v>
      </c>
      <c r="P240" s="103" t="str">
        <f t="shared" ca="1" si="6"/>
        <v>4%</v>
      </c>
      <c r="Q240" s="101" t="e">
        <f t="shared" ca="1" si="7"/>
        <v>#N/A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2%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39%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30%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26%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24%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15%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11%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10%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6%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6%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4%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35%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33%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30%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25%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15%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12%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8%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8%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6%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4%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37%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34%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30%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20%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20%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11%</v>
      </c>
      <c r="Q267" s="101">
        <f t="shared" ca="1" si="9"/>
        <v>0.74144840000000012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10%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7%</v>
      </c>
      <c r="Q269" s="101">
        <f t="shared" ca="1" si="9"/>
        <v>0.53994472000000016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4%</v>
      </c>
      <c r="Q270" s="101">
        <f t="shared" ca="1" si="9"/>
        <v>0.33205536000000002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2%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35%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31%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29%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20%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16%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11%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9%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7%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4%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4%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37%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30%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28%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20%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15%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11%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8%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7%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5%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3%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40%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35%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 t="e">
        <f>VLOOKUP($B294,'Language Penetration'!$B$1:$AY$14,MATCH('Compile data Working'!$H67,'Language Penetration'!$B$1:$AY$1,0),0)</f>
        <v>#N/A</v>
      </c>
      <c r="P294" s="103" t="str">
        <f t="shared" ca="1" si="8"/>
        <v>29%</v>
      </c>
      <c r="Q294" s="101" t="e">
        <f t="shared" ca="1" si="9"/>
        <v>#N/A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25%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>
        <f>VLOOKUP($B296,'Language Penetration'!$B$1:$AY$14,MATCH('Compile data Working'!$H68,'Language Penetration'!$B$1:$AY$1,0),0)</f>
        <v>0.6</v>
      </c>
      <c r="P296" s="103" t="str">
        <f t="shared" ca="1" si="8"/>
        <v>19%</v>
      </c>
      <c r="Q296" s="101">
        <f t="shared" ca="1" si="9"/>
        <v>3.9596238792000009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10%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>
        <f>VLOOKUP($B298,'Language Penetration'!$B$1:$AY$14,MATCH('Compile data Working'!$H69,'Language Penetration'!$B$1:$AY$1,0),0)</f>
        <v>0.2</v>
      </c>
      <c r="P298" s="103" t="str">
        <f t="shared" ca="1" si="8"/>
        <v>9%</v>
      </c>
      <c r="Q298" s="101">
        <f t="shared" ca="1" si="9"/>
        <v>0.7104588300000001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6%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 t="e">
        <f>VLOOKUP($B300,'Language Penetration'!$B$1:$AY$14,MATCH('Compile data Working'!$H70,'Language Penetration'!$B$1:$AY$1,0),0)</f>
        <v>#N/A</v>
      </c>
      <c r="P300" s="103" t="str">
        <f t="shared" ca="1" si="8"/>
        <v>6%</v>
      </c>
      <c r="Q300" s="101" t="e">
        <f t="shared" ca="1" si="9"/>
        <v>#N/A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>
        <f>VLOOKUP($B301,'Language Penetration'!$B$1:$AY$14,MATCH('Compile data Working'!$H71,'Language Penetration'!$B$1:$AY$1,0),0)</f>
        <v>0.6</v>
      </c>
      <c r="P301" s="103" t="str">
        <f t="shared" ca="1" si="8"/>
        <v>2%</v>
      </c>
      <c r="Q301" s="101">
        <f t="shared" ca="1" si="9"/>
        <v>0.39975150168000001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>
        <f>VLOOKUP($B302,'Language Penetration'!$B$1:$AY$14,MATCH('Compile data Working'!$H72,'Language Penetration'!$B$1:$AY$1,0),0)</f>
        <v>0.2</v>
      </c>
      <c r="P302" s="103" t="str">
        <f t="shared" ca="1" si="8"/>
        <v>36%</v>
      </c>
      <c r="Q302" s="101">
        <f t="shared" ca="1" si="9"/>
        <v>1.9989270374400006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31%</v>
      </c>
      <c r="Q303" s="101">
        <f t="shared" ca="1" si="9"/>
        <v>6.0486132806400006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27%</v>
      </c>
      <c r="Q304" s="101">
        <f t="shared" ca="1" si="9"/>
        <v>5.2408944000000011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24%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19%</v>
      </c>
      <c r="Q306" s="101">
        <f t="shared" ca="1" si="9"/>
        <v>3.6924624441600007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11%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9%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7%</v>
      </c>
      <c r="Q309" s="101">
        <f t="shared" ca="1" si="9"/>
        <v>1.3527718982400003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6%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4%</v>
      </c>
      <c r="Q311" s="101">
        <f t="shared" ca="1" si="9"/>
        <v>0.77549708543999984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36%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31%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28%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22%</v>
      </c>
      <c r="Q315" s="101">
        <f t="shared" ca="1" si="9"/>
        <v>4.2635258265599996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18%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 t="e">
        <f>VLOOKUP($B317,'Language Penetration'!$B$1:$AY$14,MATCH('Compile data Working'!$H74,'Language Penetration'!$B$1:$AY$1,0),0)</f>
        <v>#N/A</v>
      </c>
      <c r="P317" s="103" t="str">
        <f t="shared" ca="1" si="8"/>
        <v>10%</v>
      </c>
      <c r="Q317" s="101" t="e">
        <f t="shared" ca="1" si="9"/>
        <v>#N/A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9%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8%</v>
      </c>
      <c r="Q319" s="101">
        <f t="shared" ca="1" si="9"/>
        <v>1.5491307417600002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6%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>
        <f>VLOOKUP($B321,'Language Penetration'!$B$1:$AY$14,MATCH('Compile data Working'!$H76,'Language Penetration'!$B$1:$AY$1,0),0)</f>
        <v>0.09</v>
      </c>
      <c r="P321" s="103" t="str">
        <f t="shared" ca="1" si="8"/>
        <v>3%</v>
      </c>
      <c r="Q321" s="101">
        <f t="shared" ca="1" si="9"/>
        <v>7.4720180159999997E-2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37%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33%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25%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22%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18%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11%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8%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6%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4%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3%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38%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35%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28%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23%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16%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13%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10%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6%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4%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4%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37%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30%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30%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23%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15%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11%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10%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6%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4%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2%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35%</v>
      </c>
      <c r="Q352" s="101">
        <f t="shared" ca="1" si="11"/>
        <v>2.6560499000000002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32%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>
        <f>VLOOKUP($B354,'Language Penetration'!$B$1:$AY$14,MATCH('Compile data Working'!$H78,'Language Penetration'!$B$1:$AY$1,0),0)</f>
        <v>0.2</v>
      </c>
      <c r="P354" s="103" t="str">
        <f t="shared" ca="1" si="10"/>
        <v>29%</v>
      </c>
      <c r="Q354" s="101">
        <f t="shared" ca="1" si="11"/>
        <v>0.72309603400000022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25%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Working'!$H79,'Language Penetration'!$B$1:$AY$1,0),0)</f>
        <v>0.6</v>
      </c>
      <c r="P356" s="103" t="str">
        <f t="shared" ca="1" si="10"/>
        <v>17%</v>
      </c>
      <c r="Q356" s="101">
        <f t="shared" ca="1" si="11"/>
        <v>1.2384781248000001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14%</v>
      </c>
      <c r="Q357" s="101">
        <f t="shared" ca="1" si="11"/>
        <v>1.0942925588000003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10%</v>
      </c>
      <c r="Q358" s="101">
        <f t="shared" ca="1" si="11"/>
        <v>0.81351014080000006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>
        <f>VLOOKUP($B359,'Language Penetration'!$B$1:$AY$14,MATCH('Compile data Working'!$H82,'Language Penetration'!$B$1:$AY$1,0),0)</f>
        <v>0.2</v>
      </c>
      <c r="P359" s="103" t="str">
        <f t="shared" ca="1" si="10"/>
        <v>7%</v>
      </c>
      <c r="Q359" s="101">
        <f t="shared" ca="1" si="11"/>
        <v>0.14722105160000007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6%</v>
      </c>
      <c r="Q360" s="101">
        <f t="shared" ca="1" si="11"/>
        <v>0.14101998816000005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>
        <f>VLOOKUP($B361,'Language Penetration'!$B$1:$AY$14,MATCH('Compile data Working'!$H83,'Language Penetration'!$B$1:$AY$1,0),0)</f>
        <v>0.2</v>
      </c>
      <c r="P361" s="103" t="str">
        <f t="shared" ca="1" si="10"/>
        <v>2%</v>
      </c>
      <c r="Q361" s="101">
        <f t="shared" ca="1" si="11"/>
        <v>4.5445555840000013E-2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Working'!$H84,'Language Penetration'!$B$1:$AY$1,0),0)</f>
        <v>0.2</v>
      </c>
      <c r="P362" s="103" t="str">
        <f t="shared" ca="1" si="10"/>
        <v>35%</v>
      </c>
      <c r="Q362" s="101">
        <f t="shared" ca="1" si="11"/>
        <v>0.38075000599999997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 t="e">
        <f>VLOOKUP($B363,'Language Penetration'!$B$1:$AY$14,MATCH('Compile data Working'!$H85,'Language Penetration'!$B$1:$AY$1,0),0)</f>
        <v>#N/A</v>
      </c>
      <c r="P363" s="103" t="str">
        <f t="shared" ca="1" si="10"/>
        <v>33%</v>
      </c>
      <c r="Q363" s="101" t="e">
        <f t="shared" ca="1" si="11"/>
        <v>#N/A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 t="e">
        <f>VLOOKUP($B364,'Language Penetration'!$B$1:$AY$14,MATCH('Compile data Working'!$H86,'Language Penetration'!$B$1:$AY$1,0),0)</f>
        <v>#N/A</v>
      </c>
      <c r="P364" s="103" t="str">
        <f t="shared" ca="1" si="10"/>
        <v>29%</v>
      </c>
      <c r="Q364" s="101" t="e">
        <f t="shared" ca="1" si="11"/>
        <v>#N/A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>
        <f>VLOOKUP($B365,'Language Penetration'!$B$1:$AY$14,MATCH('Compile data Working'!$H87,'Language Penetration'!$B$1:$AY$1,0),0)</f>
        <v>0.2</v>
      </c>
      <c r="P365" s="103" t="str">
        <f t="shared" ca="1" si="10"/>
        <v>23%</v>
      </c>
      <c r="Q365" s="101">
        <f t="shared" ca="1" si="11"/>
        <v>0.25324610000000003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>
        <f>VLOOKUP($B366,'Language Penetration'!$B$1:$AY$14,MATCH('Compile data Working'!$H88,'Language Penetration'!$B$1:$AY$1,0),0)</f>
        <v>0.2</v>
      </c>
      <c r="P366" s="103" t="str">
        <f t="shared" ca="1" si="10"/>
        <v>19%</v>
      </c>
      <c r="Q366" s="101">
        <f t="shared" ca="1" si="11"/>
        <v>0.20920330000000001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Working'!$H89,'Language Penetration'!$B$1:$AY$1,0),0)</f>
        <v>0.2</v>
      </c>
      <c r="P367" s="103" t="str">
        <f t="shared" ca="1" si="10"/>
        <v>15%</v>
      </c>
      <c r="Q367" s="101">
        <f t="shared" ca="1" si="11"/>
        <v>0.164499858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 t="e">
        <f>VLOOKUP($B368,'Language Penetration'!$B$1:$AY$14,MATCH('Compile data Working'!$H90,'Language Penetration'!$B$1:$AY$1,0),0)</f>
        <v>#N/A</v>
      </c>
      <c r="P368" s="103" t="str">
        <f t="shared" ca="1" si="10"/>
        <v>10%</v>
      </c>
      <c r="Q368" s="101" t="e">
        <f t="shared" ca="1" si="11"/>
        <v>#N/A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>
        <f>VLOOKUP($B369,'Language Penetration'!$B$1:$AY$14,MATCH('Compile data Working'!$H91,'Language Penetration'!$B$1:$AY$1,0),0)</f>
        <v>0.2</v>
      </c>
      <c r="P369" s="103" t="str">
        <f t="shared" ca="1" si="10"/>
        <v>8%</v>
      </c>
      <c r="Q369" s="101">
        <f t="shared" ca="1" si="11"/>
        <v>9.2313708800000005E-2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6%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3%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39%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31%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28%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20%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18%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12%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9%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8%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4%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4%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35%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35%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>
        <f>VLOOKUP($B384,'Language Penetration'!$B$1:$AY$14,MATCH('Compile data Working'!$H92,'Language Penetration'!$B$1:$AY$1,0),0)</f>
        <v>0.6</v>
      </c>
      <c r="P384" s="103" t="str">
        <f t="shared" ca="1" si="10"/>
        <v>28%</v>
      </c>
      <c r="Q384" s="101">
        <f t="shared" ca="1" si="11"/>
        <v>0.96559434720000015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Working'!$H93,'Language Penetration'!$B$1:$AY$1,0),0)</f>
        <v>0.6</v>
      </c>
      <c r="P385" s="103" t="str">
        <f t="shared" ca="1" si="10"/>
        <v>24%</v>
      </c>
      <c r="Q385" s="101">
        <f t="shared" ca="1" si="11"/>
        <v>0.78325715519999983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20%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13%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>
        <f>VLOOKUP($B388,'Language Penetration'!$B$1:$AY$14,MATCH('Compile data Working'!$H94,'Language Penetration'!$B$1:$AY$1,0),0)</f>
        <v>0.2</v>
      </c>
      <c r="P388" s="103" t="str">
        <f t="shared" ca="1" si="10"/>
        <v>9%</v>
      </c>
      <c r="Q388" s="101">
        <f t="shared" ca="1" si="11"/>
        <v>9.8699914799999997E-2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8%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6%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Working'!#REF!,'Language Penetration'!$B$1:$AY$1,0),0)</f>
        <v>#REF!</v>
      </c>
      <c r="P391" s="103" t="str">
        <f t="shared" ca="1" si="12"/>
        <v>3%</v>
      </c>
      <c r="Q391" s="101" t="e">
        <f t="shared" ca="1" si="13"/>
        <v>#REF!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35%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 t="e">
        <f>VLOOKUP($B393,'Language Penetration'!$B$1:$AY$14,MATCH('Compile data Working'!$H95,'Language Penetration'!$B$1:$AY$1,0),0)</f>
        <v>#N/A</v>
      </c>
      <c r="P393" s="103" t="str">
        <f t="shared" ca="1" si="12"/>
        <v>33%</v>
      </c>
      <c r="Q393" s="101" t="e">
        <f t="shared" ca="1" si="13"/>
        <v>#N/A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Working'!$H96,'Language Penetration'!$B$1:$AY$1,0),0)</f>
        <v>#N/A</v>
      </c>
      <c r="P394" s="103" t="str">
        <f t="shared" ca="1" si="12"/>
        <v>26%</v>
      </c>
      <c r="Q394" s="101" t="e">
        <f t="shared" ca="1" si="13"/>
        <v>#N/A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>
        <f>VLOOKUP($B395,'Language Penetration'!$B$1:$AY$14,MATCH('Compile data Working'!$H97,'Language Penetration'!$B$1:$AY$1,0),0)</f>
        <v>0.15</v>
      </c>
      <c r="P395" s="103" t="str">
        <f t="shared" ca="1" si="12"/>
        <v>22%</v>
      </c>
      <c r="Q395" s="101">
        <f t="shared" ca="1" si="13"/>
        <v>0.21559251542399999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 t="e">
        <f>VLOOKUP($B396,'Language Penetration'!$B$1:$AY$14,MATCH('Compile data Working'!$H98,'Language Penetration'!$B$1:$AY$1,0),0)</f>
        <v>#N/A</v>
      </c>
      <c r="P396" s="103" t="str">
        <f t="shared" ca="1" si="12"/>
        <v>16%</v>
      </c>
      <c r="Q396" s="101" t="e">
        <f t="shared" ca="1" si="13"/>
        <v>#N/A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13%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 t="e">
        <f>VLOOKUP($B398,'Language Penetration'!$B$1:$AY$14,MATCH('Compile data Working'!$H99,'Language Penetration'!$B$1:$AY$1,0),0)</f>
        <v>#N/A</v>
      </c>
      <c r="P398" s="103" t="str">
        <f t="shared" ca="1" si="12"/>
        <v>9%</v>
      </c>
      <c r="Q398" s="101" t="e">
        <f t="shared" ca="1" si="13"/>
        <v>#N/A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>
        <f>VLOOKUP($B399,'Language Penetration'!$B$1:$AY$14,MATCH('Compile data Working'!$H100,'Language Penetration'!$B$1:$AY$1,0),0)</f>
        <v>0.2</v>
      </c>
      <c r="P399" s="103" t="str">
        <f t="shared" ca="1" si="12"/>
        <v>6%</v>
      </c>
      <c r="Q399" s="101">
        <f t="shared" ca="1" si="13"/>
        <v>8.6042833344000008E-2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5%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>
        <f>VLOOKUP($B401,'Language Penetration'!$B$1:$AY$14,MATCH('Compile data Working'!$H101,'Language Penetration'!$B$1:$AY$1,0),0)</f>
        <v>0.6</v>
      </c>
      <c r="P401" s="103" t="str">
        <f t="shared" ca="1" si="12"/>
        <v>2%</v>
      </c>
      <c r="Q401" s="101">
        <f t="shared" ca="1" si="13"/>
        <v>8.4343821119999995E-2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40%</v>
      </c>
      <c r="Q402" s="101">
        <f t="shared" ca="1" si="13"/>
        <v>5.692212000000002E-3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35%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30%</v>
      </c>
      <c r="Q404" s="101">
        <f t="shared" ca="1" si="13"/>
        <v>5.5976400000000009E-3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23%</v>
      </c>
      <c r="Q405" s="101">
        <f t="shared" ca="1" si="13"/>
        <v>3.9211596000000007E-3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18%</v>
      </c>
      <c r="Q406" s="101">
        <f t="shared" ca="1" si="13"/>
        <v>2.9962710000000004E-3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13%</v>
      </c>
      <c r="Q407" s="101">
        <f t="shared" ca="1" si="13"/>
        <v>2.4430887000000006E-3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9%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7%</v>
      </c>
      <c r="Q409" s="101">
        <f t="shared" ca="1" si="13"/>
        <v>1.2779361000000004E-3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4%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37%</v>
      </c>
      <c r="Q411" s="101">
        <f t="shared" ca="1" si="13"/>
        <v>6.1341763500000002E-3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35%</v>
      </c>
      <c r="Q412" s="101">
        <f t="shared" ca="1" si="13"/>
        <v>6.1548480000000001E-3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27%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21%</v>
      </c>
      <c r="Q414" s="101">
        <f t="shared" ca="1" si="13"/>
        <v>3.5801892000000002E-3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17%</v>
      </c>
      <c r="Q415" s="101">
        <f t="shared" ca="1" si="13"/>
        <v>3.1719960000000007E-3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10%</v>
      </c>
      <c r="Q416" s="101">
        <f t="shared" ca="1" si="13"/>
        <v>1.7048520000000002E-3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10%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6%</v>
      </c>
      <c r="Q418" s="101">
        <f t="shared" ca="1" si="13"/>
        <v>1.0712196000000002E-3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5%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3%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39%</v>
      </c>
      <c r="Q421" s="101">
        <f t="shared" ca="1" si="13"/>
        <v>8.1899999999999973E-2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31%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>
        <f>VLOOKUP($B423,'Language Penetration'!$B$1:$AY$14,MATCH('Compile data Working'!$H102,'Language Penetration'!$B$1:$AY$1,0),0)</f>
        <v>0.2</v>
      </c>
      <c r="P423" s="103" t="str">
        <f t="shared" ca="1" si="12"/>
        <v>28%</v>
      </c>
      <c r="Q423" s="101">
        <f t="shared" ca="1" si="13"/>
        <v>2.3519999999999996E-2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22%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>
        <f>VLOOKUP($B425,'Language Penetration'!$B$1:$AY$14,MATCH('Compile data Working'!$H103,'Language Penetration'!$B$1:$AY$1,0),0)</f>
        <v>0.09</v>
      </c>
      <c r="P425" s="103" t="str">
        <f t="shared" ca="1" si="12"/>
        <v>16%</v>
      </c>
      <c r="Q425" s="101">
        <f t="shared" ca="1" si="13"/>
        <v>5.2919999999999998E-3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Working'!$H104,'Language Penetration'!$B$1:$AY$1,0),0)</f>
        <v>#N/A</v>
      </c>
      <c r="P426" s="103" t="str">
        <f t="shared" ca="1" si="12"/>
        <v>13%</v>
      </c>
      <c r="Q426" s="101" t="e">
        <f t="shared" ca="1" si="13"/>
        <v>#N/A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8%</v>
      </c>
      <c r="Q427" s="101">
        <f t="shared" ca="1" si="13"/>
        <v>1.6239999999999997E-2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6%</v>
      </c>
      <c r="Q428" s="101">
        <f t="shared" ca="1" si="13"/>
        <v>1.1759999999999998E-2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6%</v>
      </c>
      <c r="Q429" s="101">
        <f t="shared" ca="1" si="13"/>
        <v>1.0962E-2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3%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39%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33%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28%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24%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17%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14%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8%</v>
      </c>
      <c r="Q437" s="101">
        <f t="shared" ca="1" si="13"/>
        <v>0.40422143999999999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8%</v>
      </c>
      <c r="Q438" s="101">
        <f t="shared" ca="1" si="13"/>
        <v>1.7853113600000001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4%</v>
      </c>
      <c r="Q439" s="101">
        <f t="shared" ca="1" si="13"/>
        <v>0.67370239999999992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2%</v>
      </c>
      <c r="Q440" s="101">
        <f t="shared" ca="1" si="13"/>
        <v>9.0228000000000003E-2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39%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32%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30%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23%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20%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14%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8%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6%</v>
      </c>
      <c r="Q448" s="101">
        <f t="shared" ca="1" si="13"/>
        <v>1.2404545439999999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5%</v>
      </c>
      <c r="Q449" s="101">
        <f t="shared" ca="1" si="13"/>
        <v>0.80603680000000011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3%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50 Shows &amp; Movies</vt:lpstr>
      <vt:lpstr>Compile data Working</vt:lpstr>
      <vt:lpstr>Sheet2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KARTIK</cp:lastModifiedBy>
  <cp:lastPrinted>2026-01-13T09:46:27Z</cp:lastPrinted>
  <dcterms:created xsi:type="dcterms:W3CDTF">2024-10-03T10:22:33Z</dcterms:created>
  <dcterms:modified xsi:type="dcterms:W3CDTF">2026-06-10T09:15:41Z</dcterms:modified>
</cp:coreProperties>
</file>