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COTT Data 2026\"/>
    </mc:Choice>
  </mc:AlternateContent>
  <xr:revisionPtr revIDLastSave="0" documentId="13_ncr:1_{4935A5C7-8D5B-4B7B-B57C-5E4C4D3A2AFD}" xr6:coauthVersionLast="47" xr6:coauthVersionMax="47" xr10:uidLastSave="{00000000-0000-0000-0000-000000000000}"/>
  <bookViews>
    <workbookView xWindow="-120" yWindow="-120" windowWidth="20730" windowHeight="1116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Working'!$A$4:$T$209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6" i="28" l="1"/>
  <c r="L210" i="2"/>
  <c r="M210" i="2"/>
  <c r="N210" i="2"/>
  <c r="O210" i="2"/>
  <c r="P210" i="2"/>
  <c r="R210" i="2"/>
  <c r="K8" i="28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O6" i="2"/>
  <c r="P6" i="2"/>
  <c r="R6" i="2"/>
  <c r="O7" i="2"/>
  <c r="P7" i="2"/>
  <c r="R7" i="2"/>
  <c r="O120" i="2"/>
  <c r="P120" i="2"/>
  <c r="R120" i="2"/>
  <c r="O100" i="2"/>
  <c r="P100" i="2"/>
  <c r="R100" i="2"/>
  <c r="O106" i="2"/>
  <c r="P106" i="2"/>
  <c r="R106" i="2"/>
  <c r="O114" i="2"/>
  <c r="P114" i="2"/>
  <c r="R114" i="2"/>
  <c r="O88" i="2"/>
  <c r="P88" i="2"/>
  <c r="R88" i="2"/>
  <c r="O82" i="2"/>
  <c r="P82" i="2"/>
  <c r="R82" i="2"/>
  <c r="O93" i="2"/>
  <c r="P93" i="2"/>
  <c r="R93" i="2"/>
  <c r="O130" i="2"/>
  <c r="P130" i="2"/>
  <c r="R130" i="2"/>
  <c r="O87" i="2"/>
  <c r="P87" i="2"/>
  <c r="R87" i="2"/>
  <c r="O73" i="2"/>
  <c r="P73" i="2"/>
  <c r="R73" i="2"/>
  <c r="O108" i="2"/>
  <c r="P108" i="2"/>
  <c r="R108" i="2"/>
  <c r="Q210" i="2" l="1"/>
  <c r="O206" i="2"/>
  <c r="P206" i="2"/>
  <c r="R206" i="2"/>
  <c r="O208" i="2"/>
  <c r="P208" i="2"/>
  <c r="R208" i="2"/>
  <c r="O209" i="2"/>
  <c r="P209" i="2"/>
  <c r="R209" i="2"/>
  <c r="C61" i="28"/>
  <c r="D61" i="28"/>
  <c r="C62" i="28"/>
  <c r="D62" i="28"/>
  <c r="C63" i="28"/>
  <c r="D63" i="28"/>
  <c r="C64" i="28"/>
  <c r="D64" i="28"/>
  <c r="C65" i="28"/>
  <c r="D65" i="28"/>
  <c r="O143" i="2" l="1"/>
  <c r="O39" i="2"/>
  <c r="O98" i="2"/>
  <c r="O144" i="2"/>
  <c r="O74" i="2"/>
  <c r="O141" i="2"/>
  <c r="O57" i="2"/>
  <c r="O80" i="2"/>
  <c r="O61" i="2"/>
  <c r="O113" i="2"/>
  <c r="O102" i="2"/>
  <c r="O52" i="2"/>
  <c r="O145" i="2"/>
  <c r="O138" i="2"/>
  <c r="O139" i="2"/>
  <c r="O119" i="2"/>
  <c r="O128" i="2"/>
  <c r="O17" i="2"/>
  <c r="O25" i="2"/>
  <c r="O46" i="2"/>
  <c r="O20" i="2"/>
  <c r="O85" i="2"/>
  <c r="O48" i="2"/>
  <c r="O38" i="2"/>
  <c r="O150" i="2"/>
  <c r="O111" i="2"/>
  <c r="O110" i="2"/>
  <c r="O94" i="2"/>
  <c r="O10" i="2"/>
  <c r="O134" i="2"/>
  <c r="O137" i="2"/>
  <c r="O84" i="2"/>
  <c r="O63" i="2"/>
  <c r="O127" i="2"/>
  <c r="O118" i="2"/>
  <c r="O92" i="2"/>
  <c r="O104" i="2"/>
  <c r="O11" i="2"/>
  <c r="O131" i="2"/>
  <c r="O123" i="2"/>
  <c r="O115" i="2"/>
  <c r="O160" i="2"/>
  <c r="O109" i="2"/>
  <c r="O91" i="2"/>
  <c r="O43" i="2"/>
  <c r="O121" i="2"/>
  <c r="O162" i="2"/>
  <c r="O33" i="2"/>
  <c r="O151" i="2"/>
  <c r="O101" i="2"/>
  <c r="O152" i="2"/>
  <c r="O96" i="2"/>
  <c r="O12" i="2"/>
  <c r="O16" i="2"/>
  <c r="O129" i="2"/>
  <c r="O153" i="2"/>
  <c r="O47" i="2"/>
  <c r="O19" i="2"/>
  <c r="O147" i="2"/>
  <c r="O154" i="2"/>
  <c r="O155" i="2"/>
  <c r="O163" i="2"/>
  <c r="O31" i="2"/>
  <c r="O156" i="2"/>
  <c r="O8" i="2"/>
  <c r="O157" i="2"/>
  <c r="O158" i="2"/>
  <c r="O132" i="2"/>
  <c r="O159" i="2"/>
  <c r="O41" i="2"/>
  <c r="O66" i="2"/>
  <c r="O161" i="2"/>
  <c r="O103" i="2"/>
  <c r="O78" i="2"/>
  <c r="O164" i="2"/>
  <c r="O126" i="2"/>
  <c r="O165" i="2"/>
  <c r="O166" i="2"/>
  <c r="O112" i="2"/>
  <c r="O81" i="2"/>
  <c r="O107" i="2"/>
  <c r="O133" i="2"/>
  <c r="O167" i="2"/>
  <c r="O168" i="2"/>
  <c r="O169" i="2"/>
  <c r="O50" i="2"/>
  <c r="O170" i="2"/>
  <c r="O171" i="2"/>
  <c r="O44" i="2"/>
  <c r="O45" i="2"/>
  <c r="O173" i="2"/>
  <c r="O172" i="2"/>
  <c r="O65" i="2"/>
  <c r="O176" i="2"/>
  <c r="O27" i="2"/>
  <c r="O174" i="2"/>
  <c r="O175" i="2"/>
  <c r="O177" i="2"/>
  <c r="O178" i="2"/>
  <c r="O37" i="2"/>
  <c r="O179" i="2"/>
  <c r="O89" i="2"/>
  <c r="O181" i="2"/>
  <c r="O59" i="2"/>
  <c r="O180" i="2"/>
  <c r="O136" i="2"/>
  <c r="O22" i="2"/>
  <c r="O182" i="2"/>
  <c r="O95" i="2"/>
  <c r="O183" i="2"/>
  <c r="O184" i="2"/>
  <c r="O185" i="2"/>
  <c r="O34" i="2"/>
  <c r="O186" i="2"/>
  <c r="O135" i="2"/>
  <c r="O90" i="2"/>
  <c r="O116" i="2"/>
  <c r="O83" i="2"/>
  <c r="O148" i="2"/>
  <c r="O15" i="2"/>
  <c r="O187" i="2"/>
  <c r="O26" i="2"/>
  <c r="O191" i="2"/>
  <c r="O146" i="2"/>
  <c r="O75" i="2"/>
  <c r="O24" i="2"/>
  <c r="O188" i="2"/>
  <c r="O99" i="2"/>
  <c r="O32" i="2"/>
  <c r="O189" i="2"/>
  <c r="O190" i="2"/>
  <c r="O192" i="2"/>
  <c r="O72" i="2"/>
  <c r="O71" i="2"/>
  <c r="O193" i="2"/>
  <c r="O195" i="2"/>
  <c r="O196" i="2"/>
  <c r="O21" i="2"/>
  <c r="O194" i="2"/>
  <c r="O76" i="2"/>
  <c r="O197" i="2"/>
  <c r="O198" i="2"/>
  <c r="O86" i="2"/>
  <c r="O122" i="2"/>
  <c r="O53" i="2"/>
  <c r="O199" i="2"/>
  <c r="O18" i="2"/>
  <c r="O124" i="2"/>
  <c r="O29" i="2"/>
  <c r="O97" i="2"/>
  <c r="O200" i="2"/>
  <c r="O201" i="2"/>
  <c r="O68" i="2"/>
  <c r="O9" i="2"/>
  <c r="O5" i="2"/>
  <c r="O55" i="2"/>
  <c r="O203" i="2"/>
  <c r="O202" i="2"/>
  <c r="O42" i="2"/>
  <c r="O105" i="2"/>
  <c r="O149" i="2"/>
  <c r="O70" i="2"/>
  <c r="O79" i="2"/>
  <c r="O14" i="2"/>
  <c r="O125" i="2"/>
  <c r="O204" i="2"/>
  <c r="O23" i="2"/>
  <c r="O77" i="2"/>
  <c r="O67" i="2"/>
  <c r="O49" i="2"/>
  <c r="O58" i="2"/>
  <c r="O205" i="2"/>
  <c r="O13" i="2"/>
  <c r="O207" i="2"/>
  <c r="O30" i="2"/>
  <c r="O28" i="2"/>
  <c r="O64" i="2"/>
  <c r="O35" i="2"/>
  <c r="O69" i="2"/>
  <c r="O56" i="2"/>
  <c r="O62" i="2"/>
  <c r="O142" i="2"/>
  <c r="R34" i="2"/>
  <c r="R141" i="2"/>
  <c r="R134" i="2"/>
  <c r="R23" i="2"/>
  <c r="R57" i="2"/>
  <c r="R80" i="2"/>
  <c r="R102" i="2"/>
  <c r="R62" i="2"/>
  <c r="R145" i="2"/>
  <c r="R138" i="2"/>
  <c r="R139" i="2"/>
  <c r="R119" i="2"/>
  <c r="R42" i="2"/>
  <c r="R67" i="2"/>
  <c r="R55" i="2"/>
  <c r="R98" i="2"/>
  <c r="R17" i="2"/>
  <c r="R38" i="2"/>
  <c r="R20" i="2"/>
  <c r="R54" i="2"/>
  <c r="R150" i="2"/>
  <c r="R143" i="2"/>
  <c r="R14" i="2"/>
  <c r="R66" i="2"/>
  <c r="R94" i="2"/>
  <c r="R89" i="2"/>
  <c r="R112" i="2"/>
  <c r="R81" i="2"/>
  <c r="R10" i="2"/>
  <c r="R137" i="2"/>
  <c r="R27" i="2"/>
  <c r="R63" i="2"/>
  <c r="R127" i="2"/>
  <c r="R104" i="2"/>
  <c r="R16" i="2"/>
  <c r="R160" i="2"/>
  <c r="R32" i="2"/>
  <c r="R48" i="2"/>
  <c r="R43" i="2"/>
  <c r="R5" i="2"/>
  <c r="R121" i="2"/>
  <c r="R25" i="2"/>
  <c r="R21" i="2"/>
  <c r="R162" i="2"/>
  <c r="R123" i="2"/>
  <c r="R151" i="2"/>
  <c r="R9" i="2"/>
  <c r="R152" i="2"/>
  <c r="R115" i="2"/>
  <c r="R51" i="2"/>
  <c r="R95" i="2"/>
  <c r="R118" i="2"/>
  <c r="R15" i="2"/>
  <c r="R131" i="2"/>
  <c r="R153" i="2"/>
  <c r="R101" i="2"/>
  <c r="R19" i="2"/>
  <c r="R149" i="2"/>
  <c r="R154" i="2"/>
  <c r="R155" i="2"/>
  <c r="R103" i="2"/>
  <c r="R163" i="2"/>
  <c r="R140" i="2"/>
  <c r="R77" i="2"/>
  <c r="R156" i="2"/>
  <c r="R148" i="2"/>
  <c r="R157" i="2"/>
  <c r="R124" i="2"/>
  <c r="R158" i="2"/>
  <c r="R129" i="2"/>
  <c r="R159" i="2"/>
  <c r="R161" i="2"/>
  <c r="R128" i="2"/>
  <c r="R26" i="2"/>
  <c r="R53" i="2"/>
  <c r="R86" i="2"/>
  <c r="R122" i="2"/>
  <c r="R72" i="2"/>
  <c r="R164" i="2"/>
  <c r="R29" i="2"/>
  <c r="R165" i="2"/>
  <c r="R166" i="2"/>
  <c r="R133" i="2"/>
  <c r="R18" i="2"/>
  <c r="R167" i="2"/>
  <c r="R168" i="2"/>
  <c r="R169" i="2"/>
  <c r="R170" i="2"/>
  <c r="R171" i="2"/>
  <c r="R90" i="2"/>
  <c r="R59" i="2"/>
  <c r="R173" i="2"/>
  <c r="R172" i="2"/>
  <c r="R176" i="2"/>
  <c r="R50" i="2"/>
  <c r="R174" i="2"/>
  <c r="R175" i="2"/>
  <c r="R49" i="2"/>
  <c r="R177" i="2"/>
  <c r="R178" i="2"/>
  <c r="R117" i="2"/>
  <c r="R24" i="2"/>
  <c r="R28" i="2"/>
  <c r="R179" i="2"/>
  <c r="R84" i="2"/>
  <c r="R181" i="2"/>
  <c r="R180" i="2"/>
  <c r="R35" i="2"/>
  <c r="R182" i="2"/>
  <c r="R33" i="2"/>
  <c r="R91" i="2"/>
  <c r="R183" i="2"/>
  <c r="R184" i="2"/>
  <c r="R185" i="2"/>
  <c r="R92" i="2"/>
  <c r="R186" i="2"/>
  <c r="R56" i="2"/>
  <c r="R70" i="2"/>
  <c r="R31" i="2"/>
  <c r="R60" i="2"/>
  <c r="R12" i="2"/>
  <c r="R110" i="2"/>
  <c r="R187" i="2"/>
  <c r="R191" i="2"/>
  <c r="R78" i="2"/>
  <c r="R85" i="2"/>
  <c r="R45" i="2"/>
  <c r="R8" i="2"/>
  <c r="R116" i="2"/>
  <c r="R188" i="2"/>
  <c r="R61" i="2"/>
  <c r="R58" i="2"/>
  <c r="R189" i="2"/>
  <c r="R190" i="2"/>
  <c r="R135" i="2"/>
  <c r="R192" i="2"/>
  <c r="R40" i="2"/>
  <c r="R107" i="2"/>
  <c r="R136" i="2"/>
  <c r="R46" i="2"/>
  <c r="R193" i="2"/>
  <c r="R109" i="2"/>
  <c r="R22" i="2"/>
  <c r="R195" i="2"/>
  <c r="R125" i="2"/>
  <c r="R196" i="2"/>
  <c r="R194" i="2"/>
  <c r="R37" i="2"/>
  <c r="R197" i="2"/>
  <c r="R198" i="2"/>
  <c r="R96" i="2"/>
  <c r="R41" i="2"/>
  <c r="R30" i="2"/>
  <c r="R199" i="2"/>
  <c r="R68" i="2"/>
  <c r="R200" i="2"/>
  <c r="R75" i="2"/>
  <c r="R201" i="2"/>
  <c r="R113" i="2"/>
  <c r="R147" i="2"/>
  <c r="R203" i="2"/>
  <c r="R202" i="2"/>
  <c r="R64" i="2"/>
  <c r="R65" i="2"/>
  <c r="R13" i="2"/>
  <c r="R105" i="2"/>
  <c r="R52" i="2"/>
  <c r="R99" i="2"/>
  <c r="R36" i="2"/>
  <c r="R142" i="2"/>
  <c r="R126" i="2"/>
  <c r="R132" i="2"/>
  <c r="R76" i="2"/>
  <c r="R204" i="2"/>
  <c r="R47" i="2"/>
  <c r="R39" i="2"/>
  <c r="R74" i="2"/>
  <c r="R205" i="2"/>
  <c r="R83" i="2"/>
  <c r="R79" i="2"/>
  <c r="R207" i="2"/>
  <c r="R144" i="2"/>
  <c r="R44" i="2"/>
  <c r="R146" i="2"/>
  <c r="R97" i="2"/>
  <c r="R11" i="2"/>
  <c r="R111" i="2"/>
  <c r="R71" i="2"/>
  <c r="R20" i="9"/>
  <c r="P170" i="2"/>
  <c r="P171" i="2"/>
  <c r="P173" i="2"/>
  <c r="P172" i="2"/>
  <c r="P176" i="2"/>
  <c r="P174" i="2"/>
  <c r="P175" i="2"/>
  <c r="P177" i="2"/>
  <c r="P178" i="2"/>
  <c r="P179" i="2"/>
  <c r="P181" i="2"/>
  <c r="P180" i="2"/>
  <c r="P182" i="2"/>
  <c r="P183" i="2"/>
  <c r="P184" i="2"/>
  <c r="P185" i="2"/>
  <c r="P186" i="2"/>
  <c r="P187" i="2"/>
  <c r="P191" i="2"/>
  <c r="P188" i="2"/>
  <c r="P189" i="2"/>
  <c r="P190" i="2"/>
  <c r="P192" i="2"/>
  <c r="P193" i="2"/>
  <c r="P195" i="2"/>
  <c r="P196" i="2"/>
  <c r="P194" i="2"/>
  <c r="P197" i="2"/>
  <c r="P198" i="2"/>
  <c r="P199" i="2"/>
  <c r="P200" i="2"/>
  <c r="P201" i="2"/>
  <c r="P203" i="2"/>
  <c r="P202" i="2"/>
  <c r="P204" i="2"/>
  <c r="P205" i="2"/>
  <c r="P207" i="2"/>
  <c r="P169" i="2"/>
  <c r="BE14" i="9"/>
  <c r="BD14" i="9"/>
  <c r="BC14" i="9"/>
  <c r="AQ14" i="9"/>
  <c r="AG14" i="9"/>
  <c r="AK14" i="9"/>
  <c r="AZ14" i="9"/>
  <c r="BB14" i="9"/>
  <c r="P107" i="2" l="1"/>
  <c r="P39" i="2" l="1"/>
  <c r="P55" i="2"/>
  <c r="P61" i="2"/>
  <c r="P92" i="2"/>
  <c r="P70" i="2"/>
  <c r="P17" i="2"/>
  <c r="P29" i="2"/>
  <c r="P158" i="2"/>
  <c r="P150" i="2"/>
  <c r="P129" i="2"/>
  <c r="P117" i="2"/>
  <c r="P5" i="2"/>
  <c r="P110" i="2"/>
  <c r="P116" i="2"/>
  <c r="P153" i="2"/>
  <c r="P143" i="2"/>
  <c r="P99" i="2"/>
  <c r="P53" i="2"/>
  <c r="P145" i="2"/>
  <c r="P118" i="2"/>
  <c r="P49" i="2"/>
  <c r="P162" i="2"/>
  <c r="P21" i="2"/>
  <c r="P40" i="2"/>
  <c r="P25" i="2"/>
  <c r="P83" i="2"/>
  <c r="P124" i="2"/>
  <c r="P43" i="2"/>
  <c r="P167" i="2"/>
  <c r="P165" i="2"/>
  <c r="P57" i="2"/>
  <c r="P50" i="2"/>
  <c r="P140" i="2"/>
  <c r="P38" i="2"/>
  <c r="P64" i="2"/>
  <c r="P90" i="2"/>
  <c r="P78" i="2"/>
  <c r="P68" i="2"/>
  <c r="P69" i="2"/>
  <c r="R69" i="2"/>
  <c r="P26" i="2"/>
  <c r="P67" i="2"/>
  <c r="P74" i="2"/>
  <c r="P123" i="2"/>
  <c r="P95" i="2"/>
  <c r="P14" i="2"/>
  <c r="P157" i="2"/>
  <c r="P56" i="2"/>
  <c r="P121" i="2"/>
  <c r="P66" i="2"/>
  <c r="P77" i="2"/>
  <c r="P115" i="2"/>
  <c r="P144" i="2"/>
  <c r="P80" i="2"/>
  <c r="P131" i="2"/>
  <c r="P104" i="2"/>
  <c r="P63" i="2"/>
  <c r="P84" i="2"/>
  <c r="P156" i="2"/>
  <c r="P10" i="2"/>
  <c r="P65" i="2"/>
  <c r="P147" i="2"/>
  <c r="P18" i="2"/>
  <c r="P16" i="2"/>
  <c r="P54" i="2"/>
  <c r="P109" i="2"/>
  <c r="P159" i="2"/>
  <c r="P111" i="2"/>
  <c r="P20" i="2"/>
  <c r="P22" i="2"/>
  <c r="P134" i="2"/>
  <c r="P8" i="2"/>
  <c r="P161" i="2"/>
  <c r="P132" i="2"/>
  <c r="P47" i="2"/>
  <c r="P136" i="2"/>
  <c r="P154" i="2"/>
  <c r="P85" i="2"/>
  <c r="P19" i="2"/>
  <c r="P139" i="2"/>
  <c r="P101" i="2"/>
  <c r="P79" i="2"/>
  <c r="P76" i="2"/>
  <c r="P155" i="2"/>
  <c r="P30" i="2"/>
  <c r="P31" i="2"/>
  <c r="P168" i="2"/>
  <c r="P138" i="2"/>
  <c r="P58" i="2"/>
  <c r="P105" i="2"/>
  <c r="P32" i="2"/>
  <c r="P33" i="2"/>
  <c r="P91" i="2"/>
  <c r="P135" i="2"/>
  <c r="P160" i="2"/>
  <c r="P72" i="2"/>
  <c r="P127" i="2"/>
  <c r="P126" i="2"/>
  <c r="P48" i="2" l="1"/>
  <c r="P51" i="2"/>
  <c r="P45" i="2"/>
  <c r="P151" i="2"/>
  <c r="P166" i="2"/>
  <c r="P44" i="2"/>
  <c r="P52" i="2"/>
  <c r="P137" i="2"/>
  <c r="P34" i="2"/>
  <c r="P71" i="2"/>
  <c r="P122" i="2"/>
  <c r="P59" i="2"/>
  <c r="P27" i="2"/>
  <c r="P133" i="2"/>
  <c r="P62" i="2"/>
  <c r="P24" i="2"/>
  <c r="P35" i="2"/>
  <c r="P102" i="2"/>
  <c r="P141" i="2"/>
  <c r="P9" i="2"/>
  <c r="P13" i="2"/>
  <c r="P36" i="2"/>
  <c r="P142" i="2"/>
  <c r="P119" i="2"/>
  <c r="P128" i="2"/>
  <c r="P163" i="2"/>
  <c r="P149" i="2"/>
  <c r="P97" i="2"/>
  <c r="P125" i="2"/>
  <c r="P37" i="2"/>
  <c r="P164" i="2"/>
  <c r="P42" i="2"/>
  <c r="P28" i="2"/>
  <c r="P94" i="2"/>
  <c r="P12" i="2"/>
  <c r="P23" i="2"/>
  <c r="P146" i="2"/>
  <c r="P152" i="2"/>
  <c r="P103" i="2" l="1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M7" i="2" l="1"/>
  <c r="M114" i="2"/>
  <c r="M130" i="2"/>
  <c r="M108" i="2"/>
  <c r="L6" i="2"/>
  <c r="N7" i="2"/>
  <c r="L106" i="2"/>
  <c r="N114" i="2"/>
  <c r="L93" i="2"/>
  <c r="N130" i="2"/>
  <c r="L108" i="2"/>
  <c r="M6" i="2"/>
  <c r="M106" i="2"/>
  <c r="M93" i="2"/>
  <c r="N6" i="2"/>
  <c r="L100" i="2"/>
  <c r="N106" i="2"/>
  <c r="M100" i="2"/>
  <c r="M82" i="2"/>
  <c r="M73" i="2"/>
  <c r="L130" i="2"/>
  <c r="L82" i="2"/>
  <c r="L73" i="2"/>
  <c r="L120" i="2"/>
  <c r="N100" i="2"/>
  <c r="L88" i="2"/>
  <c r="N82" i="2"/>
  <c r="L87" i="2"/>
  <c r="N73" i="2"/>
  <c r="N87" i="2"/>
  <c r="N108" i="2"/>
  <c r="M120" i="2"/>
  <c r="M88" i="2"/>
  <c r="M87" i="2"/>
  <c r="L7" i="2"/>
  <c r="N120" i="2"/>
  <c r="L114" i="2"/>
  <c r="N88" i="2"/>
  <c r="N93" i="2"/>
  <c r="L209" i="2"/>
  <c r="M208" i="2"/>
  <c r="M209" i="2"/>
  <c r="N208" i="2"/>
  <c r="L208" i="2"/>
  <c r="N209" i="2"/>
  <c r="L206" i="2"/>
  <c r="M206" i="2"/>
  <c r="N206" i="2"/>
  <c r="L34" i="2"/>
  <c r="L139" i="2"/>
  <c r="L66" i="2"/>
  <c r="L10" i="2"/>
  <c r="L16" i="2"/>
  <c r="L21" i="2"/>
  <c r="L51" i="2"/>
  <c r="L131" i="2"/>
  <c r="L156" i="2"/>
  <c r="L166" i="2"/>
  <c r="L171" i="2"/>
  <c r="L177" i="2"/>
  <c r="L28" i="2"/>
  <c r="L182" i="2"/>
  <c r="L186" i="2"/>
  <c r="L12" i="2"/>
  <c r="L189" i="2"/>
  <c r="L136" i="2"/>
  <c r="L195" i="2"/>
  <c r="L96" i="2"/>
  <c r="L68" i="2"/>
  <c r="L203" i="2"/>
  <c r="L99" i="2"/>
  <c r="L204" i="2"/>
  <c r="L207" i="2"/>
  <c r="L97" i="2"/>
  <c r="L111" i="2"/>
  <c r="N172" i="2"/>
  <c r="M176" i="2"/>
  <c r="N178" i="2"/>
  <c r="M190" i="2"/>
  <c r="L141" i="2"/>
  <c r="L119" i="2"/>
  <c r="L38" i="2"/>
  <c r="L94" i="2"/>
  <c r="L162" i="2"/>
  <c r="L95" i="2"/>
  <c r="L155" i="2"/>
  <c r="L161" i="2"/>
  <c r="L133" i="2"/>
  <c r="L90" i="2"/>
  <c r="L176" i="2"/>
  <c r="L33" i="2"/>
  <c r="L110" i="2"/>
  <c r="L8" i="2"/>
  <c r="L190" i="2"/>
  <c r="L46" i="2"/>
  <c r="L125" i="2"/>
  <c r="L200" i="2"/>
  <c r="L202" i="2"/>
  <c r="L47" i="2"/>
  <c r="L144" i="2"/>
  <c r="L71" i="2"/>
  <c r="N176" i="2"/>
  <c r="M177" i="2"/>
  <c r="M184" i="2"/>
  <c r="M191" i="2"/>
  <c r="N190" i="2"/>
  <c r="N195" i="2"/>
  <c r="M197" i="2"/>
  <c r="N200" i="2"/>
  <c r="N204" i="2"/>
  <c r="M207" i="2"/>
  <c r="N207" i="2"/>
  <c r="L102" i="2"/>
  <c r="L42" i="2"/>
  <c r="L20" i="2"/>
  <c r="L89" i="2"/>
  <c r="L137" i="2"/>
  <c r="L48" i="2"/>
  <c r="L118" i="2"/>
  <c r="L153" i="2"/>
  <c r="L103" i="2"/>
  <c r="L148" i="2"/>
  <c r="L128" i="2"/>
  <c r="L72" i="2"/>
  <c r="L50" i="2"/>
  <c r="L91" i="2"/>
  <c r="L56" i="2"/>
  <c r="L187" i="2"/>
  <c r="L116" i="2"/>
  <c r="L135" i="2"/>
  <c r="L193" i="2"/>
  <c r="L196" i="2"/>
  <c r="L75" i="2"/>
  <c r="L36" i="2"/>
  <c r="L39" i="2"/>
  <c r="L44" i="2"/>
  <c r="N177" i="2"/>
  <c r="N184" i="2"/>
  <c r="M186" i="2"/>
  <c r="N191" i="2"/>
  <c r="M188" i="2"/>
  <c r="N197" i="2"/>
  <c r="L62" i="2"/>
  <c r="L54" i="2"/>
  <c r="L112" i="2"/>
  <c r="L27" i="2"/>
  <c r="L43" i="2"/>
  <c r="L123" i="2"/>
  <c r="L101" i="2"/>
  <c r="L157" i="2"/>
  <c r="L26" i="2"/>
  <c r="L164" i="2"/>
  <c r="L18" i="2"/>
  <c r="L174" i="2"/>
  <c r="L178" i="2"/>
  <c r="L179" i="2"/>
  <c r="L183" i="2"/>
  <c r="L70" i="2"/>
  <c r="L191" i="2"/>
  <c r="L188" i="2"/>
  <c r="L192" i="2"/>
  <c r="L41" i="2"/>
  <c r="L201" i="2"/>
  <c r="L64" i="2"/>
  <c r="L142" i="2"/>
  <c r="L74" i="2"/>
  <c r="M170" i="2"/>
  <c r="M174" i="2"/>
  <c r="M179" i="2"/>
  <c r="M182" i="2"/>
  <c r="N186" i="2"/>
  <c r="N188" i="2"/>
  <c r="M192" i="2"/>
  <c r="M196" i="2"/>
  <c r="M201" i="2"/>
  <c r="M205" i="2"/>
  <c r="N205" i="2"/>
  <c r="M195" i="2"/>
  <c r="M200" i="2"/>
  <c r="M204" i="2"/>
  <c r="L134" i="2"/>
  <c r="L67" i="2"/>
  <c r="L150" i="2"/>
  <c r="L63" i="2"/>
  <c r="L151" i="2"/>
  <c r="L124" i="2"/>
  <c r="L167" i="2"/>
  <c r="L59" i="2"/>
  <c r="L175" i="2"/>
  <c r="L117" i="2"/>
  <c r="L84" i="2"/>
  <c r="L35" i="2"/>
  <c r="L184" i="2"/>
  <c r="L194" i="2"/>
  <c r="L30" i="2"/>
  <c r="L65" i="2"/>
  <c r="L126" i="2"/>
  <c r="L205" i="2"/>
  <c r="N170" i="2"/>
  <c r="M173" i="2"/>
  <c r="N174" i="2"/>
  <c r="N179" i="2"/>
  <c r="M180" i="2"/>
  <c r="N182" i="2"/>
  <c r="N192" i="2"/>
  <c r="M193" i="2"/>
  <c r="N196" i="2"/>
  <c r="M198" i="2"/>
  <c r="N201" i="2"/>
  <c r="M203" i="2"/>
  <c r="N185" i="2"/>
  <c r="N202" i="2"/>
  <c r="L23" i="2"/>
  <c r="L145" i="2"/>
  <c r="L55" i="2"/>
  <c r="L143" i="2"/>
  <c r="L127" i="2"/>
  <c r="L5" i="2"/>
  <c r="L9" i="2"/>
  <c r="L19" i="2"/>
  <c r="L163" i="2"/>
  <c r="L158" i="2"/>
  <c r="L53" i="2"/>
  <c r="L29" i="2"/>
  <c r="L168" i="2"/>
  <c r="L173" i="2"/>
  <c r="L181" i="2"/>
  <c r="L78" i="2"/>
  <c r="L40" i="2"/>
  <c r="L109" i="2"/>
  <c r="L37" i="2"/>
  <c r="L113" i="2"/>
  <c r="L13" i="2"/>
  <c r="L83" i="2"/>
  <c r="L146" i="2"/>
  <c r="L11" i="2"/>
  <c r="N173" i="2"/>
  <c r="N180" i="2"/>
  <c r="M189" i="2"/>
  <c r="N193" i="2"/>
  <c r="N198" i="2"/>
  <c r="M199" i="2"/>
  <c r="N203" i="2"/>
  <c r="L57" i="2"/>
  <c r="L138" i="2"/>
  <c r="L98" i="2"/>
  <c r="L81" i="2"/>
  <c r="L104" i="2"/>
  <c r="L160" i="2"/>
  <c r="L121" i="2"/>
  <c r="L152" i="2"/>
  <c r="L15" i="2"/>
  <c r="L149" i="2"/>
  <c r="L140" i="2"/>
  <c r="L129" i="2"/>
  <c r="L86" i="2"/>
  <c r="L169" i="2"/>
  <c r="L172" i="2"/>
  <c r="L185" i="2"/>
  <c r="L31" i="2"/>
  <c r="L85" i="2"/>
  <c r="L61" i="2"/>
  <c r="L107" i="2"/>
  <c r="L197" i="2"/>
  <c r="L199" i="2"/>
  <c r="L147" i="2"/>
  <c r="L105" i="2"/>
  <c r="L132" i="2"/>
  <c r="M171" i="2"/>
  <c r="M175" i="2"/>
  <c r="M181" i="2"/>
  <c r="M183" i="2"/>
  <c r="M187" i="2"/>
  <c r="N189" i="2"/>
  <c r="M194" i="2"/>
  <c r="N199" i="2"/>
  <c r="L80" i="2"/>
  <c r="L17" i="2"/>
  <c r="L14" i="2"/>
  <c r="L32" i="2"/>
  <c r="L25" i="2"/>
  <c r="L115" i="2"/>
  <c r="L154" i="2"/>
  <c r="L77" i="2"/>
  <c r="L159" i="2"/>
  <c r="L122" i="2"/>
  <c r="L165" i="2"/>
  <c r="L170" i="2"/>
  <c r="L49" i="2"/>
  <c r="L24" i="2"/>
  <c r="L180" i="2"/>
  <c r="L92" i="2"/>
  <c r="L60" i="2"/>
  <c r="L45" i="2"/>
  <c r="L58" i="2"/>
  <c r="L22" i="2"/>
  <c r="L198" i="2"/>
  <c r="L52" i="2"/>
  <c r="L76" i="2"/>
  <c r="L79" i="2"/>
  <c r="N171" i="2"/>
  <c r="M172" i="2"/>
  <c r="N175" i="2"/>
  <c r="M178" i="2"/>
  <c r="N181" i="2"/>
  <c r="N183" i="2"/>
  <c r="M185" i="2"/>
  <c r="N187" i="2"/>
  <c r="N194" i="2"/>
  <c r="M202" i="2"/>
  <c r="M169" i="2"/>
  <c r="N169" i="2"/>
  <c r="N107" i="2"/>
  <c r="M107" i="2"/>
  <c r="M45" i="2"/>
  <c r="M17" i="2"/>
  <c r="N42" i="2"/>
  <c r="N146" i="2"/>
  <c r="N44" i="2"/>
  <c r="M151" i="2"/>
  <c r="M12" i="2"/>
  <c r="N36" i="2"/>
  <c r="N152" i="2"/>
  <c r="N148" i="2"/>
  <c r="N48" i="2"/>
  <c r="M46" i="2"/>
  <c r="M41" i="2"/>
  <c r="M163" i="2"/>
  <c r="M34" i="2"/>
  <c r="M89" i="2"/>
  <c r="M97" i="2"/>
  <c r="M110" i="2"/>
  <c r="N153" i="2"/>
  <c r="M143" i="2"/>
  <c r="N49" i="2"/>
  <c r="M21" i="2"/>
  <c r="N25" i="2"/>
  <c r="N43" i="2"/>
  <c r="N61" i="2"/>
  <c r="N140" i="2"/>
  <c r="N64" i="2"/>
  <c r="M90" i="2"/>
  <c r="N69" i="2"/>
  <c r="N67" i="2"/>
  <c r="M95" i="2"/>
  <c r="M94" i="2"/>
  <c r="N66" i="2"/>
  <c r="M115" i="2"/>
  <c r="M104" i="2"/>
  <c r="M65" i="2"/>
  <c r="N45" i="2"/>
  <c r="N17" i="2"/>
  <c r="N151" i="2"/>
  <c r="N12" i="2"/>
  <c r="N46" i="2"/>
  <c r="N41" i="2"/>
  <c r="N163" i="2"/>
  <c r="N34" i="2"/>
  <c r="N89" i="2"/>
  <c r="N97" i="2"/>
  <c r="N110" i="2"/>
  <c r="M116" i="2"/>
  <c r="M125" i="2"/>
  <c r="N143" i="2"/>
  <c r="M162" i="2"/>
  <c r="N21" i="2"/>
  <c r="M124" i="2"/>
  <c r="N90" i="2"/>
  <c r="M78" i="2"/>
  <c r="M123" i="2"/>
  <c r="N95" i="2"/>
  <c r="M55" i="2"/>
  <c r="N94" i="2"/>
  <c r="N115" i="2"/>
  <c r="M80" i="2"/>
  <c r="N104" i="2"/>
  <c r="M84" i="2"/>
  <c r="N65" i="2"/>
  <c r="M117" i="2"/>
  <c r="M113" i="2"/>
  <c r="M164" i="2"/>
  <c r="M142" i="2"/>
  <c r="M51" i="2"/>
  <c r="M102" i="2"/>
  <c r="M128" i="2"/>
  <c r="M150" i="2"/>
  <c r="N116" i="2"/>
  <c r="N125" i="2"/>
  <c r="M112" i="2"/>
  <c r="M53" i="2"/>
  <c r="N162" i="2"/>
  <c r="M40" i="2"/>
  <c r="M83" i="2"/>
  <c r="N124" i="2"/>
  <c r="N78" i="2"/>
  <c r="M68" i="2"/>
  <c r="M26" i="2"/>
  <c r="N123" i="2"/>
  <c r="N55" i="2"/>
  <c r="M121" i="2"/>
  <c r="M144" i="2"/>
  <c r="N80" i="2"/>
  <c r="N84" i="2"/>
  <c r="M16" i="2"/>
  <c r="M60" i="2"/>
  <c r="N164" i="2"/>
  <c r="N142" i="2"/>
  <c r="N51" i="2"/>
  <c r="N102" i="2"/>
  <c r="M122" i="2"/>
  <c r="M28" i="2"/>
  <c r="M158" i="2"/>
  <c r="N128" i="2"/>
  <c r="N150" i="2"/>
  <c r="M62" i="2"/>
  <c r="M23" i="2"/>
  <c r="M129" i="2"/>
  <c r="M5" i="2"/>
  <c r="M59" i="2"/>
  <c r="N112" i="2"/>
  <c r="N53" i="2"/>
  <c r="M98" i="2"/>
  <c r="N40" i="2"/>
  <c r="N83" i="2"/>
  <c r="M165" i="2"/>
  <c r="M50" i="2"/>
  <c r="N68" i="2"/>
  <c r="N26" i="2"/>
  <c r="M24" i="2"/>
  <c r="M35" i="2"/>
  <c r="N122" i="2"/>
  <c r="N28" i="2"/>
  <c r="N158" i="2"/>
  <c r="N62" i="2"/>
  <c r="N23" i="2"/>
  <c r="N129" i="2"/>
  <c r="M133" i="2"/>
  <c r="M166" i="2"/>
  <c r="M149" i="2"/>
  <c r="N5" i="2"/>
  <c r="N59" i="2"/>
  <c r="M99" i="2"/>
  <c r="M145" i="2"/>
  <c r="N98" i="2"/>
  <c r="N165" i="2"/>
  <c r="N50" i="2"/>
  <c r="M39" i="2"/>
  <c r="M74" i="2"/>
  <c r="M14" i="2"/>
  <c r="M77" i="2"/>
  <c r="N131" i="2"/>
  <c r="N10" i="2"/>
  <c r="N141" i="2"/>
  <c r="N54" i="2"/>
  <c r="N35" i="2"/>
  <c r="M96" i="2"/>
  <c r="N133" i="2"/>
  <c r="N166" i="2"/>
  <c r="N149" i="2"/>
  <c r="N99" i="2"/>
  <c r="N145" i="2"/>
  <c r="M118" i="2"/>
  <c r="M57" i="2"/>
  <c r="M38" i="2"/>
  <c r="N39" i="2"/>
  <c r="M70" i="2"/>
  <c r="N60" i="2"/>
  <c r="N74" i="2"/>
  <c r="N14" i="2"/>
  <c r="M56" i="2"/>
  <c r="N77" i="2"/>
  <c r="M63" i="2"/>
  <c r="N159" i="2"/>
  <c r="N20" i="2"/>
  <c r="M161" i="2"/>
  <c r="M167" i="2"/>
  <c r="N137" i="2"/>
  <c r="N9" i="2"/>
  <c r="N71" i="2"/>
  <c r="N29" i="2"/>
  <c r="M42" i="2"/>
  <c r="M146" i="2"/>
  <c r="M44" i="2"/>
  <c r="M36" i="2"/>
  <c r="M152" i="2"/>
  <c r="M148" i="2"/>
  <c r="M48" i="2"/>
  <c r="M153" i="2"/>
  <c r="M49" i="2"/>
  <c r="M25" i="2"/>
  <c r="M43" i="2"/>
  <c r="M61" i="2"/>
  <c r="M140" i="2"/>
  <c r="M64" i="2"/>
  <c r="M69" i="2"/>
  <c r="M67" i="2"/>
  <c r="N157" i="2"/>
  <c r="M66" i="2"/>
  <c r="N156" i="2"/>
  <c r="M147" i="2"/>
  <c r="M18" i="2"/>
  <c r="M137" i="2"/>
  <c r="M22" i="2"/>
  <c r="N132" i="2"/>
  <c r="M47" i="2"/>
  <c r="M101" i="2"/>
  <c r="M76" i="2"/>
  <c r="M30" i="2"/>
  <c r="N92" i="2"/>
  <c r="M58" i="2"/>
  <c r="N32" i="2"/>
  <c r="M160" i="2"/>
  <c r="N127" i="2"/>
  <c r="M154" i="2"/>
  <c r="N101" i="2"/>
  <c r="N76" i="2"/>
  <c r="N121" i="2"/>
  <c r="M10" i="2"/>
  <c r="N22" i="2"/>
  <c r="M134" i="2"/>
  <c r="N47" i="2"/>
  <c r="N38" i="2"/>
  <c r="N56" i="2"/>
  <c r="N63" i="2"/>
  <c r="M37" i="2"/>
  <c r="N134" i="2"/>
  <c r="N154" i="2"/>
  <c r="M139" i="2"/>
  <c r="M11" i="2"/>
  <c r="M105" i="2"/>
  <c r="N33" i="2"/>
  <c r="M13" i="2"/>
  <c r="M72" i="2"/>
  <c r="M52" i="2"/>
  <c r="N15" i="2"/>
  <c r="M135" i="2"/>
  <c r="N86" i="2"/>
  <c r="M32" i="2"/>
  <c r="M33" i="2"/>
  <c r="M71" i="2"/>
  <c r="N37" i="2"/>
  <c r="M81" i="2"/>
  <c r="M119" i="2"/>
  <c r="M111" i="2"/>
  <c r="N161" i="2"/>
  <c r="N139" i="2"/>
  <c r="N11" i="2"/>
  <c r="N105" i="2"/>
  <c r="N13" i="2"/>
  <c r="N72" i="2"/>
  <c r="N18" i="2"/>
  <c r="M109" i="2"/>
  <c r="M79" i="2"/>
  <c r="N96" i="2"/>
  <c r="N118" i="2"/>
  <c r="N57" i="2"/>
  <c r="N81" i="2"/>
  <c r="N119" i="2"/>
  <c r="N111" i="2"/>
  <c r="M20" i="2"/>
  <c r="M31" i="2"/>
  <c r="M126" i="2"/>
  <c r="N126" i="2"/>
  <c r="M29" i="2"/>
  <c r="M156" i="2"/>
  <c r="N16" i="2"/>
  <c r="N136" i="2"/>
  <c r="N19" i="2"/>
  <c r="N168" i="2"/>
  <c r="M138" i="2"/>
  <c r="M27" i="2"/>
  <c r="N135" i="2"/>
  <c r="M127" i="2"/>
  <c r="N70" i="2"/>
  <c r="L69" i="2"/>
  <c r="M131" i="2"/>
  <c r="M136" i="2"/>
  <c r="M19" i="2"/>
  <c r="M155" i="2"/>
  <c r="N31" i="2"/>
  <c r="M15" i="2"/>
  <c r="M168" i="2"/>
  <c r="M75" i="2"/>
  <c r="M91" i="2"/>
  <c r="M86" i="2"/>
  <c r="M9" i="2"/>
  <c r="M141" i="2"/>
  <c r="M8" i="2"/>
  <c r="M85" i="2"/>
  <c r="N155" i="2"/>
  <c r="N75" i="2"/>
  <c r="N91" i="2"/>
  <c r="M157" i="2"/>
  <c r="N144" i="2"/>
  <c r="N147" i="2"/>
  <c r="M54" i="2"/>
  <c r="N109" i="2"/>
  <c r="M159" i="2"/>
  <c r="N8" i="2"/>
  <c r="M132" i="2"/>
  <c r="N85" i="2"/>
  <c r="N52" i="2"/>
  <c r="N79" i="2"/>
  <c r="M92" i="2"/>
  <c r="N138" i="2"/>
  <c r="N27" i="2"/>
  <c r="N30" i="2"/>
  <c r="N58" i="2"/>
  <c r="N160" i="2"/>
  <c r="N117" i="2"/>
  <c r="N24" i="2"/>
  <c r="N113" i="2"/>
  <c r="N167" i="2"/>
  <c r="M103" i="2"/>
  <c r="N103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00" i="2" l="1"/>
  <c r="S100" i="2" s="1"/>
  <c r="Q130" i="2"/>
  <c r="S130" i="2" s="1"/>
  <c r="Q209" i="2"/>
  <c r="S209" i="2" s="1"/>
  <c r="Q73" i="2"/>
  <c r="S73" i="2" s="1"/>
  <c r="Q106" i="2"/>
  <c r="S106" i="2" s="1"/>
  <c r="Q87" i="2"/>
  <c r="S87" i="2" s="1"/>
  <c r="Q7" i="2"/>
  <c r="Q120" i="2"/>
  <c r="S120" i="2" s="1"/>
  <c r="Q206" i="2"/>
  <c r="S206" i="2" s="1"/>
  <c r="Q82" i="2"/>
  <c r="S82" i="2" s="1"/>
  <c r="Q114" i="2"/>
  <c r="S114" i="2" s="1"/>
  <c r="Q6" i="2"/>
  <c r="Q208" i="2"/>
  <c r="S208" i="2" s="1"/>
  <c r="Q108" i="2"/>
  <c r="S108" i="2" s="1"/>
  <c r="Q88" i="2"/>
  <c r="S88" i="2" s="1"/>
  <c r="Q93" i="2"/>
  <c r="S93" i="2" s="1"/>
  <c r="Q170" i="2"/>
  <c r="S170" i="2" s="1"/>
  <c r="Q184" i="2"/>
  <c r="S184" i="2" s="1"/>
  <c r="Q197" i="2"/>
  <c r="S197" i="2" s="1"/>
  <c r="Q192" i="2"/>
  <c r="S192" i="2" s="1"/>
  <c r="Q174" i="2"/>
  <c r="S174" i="2" s="1"/>
  <c r="Q191" i="2"/>
  <c r="S191" i="2" s="1"/>
  <c r="Q180" i="2"/>
  <c r="S180" i="2" s="1"/>
  <c r="Q188" i="2"/>
  <c r="S188" i="2" s="1"/>
  <c r="Q198" i="2"/>
  <c r="S198" i="2" s="1"/>
  <c r="Q172" i="2"/>
  <c r="S172" i="2" s="1"/>
  <c r="Q181" i="2"/>
  <c r="S181" i="2" s="1"/>
  <c r="Q205" i="2"/>
  <c r="S205" i="2" s="1"/>
  <c r="Q202" i="2"/>
  <c r="S202" i="2" s="1"/>
  <c r="Q203" i="2"/>
  <c r="S203" i="2" s="1"/>
  <c r="Q186" i="2"/>
  <c r="S186" i="2" s="1"/>
  <c r="Q185" i="2"/>
  <c r="S185" i="2" s="1"/>
  <c r="Q173" i="2"/>
  <c r="S173" i="2" s="1"/>
  <c r="Q196" i="2"/>
  <c r="S196" i="2" s="1"/>
  <c r="Q200" i="2"/>
  <c r="S200" i="2" s="1"/>
  <c r="Q182" i="2"/>
  <c r="S182" i="2" s="1"/>
  <c r="Q199" i="2"/>
  <c r="S199" i="2" s="1"/>
  <c r="Q193" i="2"/>
  <c r="S193" i="2" s="1"/>
  <c r="Q194" i="2"/>
  <c r="S194" i="2" s="1"/>
  <c r="Q201" i="2"/>
  <c r="S201" i="2" s="1"/>
  <c r="Q183" i="2"/>
  <c r="S183" i="2" s="1"/>
  <c r="Q195" i="2"/>
  <c r="S195" i="2" s="1"/>
  <c r="Q177" i="2"/>
  <c r="S177" i="2" s="1"/>
  <c r="Q175" i="2"/>
  <c r="S175" i="2" s="1"/>
  <c r="Q179" i="2"/>
  <c r="S179" i="2" s="1"/>
  <c r="Q187" i="2"/>
  <c r="S187" i="2" s="1"/>
  <c r="Q190" i="2"/>
  <c r="S190" i="2" s="1"/>
  <c r="Q176" i="2"/>
  <c r="S176" i="2" s="1"/>
  <c r="Q207" i="2"/>
  <c r="S207" i="2" s="1"/>
  <c r="Q189" i="2"/>
  <c r="S189" i="2" s="1"/>
  <c r="Q178" i="2"/>
  <c r="S178" i="2" s="1"/>
  <c r="Q204" i="2"/>
  <c r="S204" i="2" s="1"/>
  <c r="Q171" i="2"/>
  <c r="S171" i="2" s="1"/>
  <c r="Q169" i="2"/>
  <c r="Q107" i="2"/>
  <c r="Q138" i="29"/>
  <c r="Q104" i="2"/>
  <c r="Q94" i="2"/>
  <c r="Q143" i="2"/>
  <c r="Q17" i="2"/>
  <c r="Q16" i="2"/>
  <c r="Q140" i="2"/>
  <c r="Q45" i="2"/>
  <c r="Q117" i="2"/>
  <c r="Q22" i="2"/>
  <c r="Q163" i="2"/>
  <c r="Q47" i="2"/>
  <c r="Q36" i="2"/>
  <c r="Q99" i="2"/>
  <c r="Q115" i="2"/>
  <c r="Q90" i="2"/>
  <c r="Q167" i="2"/>
  <c r="Q110" i="2"/>
  <c r="Q101" i="2"/>
  <c r="Q146" i="2"/>
  <c r="Q67" i="2"/>
  <c r="Q25" i="2"/>
  <c r="Q21" i="2"/>
  <c r="Q34" i="2"/>
  <c r="Q42" i="2"/>
  <c r="Q153" i="2"/>
  <c r="Q134" i="2"/>
  <c r="Q29" i="2"/>
  <c r="Q70" i="2"/>
  <c r="Q35" i="2"/>
  <c r="Q54" i="2"/>
  <c r="Q138" i="2"/>
  <c r="Q147" i="2"/>
  <c r="Q131" i="2"/>
  <c r="Q5" i="2"/>
  <c r="Q28" i="2"/>
  <c r="Q83" i="2"/>
  <c r="Q128" i="2"/>
  <c r="Q72" i="2"/>
  <c r="Q9" i="2"/>
  <c r="Q71" i="2"/>
  <c r="Q85" i="2"/>
  <c r="Q97" i="2"/>
  <c r="Q18" i="2"/>
  <c r="Q19" i="2"/>
  <c r="Q49" i="2"/>
  <c r="Q27" i="2"/>
  <c r="Q12" i="2"/>
  <c r="Q105" i="2"/>
  <c r="Q79" i="2"/>
  <c r="Q44" i="2"/>
  <c r="Q74" i="2"/>
  <c r="Q61" i="2"/>
  <c r="Q66" i="2"/>
  <c r="Q135" i="2"/>
  <c r="Q151" i="2"/>
  <c r="Q129" i="2"/>
  <c r="Q24" i="2"/>
  <c r="Q31" i="2"/>
  <c r="Q124" i="2"/>
  <c r="Q137" i="2"/>
  <c r="Q56" i="2"/>
  <c r="Q38" i="2"/>
  <c r="Q23" i="2"/>
  <c r="Q122" i="2"/>
  <c r="Q40" i="2"/>
  <c r="Q123" i="2"/>
  <c r="Q8" i="2"/>
  <c r="Q161" i="2"/>
  <c r="Q43" i="2"/>
  <c r="Q95" i="2"/>
  <c r="Q156" i="2"/>
  <c r="Q59" i="2"/>
  <c r="Q62" i="2"/>
  <c r="Q26" i="2"/>
  <c r="Q51" i="2"/>
  <c r="Q84" i="2"/>
  <c r="Q30" i="2"/>
  <c r="Q77" i="2"/>
  <c r="Q52" i="2"/>
  <c r="Q136" i="2"/>
  <c r="Q20" i="2"/>
  <c r="Q13" i="2"/>
  <c r="Q139" i="2"/>
  <c r="Q63" i="2"/>
  <c r="Q149" i="2"/>
  <c r="Q141" i="2"/>
  <c r="Q50" i="2"/>
  <c r="Q144" i="2"/>
  <c r="Q142" i="2"/>
  <c r="Q125" i="2"/>
  <c r="Q92" i="2"/>
  <c r="Q109" i="2"/>
  <c r="Q155" i="2"/>
  <c r="Q160" i="2"/>
  <c r="Q111" i="2"/>
  <c r="Q154" i="2"/>
  <c r="Q65" i="2"/>
  <c r="Q166" i="2"/>
  <c r="Q68" i="2"/>
  <c r="Q102" i="2"/>
  <c r="Q164" i="2"/>
  <c r="Q80" i="2"/>
  <c r="Q162" i="2"/>
  <c r="Q58" i="2"/>
  <c r="Q76" i="2"/>
  <c r="Q69" i="2"/>
  <c r="Q32" i="2"/>
  <c r="Q159" i="2"/>
  <c r="Q152" i="2"/>
  <c r="Q126" i="2"/>
  <c r="Q119" i="2"/>
  <c r="Q48" i="2"/>
  <c r="Q37" i="2"/>
  <c r="Q157" i="2"/>
  <c r="Q57" i="2"/>
  <c r="Q133" i="2"/>
  <c r="Q10" i="2"/>
  <c r="Q165" i="2"/>
  <c r="Q55" i="2"/>
  <c r="Q78" i="2"/>
  <c r="Q116" i="2"/>
  <c r="Q64" i="2"/>
  <c r="Q91" i="2"/>
  <c r="Q168" i="2"/>
  <c r="Q127" i="2"/>
  <c r="Q132" i="2"/>
  <c r="Q33" i="2"/>
  <c r="Q118" i="2"/>
  <c r="Q14" i="2"/>
  <c r="Q39" i="2"/>
  <c r="Q145" i="2"/>
  <c r="Q158" i="2"/>
  <c r="Q121" i="2"/>
  <c r="Q53" i="2"/>
  <c r="Q150" i="2"/>
  <c r="Q103" i="2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P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S150" i="2" l="1"/>
  <c r="S14" i="2"/>
  <c r="S64" i="2"/>
  <c r="S57" i="2"/>
  <c r="S152" i="2"/>
  <c r="S80" i="2"/>
  <c r="S65" i="2"/>
  <c r="S109" i="2"/>
  <c r="S20" i="2"/>
  <c r="S26" i="2"/>
  <c r="S151" i="2"/>
  <c r="S44" i="2"/>
  <c r="S19" i="2"/>
  <c r="S128" i="2"/>
  <c r="S35" i="2"/>
  <c r="S110" i="2"/>
  <c r="S16" i="2"/>
  <c r="S53" i="2"/>
  <c r="S116" i="2"/>
  <c r="S159" i="2"/>
  <c r="S164" i="2"/>
  <c r="S154" i="2"/>
  <c r="S92" i="2"/>
  <c r="S136" i="2"/>
  <c r="S62" i="2"/>
  <c r="S8" i="2"/>
  <c r="S124" i="2"/>
  <c r="S79" i="2"/>
  <c r="S18" i="2"/>
  <c r="S83" i="2"/>
  <c r="S70" i="2"/>
  <c r="S34" i="2"/>
  <c r="S167" i="2"/>
  <c r="S163" i="2"/>
  <c r="S17" i="2"/>
  <c r="S118" i="2"/>
  <c r="S78" i="2"/>
  <c r="S157" i="2"/>
  <c r="S32" i="2"/>
  <c r="S102" i="2"/>
  <c r="S125" i="2"/>
  <c r="S52" i="2"/>
  <c r="S59" i="2"/>
  <c r="S38" i="2"/>
  <c r="S31" i="2"/>
  <c r="S105" i="2"/>
  <c r="S28" i="2"/>
  <c r="S29" i="2"/>
  <c r="S21" i="2"/>
  <c r="S90" i="2"/>
  <c r="S22" i="2"/>
  <c r="S143" i="2"/>
  <c r="S121" i="2"/>
  <c r="S132" i="2"/>
  <c r="S55" i="2"/>
  <c r="S68" i="2"/>
  <c r="S111" i="2"/>
  <c r="S142" i="2"/>
  <c r="S63" i="2"/>
  <c r="S77" i="2"/>
  <c r="S123" i="2"/>
  <c r="S56" i="2"/>
  <c r="S135" i="2"/>
  <c r="S97" i="2"/>
  <c r="S5" i="2"/>
  <c r="S25" i="2"/>
  <c r="S115" i="2"/>
  <c r="S117" i="2"/>
  <c r="S94" i="2"/>
  <c r="S158" i="2"/>
  <c r="S127" i="2"/>
  <c r="S165" i="2"/>
  <c r="S37" i="2"/>
  <c r="S160" i="2"/>
  <c r="S144" i="2"/>
  <c r="S30" i="2"/>
  <c r="S156" i="2"/>
  <c r="S137" i="2"/>
  <c r="S12" i="2"/>
  <c r="S85" i="2"/>
  <c r="S131" i="2"/>
  <c r="S134" i="2"/>
  <c r="S67" i="2"/>
  <c r="S99" i="2"/>
  <c r="S45" i="2"/>
  <c r="S104" i="2"/>
  <c r="S168" i="2"/>
  <c r="S10" i="2"/>
  <c r="S48" i="2"/>
  <c r="S76" i="2"/>
  <c r="S155" i="2"/>
  <c r="S50" i="2"/>
  <c r="S139" i="2"/>
  <c r="S95" i="2"/>
  <c r="S40" i="2"/>
  <c r="S24" i="2"/>
  <c r="S66" i="2"/>
  <c r="S27" i="2"/>
  <c r="S71" i="2"/>
  <c r="S147" i="2"/>
  <c r="S146" i="2"/>
  <c r="S36" i="2"/>
  <c r="S140" i="2"/>
  <c r="S103" i="2"/>
  <c r="S145" i="2"/>
  <c r="S33" i="2"/>
  <c r="S91" i="2"/>
  <c r="S133" i="2"/>
  <c r="S119" i="2"/>
  <c r="S58" i="2"/>
  <c r="S166" i="2"/>
  <c r="S141" i="2"/>
  <c r="S13" i="2"/>
  <c r="S84" i="2"/>
  <c r="S43" i="2"/>
  <c r="S122" i="2"/>
  <c r="S129" i="2"/>
  <c r="S61" i="2"/>
  <c r="S9" i="2"/>
  <c r="S138" i="2"/>
  <c r="S153" i="2"/>
  <c r="S107" i="2"/>
  <c r="S39" i="2"/>
  <c r="S126" i="2"/>
  <c r="S162" i="2"/>
  <c r="S149" i="2"/>
  <c r="S51" i="2"/>
  <c r="S161" i="2"/>
  <c r="S23" i="2"/>
  <c r="S74" i="2"/>
  <c r="S49" i="2"/>
  <c r="S72" i="2"/>
  <c r="S54" i="2"/>
  <c r="S42" i="2"/>
  <c r="S101" i="2"/>
  <c r="S47" i="2"/>
  <c r="S169" i="2"/>
  <c r="S69" i="2"/>
  <c r="AH13" i="9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P89" i="2" l="1"/>
  <c r="Q89" i="2" s="1"/>
  <c r="P96" i="2"/>
  <c r="Q96" i="2" s="1"/>
  <c r="P41" i="2"/>
  <c r="Q41" i="2" s="1"/>
  <c r="P86" i="2"/>
  <c r="Q86" i="2" s="1"/>
  <c r="P113" i="2"/>
  <c r="Q113" i="2" s="1"/>
  <c r="P60" i="2"/>
  <c r="Q60" i="2" s="1"/>
  <c r="P75" i="2"/>
  <c r="Q75" i="2" s="1"/>
  <c r="P148" i="2"/>
  <c r="Q148" i="2" s="1"/>
  <c r="P46" i="2"/>
  <c r="Q46" i="2" s="1"/>
  <c r="P98" i="2"/>
  <c r="Q98" i="2" s="1"/>
  <c r="P11" i="2"/>
  <c r="Q11" i="2" s="1"/>
  <c r="P15" i="2"/>
  <c r="Q15" i="2" s="1"/>
  <c r="S75" i="2" l="1"/>
  <c r="S60" i="2"/>
  <c r="S113" i="2"/>
  <c r="S7" i="2"/>
  <c r="S89" i="2"/>
  <c r="S98" i="2"/>
  <c r="S86" i="2"/>
  <c r="S96" i="2"/>
  <c r="S15" i="2"/>
  <c r="S148" i="2"/>
  <c r="S11" i="2"/>
  <c r="S46" i="2"/>
  <c r="S41" i="2"/>
  <c r="P81" i="2"/>
  <c r="Q81" i="2" s="1"/>
  <c r="P112" i="2"/>
  <c r="Q112" i="2" s="1"/>
  <c r="S81" i="2" l="1"/>
  <c r="S112" i="2"/>
</calcChain>
</file>

<file path=xl/sharedStrings.xml><?xml version="1.0" encoding="utf-8"?>
<sst xmlns="http://schemas.openxmlformats.org/spreadsheetml/2006/main" count="10822" uniqueCount="2066">
  <si>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</si>
  <si>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</si>
  <si>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</si>
  <si>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</si>
  <si>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</si>
  <si>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</si>
  <si>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</si>
  <si>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</si>
  <si>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</si>
  <si>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</si>
  <si>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</si>
  <si>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</si>
  <si>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</si>
  <si>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</si>
  <si>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</si>
  <si>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</si>
  <si>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</si>
  <si>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</si>
  <si>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</si>
  <si>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</si>
  <si>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</si>
  <si>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</si>
  <si>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</si>
  <si>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</si>
  <si>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</si>
  <si>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</si>
  <si>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</si>
  <si>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</si>
  <si>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</si>
  <si>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</si>
  <si>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</si>
  <si>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</si>
  <si>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</si>
  <si>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</si>
  <si>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</si>
  <si>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</si>
  <si>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</si>
  <si>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</si>
  <si>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</si>
  <si>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</si>
  <si>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</si>
  <si>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</si>
  <si>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</si>
  <si>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</si>
  <si>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</si>
  <si>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</si>
  <si>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</si>
  <si>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</si>
  <si>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</si>
  <si>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</si>
  <si>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</si>
  <si>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</si>
  <si>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</si>
  <si>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</si>
  <si>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</si>
  <si>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</si>
  <si>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</si>
  <si>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</si>
  <si>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</si>
  <si>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</si>
  <si>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</si>
  <si>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</si>
  <si>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</si>
  <si>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</si>
  <si>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</si>
  <si>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</si>
  <si>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</si>
  <si>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</si>
  <si>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</si>
  <si>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</si>
  <si>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</si>
  <si>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</si>
  <si>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</si>
  <si>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</si>
  <si>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</si>
  <si>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</si>
  <si>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</si>
  <si>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</si>
  <si>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</si>
  <si>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</si>
  <si>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</si>
  <si>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</si>
  <si>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</si>
  <si>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</si>
  <si>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</si>
  <si>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</si>
  <si>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</si>
  <si>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</si>
  <si>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</si>
  <si>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</si>
  <si>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</si>
  <si>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</si>
  <si>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</si>
  <si>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</si>
  <si>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</si>
  <si>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</si>
  <si>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</si>
  <si>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</si>
  <si>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</si>
  <si>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</si>
  <si>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</si>
  <si>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</si>
  <si>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</si>
  <si>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</si>
  <si>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</si>
  <si>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</si>
  <si>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</si>
  <si>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</si>
  <si>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</si>
  <si>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</si>
  <si>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</si>
  <si>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</si>
  <si>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</si>
  <si>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</si>
  <si>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</si>
  <si>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</si>
  <si>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</si>
  <si>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</si>
  <si>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</si>
  <si>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</si>
  <si>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</si>
  <si>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</si>
  <si>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</si>
  <si>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</si>
  <si>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</si>
  <si>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</si>
  <si>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</si>
  <si>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</si>
  <si>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</si>
  <si>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</si>
  <si>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</si>
  <si>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</si>
  <si>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</si>
  <si>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</si>
  <si>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</si>
  <si>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</si>
  <si>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</si>
  <si>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</si>
  <si>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</si>
  <si>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</si>
  <si>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</si>
  <si>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</si>
  <si>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</si>
  <si>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</si>
  <si>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</si>
  <si>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</si>
  <si>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</si>
  <si>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</si>
  <si>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</si>
  <si>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</si>
  <si>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</si>
  <si>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</si>
  <si>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</si>
  <si>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</si>
  <si>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</si>
  <si>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</si>
  <si>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</si>
  <si>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</si>
  <si>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</si>
  <si>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</si>
  <si>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</si>
  <si>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</si>
  <si>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</si>
  <si>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</si>
  <si>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</si>
  <si>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</si>
  <si>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</si>
  <si>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</si>
  <si>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</si>
  <si>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</si>
  <si>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</si>
  <si>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</si>
  <si>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</si>
  <si>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</si>
  <si>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</si>
  <si>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</si>
  <si>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</si>
  <si>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</si>
  <si>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</si>
  <si>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</si>
  <si>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</si>
  <si>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</si>
  <si>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</si>
  <si>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</si>
  <si>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</si>
  <si>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</si>
  <si>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</si>
  <si>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</si>
  <si>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</si>
  <si>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</si>
  <si>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</si>
  <si>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</si>
  <si>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</si>
  <si>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</si>
  <si>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</si>
  <si>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</si>
  <si>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</si>
  <si>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</si>
  <si>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</si>
  <si>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</si>
  <si>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</si>
  <si>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</si>
  <si>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</si>
  <si>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</si>
  <si>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</si>
  <si>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</si>
  <si>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</si>
  <si>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</si>
  <si>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</si>
  <si>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</si>
  <si>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</si>
  <si>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</si>
  <si>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</si>
  <si>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</si>
  <si>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</si>
  <si>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</si>
  <si>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</si>
  <si>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</si>
  <si>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</si>
  <si>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</si>
  <si>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</si>
  <si>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</si>
  <si>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</si>
  <si>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</si>
  <si>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</si>
  <si>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</si>
  <si>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</si>
  <si>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</si>
  <si>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</si>
  <si>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</si>
  <si>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</si>
  <si>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</si>
  <si>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</si>
  <si>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</si>
  <si>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</si>
  <si>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</si>
  <si>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</si>
  <si>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</si>
  <si>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</si>
  <si>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</si>
  <si>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</si>
  <si>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</si>
  <si>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</si>
  <si>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</si>
  <si>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</si>
  <si>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</si>
  <si>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</si>
  <si>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</si>
  <si>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</si>
  <si>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</si>
  <si>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</si>
  <si>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</si>
  <si>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</si>
  <si>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</si>
  <si>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</si>
  <si>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</si>
  <si>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</si>
  <si>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</si>
  <si>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</si>
  <si>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</si>
  <si>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</si>
  <si>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</si>
  <si>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</si>
  <si>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</si>
  <si>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</si>
  <si>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</si>
  <si>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</si>
  <si>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</si>
  <si>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</si>
  <si>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</si>
  <si>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</si>
  <si>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</si>
  <si>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</si>
  <si>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</si>
  <si>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</si>
  <si>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</si>
  <si>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</si>
  <si>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</si>
  <si>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</si>
  <si>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</si>
  <si>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</si>
  <si>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</si>
  <si>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</si>
  <si>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</si>
  <si>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</si>
  <si>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</si>
  <si>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</si>
  <si>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</si>
  <si>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</si>
  <si>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</si>
  <si>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</si>
  <si>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</si>
  <si>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</si>
  <si>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</si>
  <si>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</si>
  <si>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</si>
  <si>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</si>
  <si>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</si>
  <si>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</si>
  <si>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</si>
  <si>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</si>
  <si>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</si>
  <si>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</si>
  <si>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</si>
  <si>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</si>
  <si>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</si>
  <si>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</si>
  <si>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</si>
  <si>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</si>
  <si>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</si>
  <si>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</si>
  <si>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</si>
  <si>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</si>
  <si>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</si>
  <si>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</si>
  <si>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</si>
  <si>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</si>
  <si>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</si>
  <si>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</si>
  <si>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</si>
  <si>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</si>
  <si>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</si>
  <si>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</si>
  <si>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</si>
  <si>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</si>
  <si>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</si>
  <si>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</si>
  <si>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</si>
  <si>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</si>
  <si>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</si>
  <si>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</si>
  <si>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</si>
  <si>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</si>
  <si>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</si>
  <si>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</si>
  <si>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</si>
  <si>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</si>
  <si>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</si>
  <si>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</si>
  <si>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</si>
  <si>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</si>
  <si>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</si>
  <si>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</si>
  <si>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</si>
  <si>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</si>
  <si>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</si>
  <si>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</si>
  <si>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</si>
  <si>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</si>
  <si>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</si>
  <si>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</si>
  <si>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</si>
  <si>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</si>
  <si>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</si>
  <si>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</si>
  <si>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</si>
  <si>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</si>
  <si>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</si>
  <si>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</si>
  <si>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</si>
  <si>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</si>
  <si>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</si>
  <si>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</si>
  <si>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</si>
  <si>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</si>
  <si>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</si>
  <si>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</si>
  <si>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</si>
  <si>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</si>
  <si>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</si>
  <si>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</si>
  <si>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</si>
  <si>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</si>
  <si>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</si>
  <si>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</si>
  <si>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</si>
  <si>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</si>
  <si>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</si>
  <si>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</si>
  <si>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</si>
  <si>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</si>
  <si>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</si>
  <si>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</si>
  <si>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</si>
  <si>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</si>
  <si>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</si>
  <si>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</si>
  <si>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</si>
  <si>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</si>
  <si>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</si>
  <si>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</si>
  <si>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</si>
  <si>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</si>
  <si>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</si>
  <si>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</si>
  <si>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</si>
  <si>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</si>
  <si>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</si>
  <si>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</si>
  <si>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</si>
  <si>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</si>
  <si>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</si>
  <si>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</si>
  <si>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</si>
  <si>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</si>
  <si>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</si>
  <si>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</si>
  <si>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</si>
  <si>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</si>
  <si>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</si>
  <si>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</si>
  <si>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</si>
  <si>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</si>
  <si>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</si>
  <si>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</si>
  <si>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</si>
  <si>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</si>
  <si>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</si>
  <si>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</si>
  <si>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</si>
  <si>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</si>
  <si>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</si>
  <si>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</si>
  <si>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</si>
  <si>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</si>
  <si>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</si>
  <si>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</si>
  <si>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</si>
  <si>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</si>
  <si>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</si>
  <si>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</si>
  <si>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</si>
  <si>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</si>
  <si>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</si>
  <si>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</si>
  <si>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</si>
  <si>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</si>
  <si>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</si>
  <si>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</si>
  <si>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</si>
  <si>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</si>
  <si>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</si>
  <si>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</si>
  <si>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</si>
  <si>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</si>
  <si>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</si>
  <si>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</si>
  <si>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</si>
  <si>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</si>
  <si>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</si>
  <si>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</si>
  <si>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</si>
  <si>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</si>
  <si>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</si>
  <si>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</si>
  <si>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</si>
  <si>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</si>
  <si>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</si>
  <si>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</si>
  <si>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</si>
  <si>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</si>
  <si>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</si>
  <si>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</si>
  <si>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</si>
  <si>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</si>
  <si>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</si>
  <si>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</si>
  <si>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</si>
  <si>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</si>
  <si>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</si>
  <si>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</si>
  <si>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</si>
  <si>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</si>
  <si>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</si>
  <si>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</si>
  <si>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</si>
  <si>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</si>
  <si>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</si>
  <si>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</si>
  <si>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</si>
  <si>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</si>
  <si>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</si>
  <si>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</si>
  <si>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</si>
  <si>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</si>
  <si>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</si>
  <si>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</si>
  <si>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</si>
  <si>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</si>
  <si>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</si>
  <si>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</si>
  <si>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</si>
  <si>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</si>
  <si>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</si>
  <si>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</si>
  <si>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</si>
  <si>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</si>
  <si>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</si>
  <si>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</si>
  <si>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</si>
  <si>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</si>
  <si>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</si>
  <si>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</si>
  <si>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</si>
  <si>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</si>
  <si>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</si>
  <si>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</si>
  <si>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</si>
  <si>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</si>
  <si>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</si>
  <si>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</si>
  <si>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</si>
  <si>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</si>
  <si>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</si>
  <si>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</si>
  <si>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</si>
  <si>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</si>
  <si>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</si>
  <si>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</si>
  <si>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</si>
  <si>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</si>
  <si>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</si>
  <si>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</si>
  <si>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</si>
  <si>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</si>
  <si>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</si>
  <si>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</si>
  <si>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</si>
  <si>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</si>
  <si>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</si>
  <si>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</si>
  <si>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</si>
  <si>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</si>
  <si>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</si>
  <si>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</si>
  <si>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</si>
  <si>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</si>
  <si>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</si>
  <si>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</si>
  <si>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</si>
  <si>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</si>
  <si>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</si>
  <si>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</si>
  <si>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</si>
  <si>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</si>
  <si>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</si>
  <si>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</si>
  <si>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</si>
  <si>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</si>
  <si>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</si>
  <si>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</si>
  <si>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</si>
  <si>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</si>
  <si>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</si>
  <si>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</si>
  <si>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</si>
  <si>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</si>
  <si>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</si>
  <si>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</si>
  <si>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</si>
  <si>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</si>
  <si>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</si>
  <si>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</si>
  <si>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</si>
  <si>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</si>
  <si>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</si>
  <si>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</si>
  <si>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</si>
  <si>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</si>
  <si>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</si>
  <si>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</si>
  <si>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</si>
  <si>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</si>
  <si>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</si>
  <si>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</si>
  <si>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</si>
  <si>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</si>
  <si>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</si>
  <si>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</si>
  <si>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</si>
  <si>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</si>
  <si>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</si>
  <si>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</si>
  <si>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</si>
  <si>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</si>
  <si>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</si>
  <si>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</si>
  <si>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</si>
  <si>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</si>
  <si>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</si>
  <si>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</si>
  <si>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</si>
  <si>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</si>
  <si>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</si>
  <si>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</si>
  <si>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</si>
  <si>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</si>
  <si>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</si>
  <si>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</si>
  <si>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</si>
  <si>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</si>
  <si>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</si>
  <si>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</si>
  <si>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</si>
  <si>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</si>
  <si>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</si>
  <si>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</si>
  <si>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</si>
  <si>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</si>
  <si>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</si>
  <si>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</si>
  <si>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</si>
  <si>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</si>
  <si>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</si>
  <si>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</si>
  <si>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</si>
  <si>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</si>
  <si>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</si>
  <si>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</si>
  <si>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</si>
  <si>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</si>
  <si>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</si>
  <si>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</si>
  <si>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</si>
  <si>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</si>
  <si>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</si>
  <si>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</si>
  <si>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</si>
  <si>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</si>
  <si>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</si>
  <si>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</si>
  <si>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</si>
  <si>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</si>
  <si>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</si>
  <si>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</si>
  <si>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</si>
  <si>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</si>
  <si>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</si>
  <si>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</si>
  <si>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</si>
  <si>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</si>
  <si>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</si>
  <si>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</si>
  <si>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</si>
  <si>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</si>
  <si>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</si>
  <si>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</si>
  <si>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</si>
  <si>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</si>
  <si>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</si>
  <si>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</si>
  <si>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</si>
  <si>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</si>
  <si>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</si>
  <si>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</si>
  <si>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</si>
  <si>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</si>
  <si>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</si>
  <si>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</si>
  <si>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</si>
  <si>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</si>
  <si>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</si>
  <si>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</si>
  <si>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</si>
  <si>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</si>
  <si>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</si>
  <si>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</si>
  <si>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</si>
  <si>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</si>
  <si>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</si>
  <si>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</si>
  <si>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</si>
  <si>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</si>
  <si>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</si>
  <si>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</si>
  <si>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</si>
  <si>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</si>
  <si>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</si>
  <si>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</si>
  <si>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</si>
  <si>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</si>
  <si>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</si>
  <si>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</si>
  <si>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</si>
  <si>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</si>
  <si>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</si>
  <si>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</si>
  <si>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</si>
  <si>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</si>
  <si>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</si>
  <si>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</si>
  <si>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</si>
  <si>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</si>
  <si>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</si>
  <si>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</si>
  <si>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</si>
  <si>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</si>
  <si>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</si>
  <si>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</si>
  <si>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</si>
  <si>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</si>
  <si>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</si>
  <si>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</si>
  <si>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</si>
  <si>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</si>
  <si>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</si>
  <si>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</si>
  <si>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</si>
  <si>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</si>
  <si>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</si>
  <si>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</si>
  <si>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</si>
  <si>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</si>
  <si>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</si>
  <si>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</si>
  <si>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</si>
  <si>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</si>
  <si>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</si>
  <si>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</si>
  <si>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</si>
  <si>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</si>
  <si>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</si>
  <si>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</si>
  <si>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</si>
  <si>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</si>
  <si>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</si>
  <si>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</si>
  <si>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</si>
  <si>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</si>
  <si>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</si>
  <si>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</si>
  <si>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</si>
  <si>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</si>
  <si>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</si>
  <si>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</si>
  <si>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</si>
  <si>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</si>
  <si>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</si>
  <si>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</si>
  <si>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</si>
  <si>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</si>
  <si>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</si>
  <si>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</si>
  <si>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</si>
  <si>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</si>
  <si>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</si>
  <si>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</si>
  <si>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</si>
  <si>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</si>
  <si>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</si>
  <si>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</si>
  <si>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</si>
  <si>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</si>
  <si>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</si>
  <si>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</si>
  <si>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</si>
  <si>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</si>
  <si>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</si>
  <si>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</si>
  <si>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</si>
  <si>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</si>
  <si>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</si>
  <si>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</si>
  <si>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</si>
  <si>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</si>
  <si>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</si>
  <si>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</si>
  <si>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</si>
  <si>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</si>
  <si>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</si>
  <si>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</si>
  <si>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</si>
  <si>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</si>
  <si>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</si>
  <si>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</si>
  <si>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</si>
  <si>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</si>
  <si>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</si>
  <si>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</si>
  <si>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</si>
  <si>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</si>
  <si>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</si>
  <si>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</si>
  <si>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</si>
  <si>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</si>
  <si>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</si>
  <si>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</si>
  <si>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</si>
  <si>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</si>
  <si>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</si>
  <si>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</si>
  <si>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</si>
  <si>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</si>
  <si>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</si>
  <si>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</si>
  <si>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</si>
  <si>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</si>
  <si>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</si>
  <si>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</si>
  <si>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</si>
  <si>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</si>
  <si>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</si>
  <si>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</si>
  <si>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</si>
  <si>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</si>
  <si>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</si>
  <si>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</si>
  <si>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</si>
  <si>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</si>
  <si>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</si>
  <si>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</si>
  <si>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</si>
  <si>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</si>
  <si>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</si>
  <si>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</si>
  <si>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</si>
  <si>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</si>
  <si>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</si>
  <si>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</si>
  <si>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</si>
  <si>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</si>
  <si>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</si>
  <si>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</si>
  <si>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</si>
  <si>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</si>
  <si>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</si>
  <si>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</si>
  <si>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</si>
  <si>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</si>
  <si>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</si>
  <si>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</si>
  <si>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</si>
  <si>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</si>
  <si>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</si>
  <si>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</si>
  <si>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</si>
  <si>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</si>
  <si>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</si>
  <si>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</si>
  <si>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</si>
  <si>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</si>
  <si>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</si>
  <si>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</si>
  <si>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</si>
  <si>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</si>
  <si>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</si>
  <si>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</si>
  <si>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</si>
  <si>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</si>
  <si>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</si>
  <si>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</si>
  <si>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</si>
  <si>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</si>
  <si>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</si>
  <si>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</si>
  <si>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</si>
  <si>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</si>
  <si>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</si>
  <si>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</si>
  <si>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</si>
  <si>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</si>
  <si>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</si>
  <si>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</si>
  <si>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</si>
  <si>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</si>
  <si>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</si>
  <si>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</si>
  <si>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</si>
  <si>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</si>
  <si>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</si>
  <si>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</si>
  <si>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</si>
  <si>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</si>
  <si>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</si>
  <si>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</si>
  <si>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</si>
  <si>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</si>
  <si>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</si>
  <si>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</si>
  <si>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</si>
  <si>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</si>
  <si>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</si>
  <si>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</si>
  <si>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</si>
  <si>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</si>
  <si>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</si>
  <si>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</si>
  <si>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</si>
  <si>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</si>
  <si>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</si>
  <si>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</si>
  <si>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</si>
  <si>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</si>
  <si>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</si>
  <si>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</si>
  <si>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</si>
  <si>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</si>
  <si>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</si>
  <si>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</si>
  <si>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</si>
  <si>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</si>
  <si>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</si>
  <si>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</si>
  <si>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</si>
  <si>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</si>
  <si>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</si>
  <si>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</si>
  <si>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</si>
  <si>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</si>
  <si>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</si>
  <si>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</si>
  <si>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</si>
  <si>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</si>
  <si>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</si>
  <si>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</si>
  <si>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</si>
  <si>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</si>
  <si>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</si>
  <si>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</si>
  <si>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</si>
  <si>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</si>
  <si>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</si>
  <si>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</si>
  <si>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</si>
  <si>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</si>
  <si>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</si>
  <si>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</si>
  <si>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</si>
  <si>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</si>
  <si>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</si>
  <si>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</si>
  <si>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</si>
  <si>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</si>
  <si>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</si>
  <si>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</si>
  <si>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</si>
  <si>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</si>
  <si>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</si>
  <si>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</si>
  <si>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</si>
  <si>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</si>
  <si>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</si>
  <si>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</si>
  <si>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</si>
  <si>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</si>
  <si>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</si>
  <si>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</si>
  <si>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</si>
  <si>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</si>
  <si>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</si>
  <si>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</si>
  <si>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</si>
  <si>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</si>
  <si>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</si>
  <si>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</si>
  <si>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</si>
  <si>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</si>
  <si>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</si>
  <si>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</si>
  <si>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</si>
  <si>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</si>
  <si>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</si>
  <si>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</si>
  <si>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</si>
  <si>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</si>
  <si>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</si>
  <si>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</si>
  <si>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</si>
  <si>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</si>
  <si>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</si>
  <si>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</si>
  <si>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</si>
  <si>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</si>
  <si>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</si>
  <si>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</si>
  <si>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</si>
  <si>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</si>
  <si>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</si>
  <si>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</si>
  <si>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</si>
  <si>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</si>
  <si>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</si>
  <si>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</si>
  <si>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</si>
  <si>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</si>
  <si>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</si>
  <si>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</si>
  <si>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</si>
  <si>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</si>
  <si>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</si>
  <si>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</si>
  <si>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</si>
  <si>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</si>
  <si>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</si>
  <si>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</si>
  <si>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</si>
  <si>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</si>
  <si>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</si>
  <si>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</si>
  <si>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</si>
  <si>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</si>
  <si>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</si>
  <si>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</si>
  <si>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</si>
  <si>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</si>
  <si>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</si>
  <si>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</si>
  <si>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</si>
  <si>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</si>
  <si>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</si>
  <si>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</si>
  <si>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</si>
  <si>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</si>
  <si>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</si>
  <si>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</si>
  <si>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</si>
  <si>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</si>
  <si>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</si>
  <si>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</si>
  <si>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</si>
  <si>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</si>
  <si>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</si>
  <si>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</si>
  <si>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</si>
  <si>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</si>
  <si>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</si>
  <si>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</si>
  <si>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</si>
  <si>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</si>
  <si>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</si>
  <si>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</si>
  <si>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</si>
  <si>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</si>
  <si>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</si>
  <si>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</si>
  <si>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</si>
  <si>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</si>
  <si>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</si>
  <si>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</si>
  <si>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</si>
  <si>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</si>
  <si>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</si>
  <si>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</si>
  <si>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</si>
  <si>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</si>
  <si>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</si>
  <si>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</si>
  <si>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</si>
  <si>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</si>
  <si>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</si>
  <si>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</si>
  <si>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</si>
  <si>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</si>
  <si>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</si>
  <si>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</si>
  <si>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</si>
  <si>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</si>
  <si>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</si>
  <si>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</si>
  <si>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</si>
  <si>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</si>
  <si>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</si>
  <si>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</si>
  <si>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</si>
  <si>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</si>
  <si>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</si>
  <si>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</si>
  <si>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</si>
  <si>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</si>
  <si>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</si>
  <si>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</si>
  <si>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</si>
  <si>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</si>
  <si>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</si>
  <si>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</si>
  <si>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</si>
  <si>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</si>
  <si>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</si>
  <si>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</si>
  <si>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</si>
  <si>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</si>
  <si>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</si>
  <si>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</si>
  <si>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</si>
  <si>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</si>
  <si>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</si>
  <si>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</si>
  <si>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</si>
  <si>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</si>
  <si>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</si>
  <si>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</si>
  <si>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</si>
  <si>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</si>
  <si>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</si>
  <si>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</si>
  <si>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</si>
  <si>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</si>
  <si>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</si>
  <si>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</si>
  <si>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</si>
  <si>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</si>
  <si>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</si>
  <si>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</si>
  <si>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</si>
  <si>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</si>
  <si>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</si>
  <si>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</si>
  <si>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</si>
  <si>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</si>
  <si>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</si>
  <si>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</si>
  <si>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</si>
  <si>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</si>
  <si>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</si>
  <si>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</si>
  <si>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</si>
  <si>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</si>
  <si>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</si>
  <si>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</si>
  <si>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</si>
  <si>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</si>
  <si>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</si>
  <si>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</si>
  <si>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</si>
  <si>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</si>
  <si>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</si>
  <si>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</si>
  <si>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</si>
  <si>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</si>
  <si>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</si>
  <si>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</si>
  <si>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</si>
  <si>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</si>
  <si>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</si>
  <si>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</si>
  <si>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</si>
  <si>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</si>
  <si>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</si>
  <si>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</si>
  <si>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</si>
  <si>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</si>
  <si>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</si>
  <si>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</si>
  <si>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</si>
  <si>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</si>
  <si>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</si>
  <si>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</si>
  <si>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</si>
  <si>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</si>
  <si>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</si>
  <si>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</si>
  <si>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</si>
  <si>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</si>
  <si>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</si>
  <si>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</si>
  <si>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</si>
  <si>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</si>
  <si>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</si>
  <si>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</si>
  <si>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</si>
  <si>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</si>
  <si>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</si>
  <si>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</si>
  <si>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</si>
  <si>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</si>
  <si>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</si>
  <si>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</si>
  <si>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</si>
  <si>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</si>
  <si>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</si>
  <si>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</si>
  <si>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</si>
  <si>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</si>
  <si>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</si>
  <si>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</si>
  <si>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</si>
  <si>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</si>
  <si>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</si>
  <si>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</si>
  <si>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</si>
  <si>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</si>
  <si>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</si>
  <si>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</si>
  <si>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</si>
  <si>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</si>
  <si>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</si>
  <si>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</si>
  <si>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</si>
  <si>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</si>
  <si>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</si>
  <si>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</si>
  <si>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</si>
  <si>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</si>
  <si>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</si>
  <si>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</si>
  <si>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</si>
  <si>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</si>
  <si>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</si>
  <si>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</si>
  <si>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</si>
  <si>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</si>
  <si>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</si>
  <si>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</si>
  <si>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</si>
  <si>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</si>
  <si>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</si>
  <si>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</si>
  <si>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</si>
  <si>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</si>
  <si>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</si>
  <si>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</si>
  <si>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</si>
  <si>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</si>
  <si>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</si>
  <si>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</si>
  <si>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</si>
  <si>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</si>
  <si>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</si>
  <si>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</si>
  <si>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</si>
  <si>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</si>
  <si>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</si>
  <si>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</si>
  <si>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</si>
  <si>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</si>
  <si>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</si>
  <si>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</si>
  <si>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</si>
  <si>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</si>
  <si>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</si>
  <si>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</si>
  <si>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</si>
  <si>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</si>
  <si>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</si>
  <si>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</si>
  <si>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</si>
  <si>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</si>
  <si>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</si>
  <si>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</si>
  <si>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</si>
  <si>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</si>
  <si>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</si>
  <si>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</si>
  <si>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</si>
  <si>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</si>
  <si>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</si>
  <si>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</si>
  <si>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</si>
  <si>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</si>
  <si>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</si>
  <si>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</si>
  <si>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</si>
  <si>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</si>
  <si>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</si>
  <si>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</si>
  <si>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</si>
  <si>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</si>
  <si>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</si>
  <si>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</si>
  <si>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</si>
  <si>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</si>
  <si>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</si>
  <si>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</si>
  <si>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</si>
  <si>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</si>
  <si>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</si>
  <si>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</si>
  <si>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</si>
  <si>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</si>
  <si>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</si>
  <si>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</si>
  <si>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</si>
  <si>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</si>
  <si>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</si>
  <si>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</si>
  <si>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</si>
  <si>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</si>
  <si>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</si>
  <si>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</si>
  <si>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</si>
  <si>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</si>
  <si>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</si>
  <si>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</si>
  <si>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</si>
  <si>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</si>
  <si>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</si>
  <si>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</si>
  <si>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</si>
  <si>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</si>
  <si>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</si>
  <si>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</si>
  <si>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</si>
  <si>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</si>
  <si>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</si>
  <si>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</si>
  <si>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</si>
  <si>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</si>
  <si>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</si>
  <si>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</si>
  <si>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</si>
  <si>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</si>
  <si>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</si>
  <si>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</si>
  <si>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</si>
  <si>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</si>
  <si>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</si>
  <si>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</si>
  <si>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</si>
  <si>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</si>
  <si>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</si>
  <si>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</si>
  <si>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</si>
  <si>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</si>
  <si>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</si>
  <si>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</si>
  <si>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</si>
  <si>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</si>
  <si>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</si>
  <si>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</si>
  <si>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</si>
  <si>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</si>
  <si>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</si>
  <si>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</si>
  <si>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</si>
  <si>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</si>
  <si>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</si>
  <si>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</si>
  <si>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</si>
  <si>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</si>
  <si>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</si>
  <si>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</si>
  <si>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</si>
  <si>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</si>
  <si>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</si>
  <si>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</si>
  <si>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</si>
  <si>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</si>
  <si>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</si>
  <si>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</si>
  <si>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</si>
  <si>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</si>
  <si>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</si>
  <si>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</si>
  <si>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</si>
  <si>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</si>
  <si>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</si>
  <si>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</si>
  <si>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</si>
  <si>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</si>
  <si>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</si>
  <si>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</si>
  <si>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</si>
  <si>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</si>
  <si>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</si>
  <si>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</si>
  <si>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</si>
  <si>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</si>
  <si>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</si>
  <si>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</si>
  <si>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</si>
  <si>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</si>
  <si>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</si>
  <si>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</si>
  <si>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</si>
  <si>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</si>
  <si>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</si>
  <si>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</si>
  <si>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</si>
  <si>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</si>
  <si>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</si>
  <si>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</si>
  <si>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</si>
  <si>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</si>
  <si>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</si>
  <si>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</si>
  <si>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</si>
  <si>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</si>
  <si>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</si>
  <si>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</si>
  <si>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</si>
  <si>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</si>
  <si>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</si>
  <si>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</si>
  <si>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</si>
  <si>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</si>
  <si>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</si>
  <si>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</si>
  <si>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</si>
  <si>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</si>
  <si>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</si>
  <si>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</si>
  <si>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</si>
  <si>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</si>
  <si>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</si>
  <si>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</si>
  <si>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</si>
  <si>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</si>
  <si>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</si>
  <si>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</si>
  <si>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</si>
  <si>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</si>
  <si>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</si>
  <si>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</si>
  <si>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</si>
  <si>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</si>
  <si>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</si>
  <si>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</si>
  <si>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</si>
  <si>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</si>
  <si>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</si>
  <si>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</si>
  <si>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</si>
  <si>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</si>
  <si>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</si>
  <si>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</si>
  <si>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</si>
  <si>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</si>
  <si>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</si>
  <si>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</si>
  <si>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</si>
  <si>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</si>
  <si>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</si>
  <si>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</si>
  <si>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</si>
  <si>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</si>
  <si>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</si>
  <si>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</si>
  <si>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</si>
  <si>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</si>
  <si>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</si>
  <si>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</si>
  <si>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</si>
  <si>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</si>
  <si>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</si>
  <si>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</si>
  <si>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</si>
  <si>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</si>
  <si>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</si>
  <si>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</si>
  <si>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</si>
  <si>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</si>
  <si>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</si>
  <si>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</si>
  <si>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</si>
  <si>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</si>
  <si>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</si>
  <si>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</si>
  <si>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</si>
  <si>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</si>
  <si>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</si>
  <si>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</si>
  <si>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</si>
  <si>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</si>
  <si>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</si>
  <si>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</si>
  <si>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</si>
  <si>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</si>
  <si>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</si>
  <si>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</si>
  <si>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</si>
  <si>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</si>
  <si>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</si>
  <si>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</si>
  <si>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</si>
  <si>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</si>
  <si>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</si>
  <si>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</si>
  <si>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</si>
  <si>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</si>
  <si>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</si>
  <si>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</si>
  <si>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</si>
  <si>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</si>
  <si>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</si>
  <si>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</si>
  <si>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</si>
  <si>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</si>
  <si>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</si>
  <si>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</si>
  <si>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</si>
  <si>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</si>
  <si>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</si>
  <si>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</si>
  <si>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</si>
  <si>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</si>
  <si>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</si>
  <si>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</si>
  <si>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</si>
  <si>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</si>
  <si>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</si>
  <si>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</si>
  <si>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</si>
  <si>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</si>
  <si>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</si>
  <si>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</si>
  <si>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</si>
  <si>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</si>
  <si>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</si>
  <si>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</si>
  <si>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</si>
  <si>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</si>
  <si>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</si>
  <si>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</si>
  <si>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</si>
  <si>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</si>
  <si>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</si>
  <si>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</si>
  <si>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</si>
  <si>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</si>
  <si>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</si>
  <si>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</si>
  <si>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</si>
  <si>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</si>
  <si>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</si>
  <si>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</si>
  <si>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</si>
  <si>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</si>
  <si>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</si>
  <si>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</si>
  <si>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</si>
  <si>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</si>
  <si>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</si>
  <si>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</si>
  <si>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</si>
  <si>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</si>
  <si>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</si>
  <si>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</si>
  <si>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</si>
  <si>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</si>
  <si>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</si>
  <si>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</si>
  <si>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</si>
  <si>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</si>
  <si>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</si>
  <si>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</si>
  <si>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</si>
  <si>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</si>
  <si>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</si>
  <si>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</si>
  <si>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</si>
  <si>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</si>
  <si>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</si>
  <si>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</si>
  <si>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</si>
  <si>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</si>
  <si>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</si>
  <si>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</si>
  <si>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</si>
  <si>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</si>
  <si>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</si>
  <si>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</si>
  <si>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</si>
  <si>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</si>
  <si>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</si>
  <si>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</si>
  <si>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</si>
  <si>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</si>
  <si>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</si>
  <si>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</si>
  <si>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</si>
  <si>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</si>
  <si>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</si>
  <si>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</si>
  <si>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</si>
  <si>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</si>
  <si>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</si>
  <si>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</si>
  <si>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</si>
  <si>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</si>
  <si>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</si>
  <si>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</si>
  <si>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</si>
  <si>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</si>
  <si>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</si>
  <si>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</si>
  <si>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</si>
  <si>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</si>
  <si>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</si>
  <si>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</si>
  <si>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</si>
  <si>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</si>
  <si>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</si>
  <si>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</si>
  <si>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</si>
  <si>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</si>
  <si>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</si>
  <si>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</si>
  <si>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</si>
  <si>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</si>
  <si>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</si>
  <si>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</si>
  <si>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</si>
  <si>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</si>
  <si>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</si>
  <si>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</si>
  <si>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</si>
  <si>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</si>
  <si>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</si>
  <si>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</si>
  <si>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</si>
  <si>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</si>
  <si>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</si>
  <si>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</si>
  <si>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</si>
  <si>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</si>
  <si>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</si>
  <si>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</si>
  <si>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</si>
  <si>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</si>
  <si>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</si>
  <si>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</si>
  <si>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</si>
  <si>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</si>
  <si>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</si>
  <si>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</si>
  <si>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</si>
  <si>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</si>
  <si>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</si>
  <si>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</si>
  <si>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</si>
  <si>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</si>
  <si>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</si>
  <si>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</si>
  <si>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</si>
  <si>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</si>
  <si>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</si>
  <si>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</si>
  <si>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</si>
  <si>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</si>
  <si>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</si>
  <si>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</si>
  <si>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</si>
  <si>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</si>
  <si>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</si>
  <si>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</si>
  <si>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</si>
  <si>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</si>
  <si>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</si>
  <si>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</si>
  <si>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</si>
  <si>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</si>
  <si>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</si>
  <si>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</si>
  <si>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</si>
  <si>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</si>
  <si>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</si>
  <si>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</si>
  <si>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</si>
  <si>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</si>
  <si>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</si>
  <si>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</si>
  <si>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</si>
  <si>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</si>
  <si>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</si>
  <si>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</si>
  <si>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</si>
  <si>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</si>
  <si>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</si>
  <si>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</si>
  <si>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</si>
  <si>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</si>
  <si>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</si>
  <si>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</si>
  <si>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</si>
  <si>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</si>
  <si>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</si>
  <si>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</si>
  <si>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</si>
  <si>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</si>
  <si>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</si>
  <si>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</si>
  <si>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</si>
  <si>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</si>
  <si>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</si>
  <si>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</si>
  <si>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</si>
  <si>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</si>
  <si>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</si>
  <si>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</si>
  <si>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</si>
  <si>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</si>
  <si>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</si>
  <si>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</si>
  <si>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</si>
  <si>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</si>
  <si>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</si>
  <si>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</si>
  <si>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</si>
  <si>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</si>
  <si>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</si>
  <si>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</si>
  <si>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</si>
  <si>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</si>
  <si>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</si>
  <si>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</si>
  <si>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</si>
  <si>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</si>
  <si>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</si>
  <si>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</si>
  <si>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</si>
  <si>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</si>
  <si>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</si>
  <si>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</si>
  <si>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</si>
  <si>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</si>
  <si>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</si>
  <si>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</si>
  <si>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</si>
  <si>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</si>
  <si>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</si>
  <si>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</si>
  <si>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</si>
  <si>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</si>
  <si>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</si>
  <si>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</si>
  <si>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</si>
  <si>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</si>
  <si>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</si>
  <si>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</si>
  <si>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</si>
  <si>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</si>
  <si>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</si>
  <si>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</si>
  <si>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</si>
  <si>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</si>
  <si>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</si>
  <si>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</si>
  <si>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</si>
  <si>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</si>
  <si>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</si>
  <si>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</si>
  <si>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</si>
  <si>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</si>
  <si>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</si>
  <si>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</si>
  <si>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</si>
  <si>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</si>
  <si>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</si>
  <si>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</si>
  <si>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</si>
  <si>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</si>
  <si>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</si>
  <si>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</si>
  <si>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</si>
  <si>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</si>
  <si>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</si>
  <si>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</si>
  <si>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</si>
  <si>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</si>
  <si>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</si>
  <si>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</si>
  <si>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</si>
  <si>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</si>
  <si>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</si>
  <si>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</si>
  <si>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</si>
  <si>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</si>
  <si>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</si>
  <si>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</si>
  <si>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</si>
  <si>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</si>
  <si>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</si>
  <si>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</si>
  <si>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</si>
  <si>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</si>
  <si>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</si>
  <si>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</si>
  <si>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</si>
  <si>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</si>
  <si>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</si>
  <si>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</si>
  <si>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</si>
  <si>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</si>
  <si>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</si>
  <si>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</si>
  <si>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</si>
  <si>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</si>
  <si>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</si>
  <si>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</si>
  <si>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</si>
  <si>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</si>
  <si>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</si>
  <si>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</si>
  <si>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</si>
  <si>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</si>
  <si>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</si>
  <si>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</si>
  <si>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</si>
  <si>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</si>
  <si>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</si>
  <si>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</si>
  <si>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</si>
  <si>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Chote Tara ka Bada Gadar S2</t>
  </si>
  <si>
    <t>Resort</t>
  </si>
  <si>
    <t>Sanai Choughade</t>
  </si>
  <si>
    <t>Odia</t>
  </si>
  <si>
    <t>English, Hindi</t>
  </si>
  <si>
    <t>English, Hindi, Telugu</t>
  </si>
  <si>
    <t>Tamil, Telugu</t>
  </si>
  <si>
    <t>Kannada, Malayalam, Tamil, Telugu</t>
  </si>
  <si>
    <t>English, Hindi, Tamil, Telugu</t>
  </si>
  <si>
    <t>Hindi, Kannada, Malayalam, Tamil, Telugu</t>
  </si>
  <si>
    <t>Bengali, Hindi, Kannada, Marathi, Tamil, Telugu</t>
  </si>
  <si>
    <t>Bengali, Hindi, Kannada, Malayalam, Marathi, Tamil, Telugu</t>
  </si>
  <si>
    <t>Bengali, Hindi, Marathi, Tamil, Telugu</t>
  </si>
  <si>
    <t>Kannada, Malayalam, Telugu</t>
  </si>
  <si>
    <t>Bangla, Bhojpuri, English, Haryanvi, Hindi, Kannada, Tamil, Telugu</t>
  </si>
  <si>
    <t>Bangali, Hindi, Kannada, Malayalam, Marathi, Tamil, Telugu</t>
  </si>
  <si>
    <t>Bengali, English, Hindi, Kannada, Marathi, Tamil, Telugu</t>
  </si>
  <si>
    <t>Bengali, English, Hindi, Kannada, Malayalam, Tamil, Telugu</t>
  </si>
  <si>
    <t>Hindi, Tamil, Telugu</t>
  </si>
  <si>
    <t>Hindi, Malayalam, Tamil, Telugu</t>
  </si>
  <si>
    <t>English, Hindi, Marathi, Tamil, Telugu</t>
  </si>
  <si>
    <t>English, Hindi, Kannada, Malayalam, Tamil, Telugu</t>
  </si>
  <si>
    <t>English, Tamil, Telugu</t>
  </si>
  <si>
    <t>Hindi, Marathi</t>
  </si>
  <si>
    <t>Hindi, Tamil</t>
  </si>
  <si>
    <t>Kannada, Malayalam, Tamil, Telugu, Telugu</t>
  </si>
  <si>
    <t>English, Hindi, Kannada, Tamil, Telugu</t>
  </si>
  <si>
    <t>English, Gujarati, Hindi, Kannada, Malayalam, Marathi, Tamil, Telugu</t>
  </si>
  <si>
    <t>English, Telugu</t>
  </si>
  <si>
    <t>English, Hindi, Tamil</t>
  </si>
  <si>
    <t>Bengali, Bhojpuri, English, Hindi, Kannada, Marathi, Odia, Punjabi, Tamil, Telugu</t>
  </si>
  <si>
    <t>Hindi, Kannada, Tamil, Telugu</t>
  </si>
  <si>
    <t>English, Hindi, Malayalam</t>
  </si>
  <si>
    <t>Bengali, Bhojpuri, English, Haryanvi, Hindi, Kannada, Malayalam, Marathi, Tamil, Telugu</t>
  </si>
  <si>
    <t>Bengali, Hindi, Kannada, Punjabi, Tamil, Telugu</t>
  </si>
  <si>
    <t>Bengali, Hindi, Kannada, Malayalam, Tamil, Telugu</t>
  </si>
  <si>
    <t>English, Hindi, Punjabi</t>
  </si>
  <si>
    <t>Bengali, Bhojpuri, Gujarati, Haryanvi, Hindi, Kannada, Malayalam, Marathi, Odia, Rajasthani, Tamil, Telugu</t>
  </si>
  <si>
    <t>Hui Gumm Yaadein Ek Doctor,Do Zindagiyaan</t>
  </si>
  <si>
    <t>Gyaarah Gyaarah</t>
  </si>
  <si>
    <t>Cook With Comali S6</t>
  </si>
  <si>
    <t>Lagnanantar Hoilach Prem</t>
  </si>
  <si>
    <t>Mannat</t>
  </si>
  <si>
    <t>Mass Jathara</t>
  </si>
  <si>
    <t>Laughter Chefs S3</t>
  </si>
  <si>
    <t>Reality Tv</t>
  </si>
  <si>
    <t>AVOD Originals Shows</t>
  </si>
  <si>
    <t>Off Campus</t>
  </si>
  <si>
    <t>Berlin and the Lady with an Ermine</t>
  </si>
  <si>
    <t>Breathe</t>
  </si>
  <si>
    <t>Kartavya?</t>
  </si>
  <si>
    <t>The WONDERfools</t>
  </si>
  <si>
    <t>Campus Beats Season 6</t>
  </si>
  <si>
    <t>Kaptaan</t>
  </si>
  <si>
    <t>Famously Fit With Sophie</t>
  </si>
  <si>
    <t>Sankalp</t>
  </si>
  <si>
    <t>Bindiya Ke Bahubali Season 2</t>
  </si>
  <si>
    <t>Bhay: The Gaurav Tiwari Mystery</t>
  </si>
  <si>
    <t>From S4</t>
  </si>
  <si>
    <t>Glory</t>
  </si>
  <si>
    <t>Undekhi S4</t>
  </si>
  <si>
    <t>Tum Ho Naa - Ghar Ki Superstar</t>
  </si>
  <si>
    <t>The Kerala Story 2</t>
  </si>
  <si>
    <t>Assi</t>
  </si>
  <si>
    <t>The Bengal Files</t>
  </si>
  <si>
    <t>Hathras 16 days</t>
  </si>
  <si>
    <t>Fab5</t>
  </si>
  <si>
    <t>Mithya S2</t>
  </si>
  <si>
    <t>Devkhel</t>
  </si>
  <si>
    <t>English,Hindi</t>
  </si>
  <si>
    <t>Drama,Horrror</t>
  </si>
  <si>
    <t>English,Hindi,Punjabi</t>
  </si>
  <si>
    <t>Arafta</t>
  </si>
  <si>
    <t>Don'T Look Up</t>
  </si>
  <si>
    <t>Mansion House Mallesh</t>
  </si>
  <si>
    <t>Mardaani 3</t>
  </si>
  <si>
    <t>Matsya Kaand</t>
  </si>
  <si>
    <t>Oh Humnava Tum Dena Saath Mera</t>
  </si>
  <si>
    <t>Pandian Stores 2</t>
  </si>
  <si>
    <t>Ronth</t>
  </si>
  <si>
    <t>Shadow And Bone</t>
  </si>
  <si>
    <t>Sound Of Metal</t>
  </si>
  <si>
    <t>The Umbrella Academy</t>
  </si>
  <si>
    <t>Tula Japnar Aahe</t>
  </si>
  <si>
    <t>Desi Bling</t>
  </si>
  <si>
    <t>System</t>
  </si>
  <si>
    <t>Vimal Khanna</t>
  </si>
  <si>
    <t>13 Reasons Why</t>
  </si>
  <si>
    <t>A Thursday</t>
  </si>
  <si>
    <t>Annagraa Vostaru</t>
  </si>
  <si>
    <t>Tv CatchUp</t>
  </si>
  <si>
    <t>Annamalai Kudumbam</t>
  </si>
  <si>
    <t>Azhagae Azhagu</t>
  </si>
  <si>
    <t>Bell Bottom</t>
  </si>
  <si>
    <t>Bluey</t>
  </si>
  <si>
    <t>Cadaver</t>
  </si>
  <si>
    <t>Cartel</t>
  </si>
  <si>
    <t>Chinna Marumagal</t>
  </si>
  <si>
    <t>City Of Dreams</t>
  </si>
  <si>
    <t>Cooku With Jathirathnalu</t>
  </si>
  <si>
    <t>Half Marriage</t>
  </si>
  <si>
    <t>Invincible S4</t>
  </si>
  <si>
    <t>Kakuda</t>
  </si>
  <si>
    <t>Karthigai Deepam</t>
  </si>
  <si>
    <t>Laapataa Ladies</t>
  </si>
  <si>
    <t>Laxmi Niwas</t>
  </si>
  <si>
    <t>Lighter &amp; Princess</t>
  </si>
  <si>
    <t>Maa Ka Sum</t>
  </si>
  <si>
    <t>Mann</t>
  </si>
  <si>
    <t>Me Savitribai Jyotirao Phule</t>
  </si>
  <si>
    <t>Modern Love Mumbai</t>
  </si>
  <si>
    <t>Mohiniyattam</t>
  </si>
  <si>
    <t>Mrs</t>
  </si>
  <si>
    <t>My Deskmate</t>
  </si>
  <si>
    <t>Naagin s7</t>
  </si>
  <si>
    <t>Operation Valentine</t>
  </si>
  <si>
    <t>Prathi Chaya</t>
  </si>
  <si>
    <t>Saath Nibhaana Saathiya 2</t>
  </si>
  <si>
    <t>Sarkaar 6</t>
  </si>
  <si>
    <t>Savalyachi Janu Savali</t>
  </si>
  <si>
    <t>Siragadikka Aasai</t>
  </si>
  <si>
    <t>Sisu</t>
  </si>
  <si>
    <t>Snow White</t>
  </si>
  <si>
    <t>Suyodhana</t>
  </si>
  <si>
    <t>Tarini</t>
  </si>
  <si>
    <t>Thai Maaman</t>
  </si>
  <si>
    <t>The Crown</t>
  </si>
  <si>
    <t>The Door</t>
  </si>
  <si>
    <t>The Falcon And The Winter Soldier</t>
  </si>
  <si>
    <t>The Housemaid</t>
  </si>
  <si>
    <t>The Lion King</t>
  </si>
  <si>
    <t>Thimmarajupalli Tv</t>
  </si>
  <si>
    <t>True Beauty</t>
  </si>
  <si>
    <t>Trial By Fire</t>
  </si>
  <si>
    <t>Vaazha: Biopic Of A Billion Boys</t>
  </si>
  <si>
    <t>Wandavision</t>
  </si>
  <si>
    <t xml:space="preserve">Tamil </t>
  </si>
  <si>
    <t>English;Hindi</t>
  </si>
  <si>
    <t>Teen Drama, Mystery</t>
  </si>
  <si>
    <t>Spy Thriller, Action</t>
  </si>
  <si>
    <t>Dance, Drama</t>
  </si>
  <si>
    <t>Animation, Family</t>
  </si>
  <si>
    <t>Thriller, Mystery</t>
  </si>
  <si>
    <t>Political Thriller</t>
  </si>
  <si>
    <t>Reality, Comedy</t>
  </si>
  <si>
    <t>Reality, Cooking</t>
  </si>
  <si>
    <t>Sci‑Fi, Comedy</t>
  </si>
  <si>
    <t>Animation, Superhero</t>
  </si>
  <si>
    <t>Romance, Youth Drama</t>
  </si>
  <si>
    <t>Romance, Anthology</t>
  </si>
  <si>
    <t>Fantasy, Supernatural</t>
  </si>
  <si>
    <t>Reality, Talk Show</t>
  </si>
  <si>
    <t>Action, War</t>
  </si>
  <si>
    <t>Family, Comedy</t>
  </si>
  <si>
    <t>Reality, Game Show</t>
  </si>
  <si>
    <t>Fantasy, Adventure</t>
  </si>
  <si>
    <t>Drama, Music</t>
  </si>
  <si>
    <t>Mythology, Drama</t>
  </si>
  <si>
    <t>Historical Drama</t>
  </si>
  <si>
    <t>Superhero, Action</t>
  </si>
  <si>
    <t>Animation, Adventure</t>
  </si>
  <si>
    <t>Superhero, Fantasy</t>
  </si>
  <si>
    <t>Spider-Noir</t>
  </si>
  <si>
    <t>Kara</t>
  </si>
  <si>
    <t>Super Duperr</t>
  </si>
  <si>
    <t>Action,Adevnture,Drama</t>
  </si>
  <si>
    <t>Satrangi: Badle ka Khel</t>
  </si>
  <si>
    <t>Hoppers</t>
  </si>
  <si>
    <t>Made in India – A Titan Story</t>
  </si>
  <si>
    <t>Michael Jackson: The Verdict</t>
  </si>
  <si>
    <t>Godzilla x Kong: The New Empire</t>
  </si>
  <si>
    <t>Maa Behen</t>
  </si>
  <si>
    <t>Meg 2: The Trench</t>
  </si>
  <si>
    <t>The Nun II</t>
  </si>
  <si>
    <t>The Witness</t>
  </si>
  <si>
    <t>Brown</t>
  </si>
  <si>
    <t>Dacoit</t>
  </si>
  <si>
    <t>Gullak Season 5</t>
  </si>
  <si>
    <t>Office Romance</t>
  </si>
  <si>
    <t>Patriot</t>
  </si>
  <si>
    <t>Teach You a Lesson</t>
  </si>
  <si>
    <t>The Marked Woman</t>
  </si>
  <si>
    <t>The Pyramid Scheme</t>
  </si>
  <si>
    <t>Ugly Story</t>
  </si>
  <si>
    <t>Valavaara</t>
  </si>
  <si>
    <t>Kannada,Tamil,Telugu,Malayalam</t>
  </si>
  <si>
    <t>Hindi,Kannada,Tamil,Telugu,Malayalam</t>
  </si>
  <si>
    <t>Kannada,Tamil,Telugu</t>
  </si>
  <si>
    <t>Hastinapur Ke Veer</t>
  </si>
  <si>
    <t>India's Best Dancer</t>
  </si>
  <si>
    <t>Manvat Murders</t>
  </si>
  <si>
    <t>KD: The Devil</t>
  </si>
  <si>
    <t>Love Mocktail 3</t>
  </si>
  <si>
    <t>Unbroken- The Unmukt Chand Story</t>
  </si>
  <si>
    <t xml:space="preserve"> </t>
  </si>
  <si>
    <t>WK-23,2026</t>
  </si>
  <si>
    <t>JioHotstar</t>
  </si>
  <si>
    <t>Blood Sisters Season 2</t>
  </si>
  <si>
    <t>USA 94: Brazil’s Return to Glory</t>
  </si>
  <si>
    <t>Asterix vs. Caesar</t>
  </si>
  <si>
    <t>Boss</t>
  </si>
  <si>
    <t>Kaise Banta Hai</t>
  </si>
  <si>
    <t>Nilgiris – A Shared Wilderness</t>
  </si>
  <si>
    <t>A' Team Tri-Nation Series</t>
  </si>
  <si>
    <t>Alice and Steve</t>
  </si>
  <si>
    <t>An American Rhapsody</t>
  </si>
  <si>
    <t>Below Deck Mediterranean Season 11</t>
  </si>
  <si>
    <t>Best of the World with Antoni Porowski</t>
  </si>
  <si>
    <t>Boonie Bears: Time Twist</t>
  </si>
  <si>
    <t>Chashme Buddoor</t>
  </si>
  <si>
    <t>Divine Hunter</t>
  </si>
  <si>
    <t>Dog 51</t>
  </si>
  <si>
    <t>Macherla Niyojakavargam</t>
  </si>
  <si>
    <t>Michael</t>
  </si>
  <si>
    <t>Norway: The Dark Horse</t>
  </si>
  <si>
    <t>Rangeela</t>
  </si>
  <si>
    <t>Sports Illustrated Swimsuit Runway Show</t>
  </si>
  <si>
    <t>Tales of the Blood Moon</t>
  </si>
  <si>
    <t>Tony Hinchcliffe: Man of the People</t>
  </si>
  <si>
    <t>Colors of Evil: Black</t>
  </si>
  <si>
    <t>Every Year After</t>
  </si>
  <si>
    <t>My Family Season 2</t>
  </si>
  <si>
    <t>Outlast: The Jungle</t>
  </si>
  <si>
    <t>The Rest Is Football</t>
  </si>
  <si>
    <t>Bongee Bear and the Kingdom of Rhythm</t>
  </si>
  <si>
    <t>Double Happiness</t>
  </si>
  <si>
    <t>DSP Dev 2</t>
  </si>
  <si>
    <t>Jalebi Rocks</t>
  </si>
  <si>
    <t>Latency</t>
  </si>
  <si>
    <t>Over Your Dead Body</t>
  </si>
  <si>
    <t>Sweet Magnolias S5</t>
  </si>
  <si>
    <t>The Evil Lawyer</t>
  </si>
  <si>
    <t>The Magic Behind Island Tower</t>
  </si>
  <si>
    <t>Viral Hit</t>
  </si>
  <si>
    <t>Bhooth Bangla</t>
  </si>
  <si>
    <t>Color Out of Space</t>
  </si>
  <si>
    <t>Dridam</t>
  </si>
  <si>
    <t>Eli Manning Presents: The Undercovers – Ryan Blaney</t>
  </si>
  <si>
    <t>FIFA World Cup 2026</t>
  </si>
  <si>
    <t>Find Your Friends</t>
  </si>
  <si>
    <t>Hampi</t>
  </si>
  <si>
    <t>I Am Frankelda</t>
  </si>
  <si>
    <t>ICC Women's T20 World Cup 2026</t>
  </si>
  <si>
    <t>Karuppu</t>
  </si>
  <si>
    <t>Maa Hai Na</t>
  </si>
  <si>
    <t>Maternal Instinct</t>
  </si>
  <si>
    <t>Nanu Karunakara</t>
  </si>
  <si>
    <t>Pedda Pitta</t>
  </si>
  <si>
    <t>Peeli</t>
  </si>
  <si>
    <t>Pittardosh</t>
  </si>
  <si>
    <t>Pongala</t>
  </si>
  <si>
    <t>R.L. Stine’s Pumpkinhead</t>
  </si>
  <si>
    <t>Raakh</t>
  </si>
  <si>
    <t>Ramani Kalyanam</t>
  </si>
  <si>
    <t>Shelter</t>
  </si>
  <si>
    <t>Squatters: Get the F*** Out of My House</t>
  </si>
  <si>
    <t>Sshhh S3</t>
  </si>
  <si>
    <t>Taarkata</t>
  </si>
  <si>
    <t>The Polygamist</t>
  </si>
  <si>
    <t>Vicky Cristina Barcelona</t>
  </si>
  <si>
    <t>Vivah Siddhi</t>
  </si>
  <si>
    <t>Hindi,English,Bengali,Malayalam</t>
  </si>
  <si>
    <t>Hindi,Tamil,Malayalam,Kannada</t>
  </si>
  <si>
    <t>Adevnture,Animation,Comedy</t>
  </si>
  <si>
    <t>Crime,Sci-Fi,Thriller</t>
  </si>
  <si>
    <t>Veerabhadrudu</t>
  </si>
  <si>
    <t>If Wishes Could Kill</t>
  </si>
  <si>
    <t>Hindi,English,Telugu</t>
  </si>
  <si>
    <t>WK-23 Reach</t>
  </si>
  <si>
    <t>India vs Afghanistan Test 2026</t>
  </si>
  <si>
    <t>Hindi,English,Tamil,Telugu,Malayalam,Kannada,Bengali,Harayanvi,Bhojpuri</t>
  </si>
  <si>
    <t>WK-23'2026</t>
  </si>
  <si>
    <t>WK-23, 2026 ( 06 Jun 2026 - 12 Jun 2026 )</t>
  </si>
  <si>
    <t>Dhurandhar: The Revenge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</si>
</sst>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3" xfId="1" applyNumberFormat="1" applyFont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15" fontId="0" fillId="0" borderId="13" xfId="1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wrapText="1"/>
    </xf>
    <xf numFmtId="2" fontId="0" fillId="0" borderId="13" xfId="0" applyNumberFormat="1" applyBorder="1" applyAlignment="1">
      <alignment horizontal="center" vertical="center"/>
    </xf>
    <xf numFmtId="9" fontId="1" fillId="0" borderId="13" xfId="1" applyFont="1" applyFill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0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15" fontId="0" fillId="0" borderId="13" xfId="0" quotePrefix="1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15" fontId="16" fillId="0" borderId="13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9525</xdr:colOff>
      <xdr:row>63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9525</xdr:colOff>
      <xdr:row>87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6</xdr:col>
      <xdr:colOff>9525</xdr:colOff>
      <xdr:row>160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5"/>
  <sheetViews>
    <sheetView showGridLines="0" tabSelected="1" zoomScale="90" zoomScaleNormal="90" workbookViewId="0"/>
  </sheetViews>
  <sheetFormatPr defaultRowHeight="15" x14ac:dyDescent="0.25"/>
  <cols>
    <col min="1" max="1" width="11.85546875" bestFit="1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36.85546875" bestFit="1" customWidth="1"/>
    <col min="8" max="8" width="36.85546875" customWidth="1"/>
    <col min="9" max="9" width="28.7109375" bestFit="1" customWidth="1"/>
    <col min="10" max="10" width="12.5703125" bestFit="1" customWidth="1"/>
    <col min="11" max="11" width="5.28515625" bestFit="1" customWidth="1"/>
    <col min="12" max="12" width="7.140625" bestFit="1" customWidth="1"/>
  </cols>
  <sheetData>
    <row r="1" spans="1:12" x14ac:dyDescent="0.25">
      <c r="A1" t="s">
        <v>1986</v>
      </c>
      <c r="F1" s="72" t="s">
        <v>2064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22" t="s">
        <v>205</v>
      </c>
      <c r="B6" s="122" t="s">
        <v>257</v>
      </c>
      <c r="C6" s="122" t="s">
        <v>204</v>
      </c>
      <c r="D6" s="122" t="s">
        <v>430</v>
      </c>
      <c r="E6" s="122" t="s">
        <v>210</v>
      </c>
      <c r="F6" s="122" t="s">
        <v>206</v>
      </c>
      <c r="G6" s="122" t="s">
        <v>207</v>
      </c>
      <c r="H6" s="122" t="s">
        <v>13</v>
      </c>
      <c r="I6" s="122" t="s">
        <v>209</v>
      </c>
      <c r="J6" s="122" t="s">
        <v>208</v>
      </c>
      <c r="K6" s="122" t="s">
        <v>253</v>
      </c>
      <c r="L6" s="122" t="s">
        <v>857</v>
      </c>
    </row>
    <row r="7" spans="1:12" x14ac:dyDescent="0.25">
      <c r="A7" s="46" t="s">
        <v>1987</v>
      </c>
      <c r="B7" s="46" t="s">
        <v>85</v>
      </c>
      <c r="C7" s="46" t="s">
        <v>1988</v>
      </c>
      <c r="D7" s="46" t="s">
        <v>859</v>
      </c>
      <c r="E7" s="46" t="s">
        <v>211</v>
      </c>
      <c r="F7" s="46" t="s">
        <v>213</v>
      </c>
      <c r="G7" s="46" t="s">
        <v>2065</v>
      </c>
      <c r="H7" s="46" t="s">
        <v>246</v>
      </c>
      <c r="I7" s="46" t="s">
        <v>90</v>
      </c>
      <c r="J7" s="53">
        <v>46177</v>
      </c>
      <c r="K7" s="46">
        <v>1</v>
      </c>
      <c r="L7" s="101">
        <v>81.315472382560088</v>
      </c>
    </row>
    <row r="8" spans="1:12" x14ac:dyDescent="0.25">
      <c r="A8" s="46" t="s">
        <v>1987</v>
      </c>
      <c r="B8" s="46" t="s">
        <v>85</v>
      </c>
      <c r="C8" s="46" t="s">
        <v>1988</v>
      </c>
      <c r="D8" s="46" t="s">
        <v>437</v>
      </c>
      <c r="E8" s="46" t="s">
        <v>211</v>
      </c>
      <c r="F8" s="46" t="s">
        <v>902</v>
      </c>
      <c r="G8" s="46" t="s">
        <v>2034</v>
      </c>
      <c r="H8" s="46" t="s">
        <v>378</v>
      </c>
      <c r="I8" s="46" t="s">
        <v>902</v>
      </c>
      <c r="J8" s="107">
        <v>46185</v>
      </c>
      <c r="K8" s="46">
        <f>+K7+1</f>
        <v>2</v>
      </c>
      <c r="L8" s="123">
        <v>38.448857611588046</v>
      </c>
    </row>
    <row r="9" spans="1:12" x14ac:dyDescent="0.25">
      <c r="A9" s="46" t="s">
        <v>1987</v>
      </c>
      <c r="B9" s="46" t="s">
        <v>85</v>
      </c>
      <c r="C9" s="46" t="s">
        <v>1988</v>
      </c>
      <c r="D9" s="46" t="s">
        <v>437</v>
      </c>
      <c r="E9" s="46" t="s">
        <v>211</v>
      </c>
      <c r="F9" s="46" t="s">
        <v>902</v>
      </c>
      <c r="G9" s="46" t="s">
        <v>2061</v>
      </c>
      <c r="H9" s="46" t="s">
        <v>2062</v>
      </c>
      <c r="I9" s="46" t="s">
        <v>902</v>
      </c>
      <c r="J9" s="53">
        <v>46179</v>
      </c>
      <c r="K9" s="46">
        <f t="shared" ref="K9:K56" si="0">+K8+1</f>
        <v>3</v>
      </c>
      <c r="L9" s="123">
        <v>34.483036307235416</v>
      </c>
    </row>
    <row r="10" spans="1:12" x14ac:dyDescent="0.25">
      <c r="A10" s="46" t="s">
        <v>1987</v>
      </c>
      <c r="B10" s="46" t="s">
        <v>85</v>
      </c>
      <c r="C10" s="46" t="s">
        <v>1988</v>
      </c>
      <c r="D10" s="46" t="s">
        <v>456</v>
      </c>
      <c r="E10" s="46" t="s">
        <v>211</v>
      </c>
      <c r="F10" s="46" t="s">
        <v>1882</v>
      </c>
      <c r="G10" s="46" t="s">
        <v>1836</v>
      </c>
      <c r="H10" s="46" t="s">
        <v>19</v>
      </c>
      <c r="I10" s="46" t="s">
        <v>1936</v>
      </c>
      <c r="J10" s="107">
        <v>45983</v>
      </c>
      <c r="K10" s="46">
        <f t="shared" si="0"/>
        <v>4</v>
      </c>
      <c r="L10" s="101">
        <v>24.995687045204104</v>
      </c>
    </row>
    <row r="11" spans="1:12" x14ac:dyDescent="0.25">
      <c r="A11" s="46" t="s">
        <v>1987</v>
      </c>
      <c r="B11" s="46" t="s">
        <v>85</v>
      </c>
      <c r="C11" s="98" t="s">
        <v>64</v>
      </c>
      <c r="D11" s="46" t="s">
        <v>1012</v>
      </c>
      <c r="E11" s="98" t="s">
        <v>211</v>
      </c>
      <c r="F11" s="46" t="s">
        <v>215</v>
      </c>
      <c r="G11" s="120" t="s">
        <v>1974</v>
      </c>
      <c r="H11" s="119" t="s">
        <v>19</v>
      </c>
      <c r="I11" s="98" t="s">
        <v>138</v>
      </c>
      <c r="J11" s="106">
        <v>46178</v>
      </c>
      <c r="K11" s="46">
        <f t="shared" si="0"/>
        <v>5</v>
      </c>
      <c r="L11" s="101">
        <v>23.304529276015344</v>
      </c>
    </row>
    <row r="12" spans="1:12" x14ac:dyDescent="0.25">
      <c r="A12" s="46" t="s">
        <v>1987</v>
      </c>
      <c r="B12" s="46" t="s">
        <v>85</v>
      </c>
      <c r="C12" s="98" t="s">
        <v>1988</v>
      </c>
      <c r="D12" s="98" t="s">
        <v>456</v>
      </c>
      <c r="E12" s="98" t="s">
        <v>211</v>
      </c>
      <c r="F12" s="46" t="s">
        <v>1882</v>
      </c>
      <c r="G12" s="98" t="s">
        <v>1906</v>
      </c>
      <c r="H12" s="98" t="s">
        <v>19</v>
      </c>
      <c r="I12" s="98" t="s">
        <v>1942</v>
      </c>
      <c r="J12" s="106">
        <v>46018</v>
      </c>
      <c r="K12" s="46">
        <f t="shared" si="0"/>
        <v>6</v>
      </c>
      <c r="L12" s="123">
        <v>23.044410272643901</v>
      </c>
    </row>
    <row r="13" spans="1:12" x14ac:dyDescent="0.25">
      <c r="A13" s="46" t="s">
        <v>1987</v>
      </c>
      <c r="B13" s="46" t="s">
        <v>85</v>
      </c>
      <c r="C13" s="98" t="s">
        <v>1988</v>
      </c>
      <c r="D13" s="98" t="s">
        <v>456</v>
      </c>
      <c r="E13" s="98" t="s">
        <v>211</v>
      </c>
      <c r="F13" s="46" t="s">
        <v>1882</v>
      </c>
      <c r="G13" s="98" t="s">
        <v>1784</v>
      </c>
      <c r="H13" s="119" t="s">
        <v>19</v>
      </c>
      <c r="I13" s="98" t="s">
        <v>950</v>
      </c>
      <c r="J13" s="106">
        <v>44025</v>
      </c>
      <c r="K13" s="46">
        <f t="shared" si="0"/>
        <v>7</v>
      </c>
      <c r="L13" s="123">
        <v>20.880304048041161</v>
      </c>
    </row>
    <row r="14" spans="1:12" x14ac:dyDescent="0.25">
      <c r="A14" s="46" t="s">
        <v>1987</v>
      </c>
      <c r="B14" s="46" t="s">
        <v>85</v>
      </c>
      <c r="C14" s="46" t="s">
        <v>64</v>
      </c>
      <c r="D14" s="98" t="s">
        <v>1012</v>
      </c>
      <c r="E14" s="46" t="s">
        <v>211</v>
      </c>
      <c r="F14" s="46" t="s">
        <v>215</v>
      </c>
      <c r="G14" s="46" t="s">
        <v>1850</v>
      </c>
      <c r="H14" s="46" t="s">
        <v>1861</v>
      </c>
      <c r="I14" s="46" t="s">
        <v>1862</v>
      </c>
      <c r="J14" s="107">
        <v>46131</v>
      </c>
      <c r="K14" s="46">
        <f t="shared" si="0"/>
        <v>8</v>
      </c>
      <c r="L14" s="123">
        <v>20.448244624975001</v>
      </c>
    </row>
    <row r="15" spans="1:12" x14ac:dyDescent="0.25">
      <c r="A15" s="46" t="s">
        <v>1987</v>
      </c>
      <c r="B15" s="46" t="s">
        <v>85</v>
      </c>
      <c r="C15" s="46" t="s">
        <v>64</v>
      </c>
      <c r="D15" s="46" t="s">
        <v>859</v>
      </c>
      <c r="E15" s="46" t="s">
        <v>211</v>
      </c>
      <c r="F15" s="46" t="s">
        <v>213</v>
      </c>
      <c r="G15" s="46" t="s">
        <v>2035</v>
      </c>
      <c r="H15" s="46" t="s">
        <v>2054</v>
      </c>
      <c r="I15" s="46" t="s">
        <v>78</v>
      </c>
      <c r="J15" s="53">
        <v>46185</v>
      </c>
      <c r="K15" s="46">
        <f t="shared" si="0"/>
        <v>9</v>
      </c>
      <c r="L15" s="123">
        <v>19.208313389238899</v>
      </c>
    </row>
    <row r="16" spans="1:12" x14ac:dyDescent="0.25">
      <c r="A16" s="46" t="s">
        <v>1987</v>
      </c>
      <c r="B16" s="46" t="s">
        <v>85</v>
      </c>
      <c r="C16" s="46" t="s">
        <v>123</v>
      </c>
      <c r="D16" s="46" t="s">
        <v>859</v>
      </c>
      <c r="E16" s="46" t="s">
        <v>211</v>
      </c>
      <c r="F16" s="46" t="s">
        <v>213</v>
      </c>
      <c r="G16" s="46">
        <v>29</v>
      </c>
      <c r="H16" s="46" t="s">
        <v>453</v>
      </c>
      <c r="I16" s="46" t="s">
        <v>145</v>
      </c>
      <c r="J16" s="53">
        <v>46178</v>
      </c>
      <c r="K16" s="46">
        <f t="shared" si="0"/>
        <v>10</v>
      </c>
      <c r="L16" s="123">
        <v>18.7465782050363</v>
      </c>
    </row>
    <row r="17" spans="1:12" x14ac:dyDescent="0.25">
      <c r="A17" s="46" t="s">
        <v>1987</v>
      </c>
      <c r="B17" s="46" t="s">
        <v>85</v>
      </c>
      <c r="C17" s="98" t="s">
        <v>123</v>
      </c>
      <c r="D17" s="98" t="s">
        <v>1012</v>
      </c>
      <c r="E17" s="98" t="s">
        <v>211</v>
      </c>
      <c r="F17" s="46" t="s">
        <v>215</v>
      </c>
      <c r="G17" s="98" t="s">
        <v>1972</v>
      </c>
      <c r="H17" s="98" t="s">
        <v>28</v>
      </c>
      <c r="I17" s="98" t="s">
        <v>92</v>
      </c>
      <c r="J17" s="106">
        <v>46178</v>
      </c>
      <c r="K17" s="46">
        <f t="shared" si="0"/>
        <v>11</v>
      </c>
      <c r="L17" s="123">
        <v>18.36498813640776</v>
      </c>
    </row>
    <row r="18" spans="1:12" x14ac:dyDescent="0.25">
      <c r="A18" s="46" t="s">
        <v>1987</v>
      </c>
      <c r="B18" s="46" t="s">
        <v>85</v>
      </c>
      <c r="C18" s="98" t="s">
        <v>1988</v>
      </c>
      <c r="D18" s="98" t="s">
        <v>1012</v>
      </c>
      <c r="E18" s="119" t="s">
        <v>211</v>
      </c>
      <c r="F18" s="46" t="s">
        <v>215</v>
      </c>
      <c r="G18" s="98" t="s">
        <v>1993</v>
      </c>
      <c r="H18" s="98" t="s">
        <v>19</v>
      </c>
      <c r="I18" s="98" t="s">
        <v>1837</v>
      </c>
      <c r="J18" s="106">
        <v>46181</v>
      </c>
      <c r="K18" s="46">
        <f t="shared" si="0"/>
        <v>12</v>
      </c>
      <c r="L18" s="123">
        <v>17.476356242835362</v>
      </c>
    </row>
    <row r="19" spans="1:12" x14ac:dyDescent="0.25">
      <c r="A19" s="46" t="s">
        <v>1987</v>
      </c>
      <c r="B19" s="46" t="s">
        <v>85</v>
      </c>
      <c r="C19" s="46" t="s">
        <v>64</v>
      </c>
      <c r="D19" s="98" t="s">
        <v>859</v>
      </c>
      <c r="E19" s="46" t="s">
        <v>211</v>
      </c>
      <c r="F19" s="46" t="s">
        <v>213</v>
      </c>
      <c r="G19" s="46" t="s">
        <v>1968</v>
      </c>
      <c r="H19" s="46" t="s">
        <v>19</v>
      </c>
      <c r="I19" s="46" t="s">
        <v>97</v>
      </c>
      <c r="J19" s="53">
        <v>46178</v>
      </c>
      <c r="K19" s="46">
        <f t="shared" si="0"/>
        <v>13</v>
      </c>
      <c r="L19" s="123">
        <v>17.319269817000102</v>
      </c>
    </row>
    <row r="20" spans="1:12" x14ac:dyDescent="0.25">
      <c r="A20" s="46" t="s">
        <v>1987</v>
      </c>
      <c r="B20" s="46" t="s">
        <v>85</v>
      </c>
      <c r="C20" s="46" t="s">
        <v>1988</v>
      </c>
      <c r="D20" s="46" t="s">
        <v>859</v>
      </c>
      <c r="E20" s="46" t="s">
        <v>211</v>
      </c>
      <c r="F20" s="46" t="s">
        <v>213</v>
      </c>
      <c r="G20" s="46" t="s">
        <v>1994</v>
      </c>
      <c r="H20" s="46" t="s">
        <v>378</v>
      </c>
      <c r="I20" s="46" t="s">
        <v>158</v>
      </c>
      <c r="J20" s="53">
        <v>46181</v>
      </c>
      <c r="K20" s="46">
        <f t="shared" si="0"/>
        <v>14</v>
      </c>
      <c r="L20" s="123">
        <v>17.102509974644661</v>
      </c>
    </row>
    <row r="21" spans="1:12" x14ac:dyDescent="0.25">
      <c r="A21" s="46" t="s">
        <v>1987</v>
      </c>
      <c r="B21" s="46" t="s">
        <v>85</v>
      </c>
      <c r="C21" s="46" t="s">
        <v>1988</v>
      </c>
      <c r="D21" s="98" t="s">
        <v>859</v>
      </c>
      <c r="E21" s="46" t="s">
        <v>211</v>
      </c>
      <c r="F21" s="46" t="s">
        <v>213</v>
      </c>
      <c r="G21" s="46" t="s">
        <v>2028</v>
      </c>
      <c r="H21" s="46" t="s">
        <v>246</v>
      </c>
      <c r="I21" s="46" t="s">
        <v>202</v>
      </c>
      <c r="J21" s="53">
        <v>46185</v>
      </c>
      <c r="K21" s="46">
        <f t="shared" si="0"/>
        <v>15</v>
      </c>
      <c r="L21" s="123">
        <v>16.514824804518501</v>
      </c>
    </row>
    <row r="22" spans="1:12" x14ac:dyDescent="0.25">
      <c r="A22" s="46" t="s">
        <v>1987</v>
      </c>
      <c r="B22" s="46" t="s">
        <v>85</v>
      </c>
      <c r="C22" s="98" t="s">
        <v>1988</v>
      </c>
      <c r="D22" s="119" t="s">
        <v>1012</v>
      </c>
      <c r="E22" s="119" t="s">
        <v>211</v>
      </c>
      <c r="F22" s="46" t="s">
        <v>215</v>
      </c>
      <c r="G22" s="119" t="s">
        <v>1996</v>
      </c>
      <c r="H22" s="119" t="s">
        <v>20</v>
      </c>
      <c r="I22" s="119" t="s">
        <v>145</v>
      </c>
      <c r="J22" s="121">
        <v>46182</v>
      </c>
      <c r="K22" s="46">
        <f t="shared" si="0"/>
        <v>16</v>
      </c>
      <c r="L22" s="123">
        <v>16.371275392241696</v>
      </c>
    </row>
    <row r="23" spans="1:12" x14ac:dyDescent="0.25">
      <c r="A23" s="46" t="s">
        <v>1987</v>
      </c>
      <c r="B23" s="46" t="s">
        <v>85</v>
      </c>
      <c r="C23" s="46" t="s">
        <v>123</v>
      </c>
      <c r="D23" s="46" t="s">
        <v>859</v>
      </c>
      <c r="E23" s="46" t="s">
        <v>211</v>
      </c>
      <c r="F23" s="46" t="s">
        <v>213</v>
      </c>
      <c r="G23" s="53" t="s">
        <v>1963</v>
      </c>
      <c r="H23" s="46" t="s">
        <v>28</v>
      </c>
      <c r="I23" s="46" t="s">
        <v>130</v>
      </c>
      <c r="J23" s="53">
        <v>46177</v>
      </c>
      <c r="K23" s="46">
        <f t="shared" si="0"/>
        <v>17</v>
      </c>
      <c r="L23" s="123">
        <v>16.256739439348461</v>
      </c>
    </row>
    <row r="24" spans="1:12" x14ac:dyDescent="0.25">
      <c r="A24" s="46" t="s">
        <v>1987</v>
      </c>
      <c r="B24" s="46" t="s">
        <v>85</v>
      </c>
      <c r="C24" s="46" t="s">
        <v>123</v>
      </c>
      <c r="D24" s="46" t="s">
        <v>859</v>
      </c>
      <c r="E24" s="46" t="s">
        <v>211</v>
      </c>
      <c r="F24" s="46" t="s">
        <v>213</v>
      </c>
      <c r="G24" s="46" t="s">
        <v>1962</v>
      </c>
      <c r="H24" s="46" t="s">
        <v>28</v>
      </c>
      <c r="I24" s="46" t="s">
        <v>381</v>
      </c>
      <c r="J24" s="53">
        <v>46177</v>
      </c>
      <c r="K24" s="46">
        <f t="shared" si="0"/>
        <v>18</v>
      </c>
      <c r="L24" s="123">
        <v>16.151857774219188</v>
      </c>
    </row>
    <row r="25" spans="1:12" x14ac:dyDescent="0.25">
      <c r="A25" s="46" t="s">
        <v>1987</v>
      </c>
      <c r="B25" s="46" t="s">
        <v>85</v>
      </c>
      <c r="C25" s="46" t="s">
        <v>132</v>
      </c>
      <c r="D25" s="46" t="s">
        <v>1012</v>
      </c>
      <c r="E25" s="46" t="s">
        <v>211</v>
      </c>
      <c r="F25" s="46" t="s">
        <v>215</v>
      </c>
      <c r="G25" s="46" t="s">
        <v>1969</v>
      </c>
      <c r="H25" s="46" t="s">
        <v>19</v>
      </c>
      <c r="I25" s="46" t="s">
        <v>138</v>
      </c>
      <c r="J25" s="53">
        <v>46178</v>
      </c>
      <c r="K25" s="46">
        <f t="shared" si="0"/>
        <v>19</v>
      </c>
      <c r="L25" s="123">
        <v>15.8239280301498</v>
      </c>
    </row>
    <row r="26" spans="1:12" x14ac:dyDescent="0.25">
      <c r="A26" s="46" t="s">
        <v>1987</v>
      </c>
      <c r="B26" s="46" t="s">
        <v>85</v>
      </c>
      <c r="C26" s="98" t="s">
        <v>132</v>
      </c>
      <c r="D26" s="46" t="s">
        <v>437</v>
      </c>
      <c r="E26" s="98" t="s">
        <v>211</v>
      </c>
      <c r="F26" s="46" t="s">
        <v>902</v>
      </c>
      <c r="G26" s="98" t="s">
        <v>1995</v>
      </c>
      <c r="H26" s="98" t="s">
        <v>20</v>
      </c>
      <c r="I26" s="98" t="s">
        <v>902</v>
      </c>
      <c r="J26" s="106">
        <v>46182</v>
      </c>
      <c r="K26" s="46">
        <f t="shared" si="0"/>
        <v>20</v>
      </c>
      <c r="L26" s="123">
        <v>15.620107620468698</v>
      </c>
    </row>
    <row r="27" spans="1:12" x14ac:dyDescent="0.25">
      <c r="A27" s="46" t="s">
        <v>1987</v>
      </c>
      <c r="B27" s="46" t="s">
        <v>85</v>
      </c>
      <c r="C27" s="98" t="s">
        <v>123</v>
      </c>
      <c r="D27" s="46" t="s">
        <v>1012</v>
      </c>
      <c r="E27" s="98" t="s">
        <v>211</v>
      </c>
      <c r="F27" s="46" t="s">
        <v>215</v>
      </c>
      <c r="G27" s="98" t="s">
        <v>1966</v>
      </c>
      <c r="H27" s="119" t="s">
        <v>21</v>
      </c>
      <c r="I27" s="119" t="s">
        <v>170</v>
      </c>
      <c r="J27" s="106">
        <v>46177</v>
      </c>
      <c r="K27" s="46">
        <f t="shared" si="0"/>
        <v>21</v>
      </c>
      <c r="L27" s="123">
        <v>15.461269258727992</v>
      </c>
    </row>
    <row r="28" spans="1:12" x14ac:dyDescent="0.25">
      <c r="A28" s="46" t="s">
        <v>1987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1997</v>
      </c>
      <c r="H28" s="46" t="s">
        <v>20</v>
      </c>
      <c r="I28" s="46" t="s">
        <v>216</v>
      </c>
      <c r="J28" s="107">
        <v>46182</v>
      </c>
      <c r="K28" s="46">
        <f t="shared" si="0"/>
        <v>22</v>
      </c>
      <c r="L28" s="123">
        <v>15.3255733478642</v>
      </c>
    </row>
    <row r="29" spans="1:12" x14ac:dyDescent="0.25">
      <c r="A29" s="46" t="s">
        <v>1987</v>
      </c>
      <c r="B29" s="46" t="s">
        <v>85</v>
      </c>
      <c r="C29" s="46" t="s">
        <v>1988</v>
      </c>
      <c r="D29" s="46" t="s">
        <v>859</v>
      </c>
      <c r="E29" s="46" t="s">
        <v>211</v>
      </c>
      <c r="F29" s="46" t="s">
        <v>213</v>
      </c>
      <c r="G29" s="46" t="s">
        <v>1992</v>
      </c>
      <c r="H29" s="46" t="s">
        <v>19</v>
      </c>
      <c r="I29" s="46" t="s">
        <v>262</v>
      </c>
      <c r="J29" s="53">
        <v>46181</v>
      </c>
      <c r="K29" s="46">
        <f t="shared" si="0"/>
        <v>23</v>
      </c>
      <c r="L29" s="123">
        <v>15.250180061729001</v>
      </c>
    </row>
    <row r="30" spans="1:12" x14ac:dyDescent="0.25">
      <c r="A30" s="46" t="s">
        <v>1987</v>
      </c>
      <c r="B30" s="46" t="s">
        <v>85</v>
      </c>
      <c r="C30" s="98" t="s">
        <v>132</v>
      </c>
      <c r="D30" s="98" t="s">
        <v>456</v>
      </c>
      <c r="E30" s="98" t="s">
        <v>219</v>
      </c>
      <c r="F30" s="46" t="s">
        <v>1882</v>
      </c>
      <c r="G30" s="98" t="s">
        <v>1980</v>
      </c>
      <c r="H30" s="98" t="s">
        <v>19</v>
      </c>
      <c r="I30" s="98" t="s">
        <v>245</v>
      </c>
      <c r="J30" s="106">
        <v>46175</v>
      </c>
      <c r="K30" s="46">
        <f t="shared" si="0"/>
        <v>24</v>
      </c>
      <c r="L30" s="123">
        <v>15.1037430089946</v>
      </c>
    </row>
    <row r="31" spans="1:12" x14ac:dyDescent="0.25">
      <c r="A31" s="46" t="s">
        <v>1987</v>
      </c>
      <c r="B31" s="46" t="s">
        <v>85</v>
      </c>
      <c r="C31" s="46" t="s">
        <v>132</v>
      </c>
      <c r="D31" s="46" t="s">
        <v>456</v>
      </c>
      <c r="E31" s="46" t="s">
        <v>219</v>
      </c>
      <c r="F31" s="46" t="s">
        <v>1882</v>
      </c>
      <c r="G31" s="46" t="s">
        <v>1981</v>
      </c>
      <c r="H31" s="46" t="s">
        <v>19</v>
      </c>
      <c r="I31" s="46" t="s">
        <v>1837</v>
      </c>
      <c r="J31" s="107">
        <v>46179</v>
      </c>
      <c r="K31" s="46">
        <f t="shared" si="0"/>
        <v>25</v>
      </c>
      <c r="L31" s="123">
        <v>14.9217630596193</v>
      </c>
    </row>
    <row r="32" spans="1:12" x14ac:dyDescent="0.25">
      <c r="A32" s="46" t="s">
        <v>1987</v>
      </c>
      <c r="B32" s="46" t="s">
        <v>85</v>
      </c>
      <c r="C32" s="98" t="s">
        <v>1988</v>
      </c>
      <c r="D32" s="46" t="s">
        <v>859</v>
      </c>
      <c r="E32" s="98" t="s">
        <v>211</v>
      </c>
      <c r="F32" s="46" t="s">
        <v>213</v>
      </c>
      <c r="G32" s="98" t="s">
        <v>1959</v>
      </c>
      <c r="H32" s="98" t="s">
        <v>21</v>
      </c>
      <c r="I32" s="98" t="s">
        <v>398</v>
      </c>
      <c r="J32" s="106">
        <v>46176</v>
      </c>
      <c r="K32" s="46">
        <f t="shared" si="0"/>
        <v>26</v>
      </c>
      <c r="L32" s="123">
        <v>14.736945742414999</v>
      </c>
    </row>
    <row r="33" spans="1:12" x14ac:dyDescent="0.25">
      <c r="A33" s="46" t="s">
        <v>1987</v>
      </c>
      <c r="B33" s="46" t="s">
        <v>85</v>
      </c>
      <c r="C33" s="46" t="s">
        <v>1988</v>
      </c>
      <c r="D33" s="46" t="s">
        <v>1012</v>
      </c>
      <c r="E33" s="46" t="s">
        <v>211</v>
      </c>
      <c r="F33" s="46" t="s">
        <v>215</v>
      </c>
      <c r="G33" s="46" t="s">
        <v>1998</v>
      </c>
      <c r="H33" s="46" t="s">
        <v>20</v>
      </c>
      <c r="I33" s="46" t="s">
        <v>1837</v>
      </c>
      <c r="J33" s="107">
        <v>46182</v>
      </c>
      <c r="K33" s="46">
        <f t="shared" si="0"/>
        <v>27</v>
      </c>
      <c r="L33" s="123">
        <v>14.394430916152146</v>
      </c>
    </row>
    <row r="34" spans="1:12" x14ac:dyDescent="0.25">
      <c r="A34" s="46" t="s">
        <v>1987</v>
      </c>
      <c r="B34" s="46" t="s">
        <v>85</v>
      </c>
      <c r="C34" s="98" t="s">
        <v>123</v>
      </c>
      <c r="D34" s="46" t="s">
        <v>859</v>
      </c>
      <c r="E34" s="98" t="s">
        <v>211</v>
      </c>
      <c r="F34" s="46" t="s">
        <v>213</v>
      </c>
      <c r="G34" s="119" t="s">
        <v>1964</v>
      </c>
      <c r="H34" s="119" t="s">
        <v>28</v>
      </c>
      <c r="I34" s="119" t="s">
        <v>381</v>
      </c>
      <c r="J34" s="121">
        <v>46177</v>
      </c>
      <c r="K34" s="46">
        <f t="shared" si="0"/>
        <v>28</v>
      </c>
      <c r="L34" s="123">
        <v>14.367931794681425</v>
      </c>
    </row>
    <row r="35" spans="1:12" x14ac:dyDescent="0.25">
      <c r="A35" s="46" t="s">
        <v>1987</v>
      </c>
      <c r="B35" s="46" t="s">
        <v>85</v>
      </c>
      <c r="C35" s="46" t="s">
        <v>1988</v>
      </c>
      <c r="D35" s="46" t="s">
        <v>1012</v>
      </c>
      <c r="E35" s="46" t="s">
        <v>211</v>
      </c>
      <c r="F35" s="46" t="s">
        <v>215</v>
      </c>
      <c r="G35" s="46" t="s">
        <v>1999</v>
      </c>
      <c r="H35" s="46" t="s">
        <v>20</v>
      </c>
      <c r="I35" s="46" t="s">
        <v>158</v>
      </c>
      <c r="J35" s="53">
        <v>46182</v>
      </c>
      <c r="K35" s="46">
        <f t="shared" si="0"/>
        <v>29</v>
      </c>
      <c r="L35" s="123">
        <v>14.300270190717997</v>
      </c>
    </row>
    <row r="36" spans="1:12" x14ac:dyDescent="0.25">
      <c r="A36" s="46" t="s">
        <v>1987</v>
      </c>
      <c r="B36" s="46" t="s">
        <v>85</v>
      </c>
      <c r="C36" s="46" t="s">
        <v>64</v>
      </c>
      <c r="D36" s="46" t="s">
        <v>859</v>
      </c>
      <c r="E36" s="46" t="s">
        <v>211</v>
      </c>
      <c r="F36" s="46" t="s">
        <v>213</v>
      </c>
      <c r="G36" s="53" t="s">
        <v>1991</v>
      </c>
      <c r="H36" s="46" t="s">
        <v>21</v>
      </c>
      <c r="I36" s="46" t="s">
        <v>2055</v>
      </c>
      <c r="J36" s="53">
        <v>46181</v>
      </c>
      <c r="K36" s="46">
        <f t="shared" si="0"/>
        <v>30</v>
      </c>
      <c r="L36" s="123">
        <v>14.178225238882201</v>
      </c>
    </row>
    <row r="37" spans="1:12" x14ac:dyDescent="0.25">
      <c r="A37" s="46" t="s">
        <v>1987</v>
      </c>
      <c r="B37" s="46" t="s">
        <v>85</v>
      </c>
      <c r="C37" s="46" t="s">
        <v>123</v>
      </c>
      <c r="D37" s="98" t="s">
        <v>1013</v>
      </c>
      <c r="E37" s="46" t="s">
        <v>211</v>
      </c>
      <c r="F37" s="46" t="s">
        <v>213</v>
      </c>
      <c r="G37" s="46" t="s">
        <v>1973</v>
      </c>
      <c r="H37" s="46" t="s">
        <v>19</v>
      </c>
      <c r="I37" s="46" t="s">
        <v>149</v>
      </c>
      <c r="J37" s="53">
        <v>46185</v>
      </c>
      <c r="K37" s="46">
        <f t="shared" si="0"/>
        <v>31</v>
      </c>
      <c r="L37" s="123">
        <v>13.987178343946542</v>
      </c>
    </row>
    <row r="38" spans="1:12" x14ac:dyDescent="0.25">
      <c r="A38" s="46" t="s">
        <v>1987</v>
      </c>
      <c r="B38" s="46" t="s">
        <v>85</v>
      </c>
      <c r="C38" s="98" t="s">
        <v>123</v>
      </c>
      <c r="D38" s="46" t="s">
        <v>1012</v>
      </c>
      <c r="E38" s="98" t="s">
        <v>211</v>
      </c>
      <c r="F38" s="46" t="s">
        <v>215</v>
      </c>
      <c r="G38" s="98" t="s">
        <v>1961</v>
      </c>
      <c r="H38" s="98" t="s">
        <v>28</v>
      </c>
      <c r="I38" s="98" t="s">
        <v>171</v>
      </c>
      <c r="J38" s="106">
        <v>46176</v>
      </c>
      <c r="K38" s="46">
        <f t="shared" si="0"/>
        <v>32</v>
      </c>
      <c r="L38" s="123">
        <v>13.566582280417931</v>
      </c>
    </row>
    <row r="39" spans="1:12" x14ac:dyDescent="0.25">
      <c r="A39" s="46" t="s">
        <v>1987</v>
      </c>
      <c r="B39" s="46" t="s">
        <v>85</v>
      </c>
      <c r="C39" s="98" t="s">
        <v>1988</v>
      </c>
      <c r="D39" s="46" t="s">
        <v>859</v>
      </c>
      <c r="E39" s="98" t="s">
        <v>211</v>
      </c>
      <c r="F39" s="46" t="s">
        <v>213</v>
      </c>
      <c r="G39" s="119" t="s">
        <v>2020</v>
      </c>
      <c r="H39" s="119" t="s">
        <v>21</v>
      </c>
      <c r="I39" s="119" t="s">
        <v>1021</v>
      </c>
      <c r="J39" s="121">
        <v>46184</v>
      </c>
      <c r="K39" s="46">
        <f t="shared" si="0"/>
        <v>33</v>
      </c>
      <c r="L39" s="101">
        <v>13.500427611615283</v>
      </c>
    </row>
    <row r="40" spans="1:12" x14ac:dyDescent="0.25">
      <c r="A40" s="46" t="s">
        <v>1987</v>
      </c>
      <c r="B40" s="46" t="s">
        <v>85</v>
      </c>
      <c r="C40" s="46" t="s">
        <v>1988</v>
      </c>
      <c r="D40" s="46" t="s">
        <v>859</v>
      </c>
      <c r="E40" s="46" t="s">
        <v>211</v>
      </c>
      <c r="F40" s="46" t="s">
        <v>213</v>
      </c>
      <c r="G40" s="53" t="s">
        <v>2001</v>
      </c>
      <c r="H40" s="46" t="s">
        <v>19</v>
      </c>
      <c r="I40" s="46" t="s">
        <v>145</v>
      </c>
      <c r="J40" s="53">
        <v>46182</v>
      </c>
      <c r="K40" s="46">
        <f t="shared" si="0"/>
        <v>34</v>
      </c>
      <c r="L40" s="123">
        <v>13.465751374172442</v>
      </c>
    </row>
    <row r="41" spans="1:12" x14ac:dyDescent="0.25">
      <c r="A41" s="46" t="s">
        <v>1987</v>
      </c>
      <c r="B41" s="46" t="s">
        <v>85</v>
      </c>
      <c r="C41" s="46" t="s">
        <v>123</v>
      </c>
      <c r="D41" s="46" t="s">
        <v>1012</v>
      </c>
      <c r="E41" s="46" t="s">
        <v>211</v>
      </c>
      <c r="F41" s="46" t="s">
        <v>215</v>
      </c>
      <c r="G41" s="46" t="s">
        <v>1989</v>
      </c>
      <c r="H41" s="46" t="s">
        <v>20</v>
      </c>
      <c r="I41" s="46" t="s">
        <v>202</v>
      </c>
      <c r="J41" s="53">
        <v>46179</v>
      </c>
      <c r="K41" s="46">
        <f t="shared" si="0"/>
        <v>35</v>
      </c>
      <c r="L41" s="123">
        <v>13.33574792858</v>
      </c>
    </row>
    <row r="42" spans="1:12" x14ac:dyDescent="0.25">
      <c r="A42" s="46" t="s">
        <v>1987</v>
      </c>
      <c r="B42" s="46" t="s">
        <v>85</v>
      </c>
      <c r="C42" s="46" t="s">
        <v>123</v>
      </c>
      <c r="D42" s="46" t="s">
        <v>859</v>
      </c>
      <c r="E42" s="46" t="s">
        <v>211</v>
      </c>
      <c r="F42" s="46" t="s">
        <v>213</v>
      </c>
      <c r="G42" s="98" t="s">
        <v>1965</v>
      </c>
      <c r="H42" s="98" t="s">
        <v>21</v>
      </c>
      <c r="I42" s="98" t="s">
        <v>420</v>
      </c>
      <c r="J42" s="53">
        <v>46177</v>
      </c>
      <c r="K42" s="46">
        <f t="shared" si="0"/>
        <v>36</v>
      </c>
      <c r="L42" s="123">
        <v>13.088685928399855</v>
      </c>
    </row>
    <row r="43" spans="1:12" x14ac:dyDescent="0.25">
      <c r="A43" s="46" t="s">
        <v>1987</v>
      </c>
      <c r="B43" s="46" t="s">
        <v>85</v>
      </c>
      <c r="C43" s="46" t="s">
        <v>123</v>
      </c>
      <c r="D43" s="98" t="s">
        <v>1013</v>
      </c>
      <c r="E43" s="46" t="s">
        <v>211</v>
      </c>
      <c r="F43" s="46" t="s">
        <v>213</v>
      </c>
      <c r="G43" s="46" t="s">
        <v>1970</v>
      </c>
      <c r="H43" s="46" t="s">
        <v>453</v>
      </c>
      <c r="I43" s="46" t="s">
        <v>154</v>
      </c>
      <c r="J43" s="53">
        <v>46178</v>
      </c>
      <c r="K43" s="46">
        <f t="shared" si="0"/>
        <v>37</v>
      </c>
      <c r="L43" s="123">
        <v>13.049030023648664</v>
      </c>
    </row>
    <row r="44" spans="1:12" x14ac:dyDescent="0.25">
      <c r="A44" s="46" t="s">
        <v>1987</v>
      </c>
      <c r="B44" s="46" t="s">
        <v>85</v>
      </c>
      <c r="C44" s="46" t="s">
        <v>64</v>
      </c>
      <c r="D44" s="98" t="s">
        <v>859</v>
      </c>
      <c r="E44" s="46" t="s">
        <v>211</v>
      </c>
      <c r="F44" s="46" t="s">
        <v>213</v>
      </c>
      <c r="G44" s="46" t="s">
        <v>2002</v>
      </c>
      <c r="H44" s="46" t="s">
        <v>19</v>
      </c>
      <c r="I44" s="46" t="s">
        <v>46</v>
      </c>
      <c r="J44" s="107">
        <v>46182</v>
      </c>
      <c r="K44" s="46">
        <f t="shared" si="0"/>
        <v>38</v>
      </c>
      <c r="L44" s="123">
        <v>12.946393330651787</v>
      </c>
    </row>
    <row r="45" spans="1:12" x14ac:dyDescent="0.25">
      <c r="A45" s="46" t="s">
        <v>1987</v>
      </c>
      <c r="B45" s="46" t="s">
        <v>85</v>
      </c>
      <c r="C45" s="46" t="s">
        <v>64</v>
      </c>
      <c r="D45" s="46" t="s">
        <v>859</v>
      </c>
      <c r="E45" s="46" t="s">
        <v>211</v>
      </c>
      <c r="F45" s="46" t="s">
        <v>213</v>
      </c>
      <c r="G45" s="46" t="s">
        <v>2000</v>
      </c>
      <c r="H45" s="46" t="s">
        <v>21</v>
      </c>
      <c r="I45" s="46" t="s">
        <v>935</v>
      </c>
      <c r="J45" s="53">
        <v>46182</v>
      </c>
      <c r="K45" s="46">
        <f t="shared" si="0"/>
        <v>39</v>
      </c>
      <c r="L45" s="123">
        <v>12.886259009232724</v>
      </c>
    </row>
    <row r="46" spans="1:12" x14ac:dyDescent="0.25">
      <c r="A46" s="46" t="s">
        <v>1987</v>
      </c>
      <c r="B46" s="46" t="s">
        <v>85</v>
      </c>
      <c r="C46" s="46" t="s">
        <v>1988</v>
      </c>
      <c r="D46" s="46" t="s">
        <v>456</v>
      </c>
      <c r="E46" s="46" t="s">
        <v>211</v>
      </c>
      <c r="F46" s="46" t="s">
        <v>1882</v>
      </c>
      <c r="G46" s="46" t="s">
        <v>1884</v>
      </c>
      <c r="H46" s="46" t="s">
        <v>1928</v>
      </c>
      <c r="I46" s="46" t="s">
        <v>970</v>
      </c>
      <c r="J46" s="53">
        <v>46048</v>
      </c>
      <c r="K46" s="46">
        <f t="shared" si="0"/>
        <v>40</v>
      </c>
      <c r="L46" s="123">
        <v>12.842277343751901</v>
      </c>
    </row>
    <row r="47" spans="1:12" x14ac:dyDescent="0.25">
      <c r="A47" s="46" t="s">
        <v>1987</v>
      </c>
      <c r="B47" s="46" t="s">
        <v>85</v>
      </c>
      <c r="C47" s="46" t="s">
        <v>64</v>
      </c>
      <c r="D47" s="46" t="s">
        <v>859</v>
      </c>
      <c r="E47" s="46" t="s">
        <v>211</v>
      </c>
      <c r="F47" s="46" t="s">
        <v>213</v>
      </c>
      <c r="G47" s="46" t="s">
        <v>2003</v>
      </c>
      <c r="H47" s="46" t="s">
        <v>21</v>
      </c>
      <c r="I47" s="46" t="s">
        <v>2056</v>
      </c>
      <c r="J47" s="107">
        <v>46182</v>
      </c>
      <c r="K47" s="46">
        <f t="shared" si="0"/>
        <v>41</v>
      </c>
      <c r="L47" s="123">
        <v>12.591439450584566</v>
      </c>
    </row>
    <row r="48" spans="1:12" x14ac:dyDescent="0.25">
      <c r="A48" s="46" t="s">
        <v>1987</v>
      </c>
      <c r="B48" s="46" t="s">
        <v>85</v>
      </c>
      <c r="C48" s="46" t="s">
        <v>64</v>
      </c>
      <c r="D48" s="46" t="s">
        <v>859</v>
      </c>
      <c r="E48" s="46" t="s">
        <v>211</v>
      </c>
      <c r="F48" s="46" t="s">
        <v>213</v>
      </c>
      <c r="G48" s="53" t="s">
        <v>2004</v>
      </c>
      <c r="H48" s="46" t="s">
        <v>22</v>
      </c>
      <c r="I48" s="46" t="s">
        <v>78</v>
      </c>
      <c r="J48" s="53">
        <v>46182</v>
      </c>
      <c r="K48" s="46">
        <f t="shared" si="0"/>
        <v>42</v>
      </c>
      <c r="L48" s="123">
        <v>12.547372772313212</v>
      </c>
    </row>
    <row r="49" spans="1:12" x14ac:dyDescent="0.25">
      <c r="A49" s="46" t="s">
        <v>1987</v>
      </c>
      <c r="B49" s="46" t="s">
        <v>85</v>
      </c>
      <c r="C49" s="46" t="s">
        <v>1988</v>
      </c>
      <c r="D49" s="46" t="s">
        <v>1012</v>
      </c>
      <c r="E49" s="46" t="s">
        <v>211</v>
      </c>
      <c r="F49" s="46" t="s">
        <v>215</v>
      </c>
      <c r="G49" s="46" t="s">
        <v>1793</v>
      </c>
      <c r="H49" s="46" t="s">
        <v>1058</v>
      </c>
      <c r="I49" s="46" t="s">
        <v>145</v>
      </c>
      <c r="J49" s="53">
        <v>46094</v>
      </c>
      <c r="K49" s="46">
        <f t="shared" si="0"/>
        <v>43</v>
      </c>
      <c r="L49" s="123">
        <v>12.4764748295341</v>
      </c>
    </row>
    <row r="50" spans="1:12" x14ac:dyDescent="0.25">
      <c r="A50" s="46" t="s">
        <v>1987</v>
      </c>
      <c r="B50" s="46" t="s">
        <v>85</v>
      </c>
      <c r="C50" s="98" t="s">
        <v>64</v>
      </c>
      <c r="D50" s="98" t="s">
        <v>859</v>
      </c>
      <c r="E50" s="98" t="s">
        <v>233</v>
      </c>
      <c r="F50" s="46" t="s">
        <v>213</v>
      </c>
      <c r="G50" s="106" t="s">
        <v>2005</v>
      </c>
      <c r="H50" s="98" t="s">
        <v>21</v>
      </c>
      <c r="I50" s="98" t="s">
        <v>165</v>
      </c>
      <c r="J50" s="106">
        <v>46182</v>
      </c>
      <c r="K50" s="46">
        <f t="shared" si="0"/>
        <v>44</v>
      </c>
      <c r="L50" s="123">
        <v>12.364488737867484</v>
      </c>
    </row>
    <row r="51" spans="1:12" x14ac:dyDescent="0.25">
      <c r="A51" s="46" t="s">
        <v>1987</v>
      </c>
      <c r="B51" s="46" t="s">
        <v>85</v>
      </c>
      <c r="C51" s="46" t="s">
        <v>132</v>
      </c>
      <c r="D51" s="46" t="s">
        <v>456</v>
      </c>
      <c r="E51" s="46" t="s">
        <v>219</v>
      </c>
      <c r="F51" s="46" t="s">
        <v>1882</v>
      </c>
      <c r="G51" s="53" t="s">
        <v>369</v>
      </c>
      <c r="H51" s="46" t="s">
        <v>19</v>
      </c>
      <c r="I51" s="46" t="s">
        <v>124</v>
      </c>
      <c r="J51" s="53" t="s">
        <v>254</v>
      </c>
      <c r="K51" s="46">
        <f t="shared" si="0"/>
        <v>45</v>
      </c>
      <c r="L51" s="123">
        <v>12.230352941377584</v>
      </c>
    </row>
    <row r="52" spans="1:12" x14ac:dyDescent="0.25">
      <c r="A52" s="46" t="s">
        <v>1987</v>
      </c>
      <c r="B52" s="46" t="s">
        <v>85</v>
      </c>
      <c r="C52" s="46" t="s">
        <v>1988</v>
      </c>
      <c r="D52" s="46" t="s">
        <v>859</v>
      </c>
      <c r="E52" s="46" t="s">
        <v>211</v>
      </c>
      <c r="F52" s="46" t="s">
        <v>213</v>
      </c>
      <c r="G52" s="46" t="s">
        <v>1975</v>
      </c>
      <c r="H52" s="46" t="s">
        <v>40</v>
      </c>
      <c r="I52" s="46" t="s">
        <v>173</v>
      </c>
      <c r="J52" s="53">
        <v>46178</v>
      </c>
      <c r="K52" s="46">
        <f t="shared" si="0"/>
        <v>46</v>
      </c>
      <c r="L52" s="123">
        <v>12.214231775588187</v>
      </c>
    </row>
    <row r="53" spans="1:12" x14ac:dyDescent="0.25">
      <c r="A53" s="46" t="s">
        <v>1987</v>
      </c>
      <c r="B53" s="46" t="s">
        <v>85</v>
      </c>
      <c r="C53" s="46" t="s">
        <v>1988</v>
      </c>
      <c r="D53" s="46" t="s">
        <v>1012</v>
      </c>
      <c r="E53" s="46" t="s">
        <v>211</v>
      </c>
      <c r="F53" s="46" t="s">
        <v>215</v>
      </c>
      <c r="G53" s="46" t="s">
        <v>2047</v>
      </c>
      <c r="H53" s="46" t="s">
        <v>20</v>
      </c>
      <c r="I53" s="46" t="s">
        <v>171</v>
      </c>
      <c r="J53" s="53">
        <v>46185</v>
      </c>
      <c r="K53" s="46">
        <f t="shared" si="0"/>
        <v>47</v>
      </c>
      <c r="L53" s="123">
        <v>11.947676565347884</v>
      </c>
    </row>
    <row r="54" spans="1:12" x14ac:dyDescent="0.25">
      <c r="A54" s="46" t="s">
        <v>1987</v>
      </c>
      <c r="B54" s="46" t="s">
        <v>85</v>
      </c>
      <c r="C54" s="46" t="s">
        <v>1229</v>
      </c>
      <c r="D54" s="46" t="s">
        <v>433</v>
      </c>
      <c r="E54" s="46" t="s">
        <v>219</v>
      </c>
      <c r="F54" s="46" t="s">
        <v>215</v>
      </c>
      <c r="G54" s="46" t="s">
        <v>1960</v>
      </c>
      <c r="H54" s="46" t="s">
        <v>19</v>
      </c>
      <c r="I54" s="46" t="s">
        <v>216</v>
      </c>
      <c r="J54" s="53">
        <v>46176</v>
      </c>
      <c r="K54" s="46">
        <f t="shared" si="0"/>
        <v>48</v>
      </c>
      <c r="L54" s="123">
        <v>11.913470904604299</v>
      </c>
    </row>
    <row r="55" spans="1:12" x14ac:dyDescent="0.25">
      <c r="A55" s="46" t="s">
        <v>1987</v>
      </c>
      <c r="B55" s="46" t="s">
        <v>85</v>
      </c>
      <c r="C55" s="46" t="s">
        <v>1988</v>
      </c>
      <c r="D55" s="46" t="s">
        <v>1012</v>
      </c>
      <c r="E55" s="46" t="s">
        <v>211</v>
      </c>
      <c r="F55" s="46" t="s">
        <v>215</v>
      </c>
      <c r="G55" s="46" t="s">
        <v>2024</v>
      </c>
      <c r="H55" s="46" t="s">
        <v>20</v>
      </c>
      <c r="I55" s="46" t="s">
        <v>158</v>
      </c>
      <c r="J55" s="53">
        <v>46184</v>
      </c>
      <c r="K55" s="46">
        <f t="shared" si="0"/>
        <v>49</v>
      </c>
      <c r="L55" s="123">
        <v>11.553859413290946</v>
      </c>
    </row>
    <row r="56" spans="1:12" x14ac:dyDescent="0.25">
      <c r="A56" s="46" t="s">
        <v>1987</v>
      </c>
      <c r="B56" s="46" t="s">
        <v>85</v>
      </c>
      <c r="C56" s="46" t="s">
        <v>1988</v>
      </c>
      <c r="D56" s="98" t="s">
        <v>859</v>
      </c>
      <c r="E56" s="46" t="s">
        <v>211</v>
      </c>
      <c r="F56" s="46" t="s">
        <v>213</v>
      </c>
      <c r="G56" s="46" t="s">
        <v>2007</v>
      </c>
      <c r="H56" s="46" t="s">
        <v>19</v>
      </c>
      <c r="I56" s="46" t="s">
        <v>145</v>
      </c>
      <c r="J56" s="106">
        <v>46182</v>
      </c>
      <c r="K56" s="46">
        <f t="shared" si="0"/>
        <v>50</v>
      </c>
      <c r="L56" s="123">
        <v>11.028380711442075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ht="15.75" thickBot="1" x14ac:dyDescent="0.3"/>
    <row r="59" spans="1:12" ht="15.75" thickBot="1" x14ac:dyDescent="0.3">
      <c r="C59" s="142" t="s">
        <v>878</v>
      </c>
      <c r="D59" s="143"/>
    </row>
    <row r="60" spans="1:12" ht="30" x14ac:dyDescent="0.25">
      <c r="A60" s="128" t="s">
        <v>385</v>
      </c>
      <c r="B60" s="47" t="s">
        <v>384</v>
      </c>
      <c r="C60" s="127" t="s">
        <v>1</v>
      </c>
      <c r="D60" s="57" t="s">
        <v>2</v>
      </c>
    </row>
    <row r="61" spans="1:12" x14ac:dyDescent="0.25">
      <c r="A61" s="54" t="s">
        <v>906</v>
      </c>
      <c r="B61" s="67">
        <v>483.77497168726597</v>
      </c>
      <c r="C61" s="69" t="e">
        <f>VLOOKUP(A:A,'Updated SES'!B:J,8,0)</f>
        <v>#N/A</v>
      </c>
      <c r="D61" s="65" t="e">
        <f>VLOOKUP(A:A,'Updated SES'!B:J,9,0)</f>
        <v>#N/A</v>
      </c>
      <c r="E61" s="118"/>
    </row>
    <row r="62" spans="1:12" x14ac:dyDescent="0.25">
      <c r="A62" s="54" t="s">
        <v>123</v>
      </c>
      <c r="B62" s="67">
        <v>356.02584699058303</v>
      </c>
      <c r="C62" s="69">
        <f>VLOOKUP(A:A,'Updated SES'!B:J,8,0)</f>
        <v>0.49</v>
      </c>
      <c r="D62" s="65">
        <f>VLOOKUP(A:A,'Updated SES'!B:J,9,0)</f>
        <v>0.51</v>
      </c>
    </row>
    <row r="63" spans="1:12" x14ac:dyDescent="0.25">
      <c r="A63" s="54" t="s">
        <v>64</v>
      </c>
      <c r="B63" s="67">
        <v>329.16876059849591</v>
      </c>
      <c r="C63" s="69">
        <f>VLOOKUP(A:A,'Updated SES'!B:J,8,0)</f>
        <v>0.52</v>
      </c>
      <c r="D63" s="65">
        <f>VLOOKUP(A:A,'Updated SES'!B:J,9,0)</f>
        <v>0.48</v>
      </c>
    </row>
    <row r="64" spans="1:12" x14ac:dyDescent="0.25">
      <c r="A64" s="54" t="s">
        <v>132</v>
      </c>
      <c r="B64" s="67">
        <v>110.07822702083267</v>
      </c>
      <c r="C64" s="69">
        <f>VLOOKUP(A:A,'Updated SES'!B:J,8,0)</f>
        <v>0.65</v>
      </c>
      <c r="D64" s="65">
        <f>VLOOKUP(A:A,'Updated SES'!B:J,9,0)</f>
        <v>0.35</v>
      </c>
    </row>
    <row r="65" spans="1:4" ht="15.75" thickBot="1" x14ac:dyDescent="0.3">
      <c r="A65" s="55" t="s">
        <v>150</v>
      </c>
      <c r="B65" s="68">
        <v>67.485214615975735</v>
      </c>
      <c r="C65" s="70">
        <f>VLOOKUP(A:A,'Updated SES'!B:J,8,0)</f>
        <v>0.65</v>
      </c>
      <c r="D65" s="71">
        <f>VLOOKUP(A:A,'Updated SES'!B:J,9,0)</f>
        <v>0.35</v>
      </c>
    </row>
  </sheetData>
  <autoFilter ref="A6:L56" xr:uid="{B07D9D77-D343-4F54-B586-23FE787EB415}"/>
  <mergeCells count="1">
    <mergeCell ref="C59:D5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210"/>
  <sheetViews>
    <sheetView showGridLines="0" topLeftCell="E178" zoomScale="80" zoomScaleNormal="80" workbookViewId="0">
      <selection activeCell="T210" sqref="T210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27.42578125" style="8" customWidth="1"/>
    <col min="9" max="9" width="17.42578125" customWidth="1"/>
    <col min="10" max="10" width="12.42578125" customWidth="1"/>
    <col min="11" max="11" width="15.28515625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9.5703125" style="8" customWidth="1"/>
    <col min="19" max="19" width="6.5703125" style="8" hidden="1" customWidth="1"/>
  </cols>
  <sheetData>
    <row r="1" spans="1:20" x14ac:dyDescent="0.25">
      <c r="G1" s="72" t="s">
        <v>2064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44" t="s">
        <v>222</v>
      </c>
      <c r="N3" s="144"/>
      <c r="O3" s="117"/>
      <c r="P3" s="117"/>
      <c r="Q3" s="117"/>
      <c r="R3" s="117"/>
      <c r="S3" s="117"/>
      <c r="T3" s="117"/>
    </row>
    <row r="4" spans="1:20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437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  <c r="T4" s="105" t="s">
        <v>2060</v>
      </c>
    </row>
    <row r="5" spans="1:20" x14ac:dyDescent="0.25">
      <c r="A5" s="98" t="s">
        <v>2063</v>
      </c>
      <c r="B5" s="98" t="s">
        <v>85</v>
      </c>
      <c r="C5" s="46" t="s">
        <v>132</v>
      </c>
      <c r="D5" s="46" t="s">
        <v>437</v>
      </c>
      <c r="E5" s="46" t="s">
        <v>211</v>
      </c>
      <c r="F5" s="46" t="s">
        <v>451</v>
      </c>
      <c r="G5" s="136" t="s">
        <v>1995</v>
      </c>
      <c r="H5" s="46" t="s">
        <v>20</v>
      </c>
      <c r="I5" s="53">
        <v>46182</v>
      </c>
      <c r="J5" s="98"/>
      <c r="K5" s="46" t="s">
        <v>902</v>
      </c>
      <c r="L5" s="123">
        <f>VLOOKUP($C5&amp;$E5,'Updated SES'!A:N,14,0)</f>
        <v>21.682040000000004</v>
      </c>
      <c r="M5" s="124">
        <f>VLOOKUP($K5,'Genre Penetration'!A:B,2,0)*VLOOKUP($C5&amp;$E5,'Updated SES'!A:I,9,0)</f>
        <v>0.48750000000000004</v>
      </c>
      <c r="N5" s="124">
        <f>VLOOKUP(K:K,'Genre Penetration'!A:C,3,0)*VLOOKUP($C5&amp;$E5,'Updated SES'!A:J,10,0)</f>
        <v>8.7499999999999994E-2</v>
      </c>
      <c r="O5" s="124" t="e">
        <f>VLOOKUP($B5,'Language Penetration'!$B$1:$BE$14,MATCH('Compile data Working'!#REF!,'Language Penetration'!$B$1:$BE$1,0),0)</f>
        <v>#REF!</v>
      </c>
      <c r="P5" s="124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23" t="e">
        <f t="shared" ref="Q5:Q68" ca="1" si="1">IFERROR(L5*(M5+N5)*O5*P5,RANDBETWEEN(1,2)%*L5*(M5+N5)*O5)</f>
        <v>#REF!</v>
      </c>
      <c r="R5" s="125">
        <f>VLOOKUP(D:D,ranking!W:X,2,0)</f>
        <v>0.1</v>
      </c>
      <c r="S5" s="126" t="e">
        <f ca="1">R5*Q5</f>
        <v>#REF!</v>
      </c>
      <c r="T5" s="123">
        <v>15.620107620468698</v>
      </c>
    </row>
    <row r="6" spans="1:20" x14ac:dyDescent="0.25">
      <c r="A6" s="98" t="s">
        <v>2063</v>
      </c>
      <c r="B6" s="98" t="s">
        <v>85</v>
      </c>
      <c r="C6" s="46" t="s">
        <v>1988</v>
      </c>
      <c r="D6" s="46" t="s">
        <v>437</v>
      </c>
      <c r="E6" s="46" t="s">
        <v>211</v>
      </c>
      <c r="F6" s="46" t="s">
        <v>451</v>
      </c>
      <c r="G6" s="139" t="s">
        <v>2061</v>
      </c>
      <c r="H6" s="140" t="s">
        <v>2062</v>
      </c>
      <c r="I6" s="141">
        <v>46179</v>
      </c>
      <c r="J6" s="98"/>
      <c r="K6" s="46" t="s">
        <v>902</v>
      </c>
      <c r="L6" s="123">
        <f>VLOOKUP($C6&amp;$E6,'Updated SES'!A:N,14,0)</f>
        <v>127.11702000000001</v>
      </c>
      <c r="M6" s="124">
        <f>VLOOKUP($K6,'Genre Penetration'!A:B,2,0)*VLOOKUP($C6&amp;$E6,'Updated SES'!A:I,9,0)</f>
        <v>0.50249999999999995</v>
      </c>
      <c r="N6" s="124">
        <f>VLOOKUP(K:K,'Genre Penetration'!A:C,3,0)*VLOOKUP($C6&amp;$E6,'Updated SES'!A:J,10,0)</f>
        <v>8.249999999999999E-2</v>
      </c>
      <c r="O6" s="124" t="e">
        <f>VLOOKUP($B6,'Language Penetration'!$B$1:$BE$14,MATCH('Compile data Working'!#REF!,'Language Penetration'!$B$1:$BE$1,0),0)</f>
        <v>#REF!</v>
      </c>
      <c r="P6" s="124" t="str">
        <f t="shared" ca="1" si="0"/>
        <v>2%</v>
      </c>
      <c r="Q6" s="123" t="e">
        <f t="shared" ca="1" si="1"/>
        <v>#REF!</v>
      </c>
      <c r="R6" s="125">
        <f>VLOOKUP(D:D,ranking!W:X,2,0)</f>
        <v>0.1</v>
      </c>
      <c r="S6" s="126"/>
      <c r="T6" s="123">
        <v>34.483036307235416</v>
      </c>
    </row>
    <row r="7" spans="1:20" x14ac:dyDescent="0.25">
      <c r="A7" s="98" t="s">
        <v>2063</v>
      </c>
      <c r="B7" s="98" t="s">
        <v>85</v>
      </c>
      <c r="C7" s="46" t="s">
        <v>1988</v>
      </c>
      <c r="D7" s="46" t="s">
        <v>1012</v>
      </c>
      <c r="E7" s="46" t="s">
        <v>211</v>
      </c>
      <c r="F7" s="46" t="s">
        <v>215</v>
      </c>
      <c r="G7" s="46" t="s">
        <v>1996</v>
      </c>
      <c r="H7" s="46" t="s">
        <v>20</v>
      </c>
      <c r="I7" s="53">
        <v>46182</v>
      </c>
      <c r="J7" s="98"/>
      <c r="K7" s="46" t="s">
        <v>145</v>
      </c>
      <c r="L7" s="123">
        <f>VLOOKUP($C7&amp;$E7,'Updated SES'!A:N,14,0)</f>
        <v>127.11702000000001</v>
      </c>
      <c r="M7" s="124">
        <f>VLOOKUP($K7,'Genre Penetration'!A:B,2,0)*VLOOKUP($C7&amp;$E7,'Updated SES'!A:I,9,0)</f>
        <v>0.24789999999999998</v>
      </c>
      <c r="N7" s="124">
        <f>VLOOKUP(K:K,'Genre Penetration'!A:C,3,0)*VLOOKUP($C7&amp;$E7,'Updated SES'!A:J,10,0)</f>
        <v>0.20789999999999997</v>
      </c>
      <c r="O7" s="124" t="e">
        <f>VLOOKUP($B7,'Language Penetration'!$B$1:$BE$14,MATCH('Compile data Working'!#REF!,'Language Penetration'!$B$1:$BE$1,0),0)</f>
        <v>#REF!</v>
      </c>
      <c r="P7" s="124" t="str">
        <f t="shared" ca="1" si="0"/>
        <v>1%</v>
      </c>
      <c r="Q7" s="123" t="e">
        <f t="shared" ca="1" si="1"/>
        <v>#REF!</v>
      </c>
      <c r="R7" s="125">
        <f>VLOOKUP(D:D,ranking!W:X,2,0)</f>
        <v>0.6</v>
      </c>
      <c r="S7" s="126" t="e">
        <f t="shared" ref="S7:S70" ca="1" si="2">R7*Q7</f>
        <v>#REF!</v>
      </c>
      <c r="T7" s="123">
        <v>16.371275392241696</v>
      </c>
    </row>
    <row r="8" spans="1:20" x14ac:dyDescent="0.25">
      <c r="A8" s="98" t="s">
        <v>2063</v>
      </c>
      <c r="B8" s="98" t="s">
        <v>85</v>
      </c>
      <c r="C8" s="46" t="s">
        <v>64</v>
      </c>
      <c r="D8" s="46" t="s">
        <v>859</v>
      </c>
      <c r="E8" s="46" t="s">
        <v>211</v>
      </c>
      <c r="F8" s="46" t="s">
        <v>213</v>
      </c>
      <c r="G8" s="46" t="s">
        <v>1997</v>
      </c>
      <c r="H8" s="46" t="s">
        <v>20</v>
      </c>
      <c r="I8" s="53">
        <v>46182</v>
      </c>
      <c r="J8" s="98"/>
      <c r="K8" s="46" t="s">
        <v>216</v>
      </c>
      <c r="L8" s="123">
        <f>VLOOKUP($C8&amp;$E8,'Updated SES'!A:N,14,0)</f>
        <v>36.498239999999996</v>
      </c>
      <c r="M8" s="124">
        <f>VLOOKUP($K8,'Genre Penetration'!A:B,2,0)*VLOOKUP($C8&amp;$E8,'Updated SES'!A:I,9,0)</f>
        <v>0.26</v>
      </c>
      <c r="N8" s="124">
        <f>VLOOKUP(K:K,'Genre Penetration'!A:C,3,0)*VLOOKUP($C8&amp;$E8,'Updated SES'!A:J,10,0)</f>
        <v>0.24</v>
      </c>
      <c r="O8" s="124" t="e">
        <f>VLOOKUP($B8,'Language Penetration'!$B$1:$BE$14,MATCH('Compile data Working'!$H87,'Language Penetration'!$B$1:$BE$1,0),0)</f>
        <v>#N/A</v>
      </c>
      <c r="P8" s="124" t="str">
        <f t="shared" ca="1" si="0"/>
        <v>1%</v>
      </c>
      <c r="Q8" s="123" t="e">
        <f t="shared" ca="1" si="1"/>
        <v>#N/A</v>
      </c>
      <c r="R8" s="125">
        <f>VLOOKUP(D:D,ranking!W:X,2,0)</f>
        <v>0.7</v>
      </c>
      <c r="S8" s="126" t="e">
        <f t="shared" ca="1" si="2"/>
        <v>#N/A</v>
      </c>
      <c r="T8" s="123">
        <v>15.3255733478642</v>
      </c>
    </row>
    <row r="9" spans="1:20" x14ac:dyDescent="0.25">
      <c r="A9" s="98" t="s">
        <v>2063</v>
      </c>
      <c r="B9" s="98" t="s">
        <v>85</v>
      </c>
      <c r="C9" s="46" t="s">
        <v>64</v>
      </c>
      <c r="D9" s="46" t="s">
        <v>859</v>
      </c>
      <c r="E9" s="46" t="s">
        <v>211</v>
      </c>
      <c r="F9" s="46" t="s">
        <v>213</v>
      </c>
      <c r="G9" s="53" t="s">
        <v>1991</v>
      </c>
      <c r="H9" s="46" t="s">
        <v>21</v>
      </c>
      <c r="I9" s="53">
        <v>46181</v>
      </c>
      <c r="J9" s="98"/>
      <c r="K9" s="46" t="s">
        <v>2055</v>
      </c>
      <c r="L9" s="123">
        <f>VLOOKUP($C9&amp;$E9,'Updated SES'!A:N,14,0)</f>
        <v>36.498239999999996</v>
      </c>
      <c r="M9" s="124" t="e">
        <f>VLOOKUP($K9,'Genre Penetration'!A:B,2,0)*VLOOKUP($C9&amp;$E9,'Updated SES'!A:I,9,0)</f>
        <v>#N/A</v>
      </c>
      <c r="N9" s="124" t="e">
        <f>VLOOKUP(K:K,'Genre Penetration'!A:C,3,0)*VLOOKUP($C9&amp;$E9,'Updated SES'!A:J,10,0)</f>
        <v>#N/A</v>
      </c>
      <c r="O9" s="124">
        <f>VLOOKUP($B9,'Language Penetration'!$B$1:$BE$14,MATCH('Compile data Working'!$H185,'Language Penetration'!$B$1:$BE$1,0),0)</f>
        <v>0.15</v>
      </c>
      <c r="P9" s="124" t="str">
        <f t="shared" ca="1" si="0"/>
        <v>2%</v>
      </c>
      <c r="Q9" s="123" t="e">
        <f t="shared" ca="1" si="1"/>
        <v>#N/A</v>
      </c>
      <c r="R9" s="125">
        <f>VLOOKUP(D:D,ranking!W:X,2,0)</f>
        <v>0.7</v>
      </c>
      <c r="S9" s="126" t="e">
        <f t="shared" ca="1" si="2"/>
        <v>#N/A</v>
      </c>
      <c r="T9" s="123">
        <v>14.178225238882201</v>
      </c>
    </row>
    <row r="10" spans="1:20" x14ac:dyDescent="0.25">
      <c r="A10" s="98" t="s">
        <v>2063</v>
      </c>
      <c r="B10" s="98" t="s">
        <v>85</v>
      </c>
      <c r="C10" s="46" t="s">
        <v>1988</v>
      </c>
      <c r="D10" s="46" t="s">
        <v>1012</v>
      </c>
      <c r="E10" s="46" t="s">
        <v>211</v>
      </c>
      <c r="F10" s="46" t="s">
        <v>215</v>
      </c>
      <c r="G10" s="46" t="s">
        <v>1998</v>
      </c>
      <c r="H10" s="46" t="s">
        <v>20</v>
      </c>
      <c r="I10" s="53">
        <v>46182</v>
      </c>
      <c r="J10" s="98"/>
      <c r="K10" s="46" t="s">
        <v>1837</v>
      </c>
      <c r="L10" s="123">
        <f>VLOOKUP($C10&amp;$E10,'Updated SES'!A:N,14,0)</f>
        <v>127.11702000000001</v>
      </c>
      <c r="M10" s="124">
        <f>VLOOKUP($K10,'Genre Penetration'!A:B,2,0)*VLOOKUP($C10&amp;$E10,'Updated SES'!A:I,9,0)</f>
        <v>0.26799999999999996</v>
      </c>
      <c r="N10" s="124">
        <f>VLOOKUP(K:K,'Genre Penetration'!A:C,3,0)*VLOOKUP($C10&amp;$E10,'Updated SES'!A:J,10,0)</f>
        <v>0.19799999999999998</v>
      </c>
      <c r="O10" s="124">
        <f>VLOOKUP($B10,'Language Penetration'!$B$1:$BE$14,MATCH('Compile data Working'!$H36,'Language Penetration'!$B$1:$BE$1,0),0)</f>
        <v>0.6</v>
      </c>
      <c r="P10" s="124" t="str">
        <f t="shared" ca="1" si="0"/>
        <v>1%</v>
      </c>
      <c r="Q10" s="123">
        <f t="shared" ca="1" si="1"/>
        <v>0.35541918792000005</v>
      </c>
      <c r="R10" s="125">
        <f>VLOOKUP(D:D,ranking!W:X,2,0)</f>
        <v>0.6</v>
      </c>
      <c r="S10" s="126">
        <f t="shared" ca="1" si="2"/>
        <v>0.21325151275200002</v>
      </c>
      <c r="T10" s="123">
        <v>14.394430916152146</v>
      </c>
    </row>
    <row r="11" spans="1:20" x14ac:dyDescent="0.25">
      <c r="A11" s="98" t="s">
        <v>2063</v>
      </c>
      <c r="B11" s="98" t="s">
        <v>85</v>
      </c>
      <c r="C11" s="46" t="s">
        <v>1988</v>
      </c>
      <c r="D11" s="46" t="s">
        <v>1012</v>
      </c>
      <c r="E11" s="46" t="s">
        <v>211</v>
      </c>
      <c r="F11" s="46" t="s">
        <v>215</v>
      </c>
      <c r="G11" s="46" t="s">
        <v>1999</v>
      </c>
      <c r="H11" s="46" t="s">
        <v>20</v>
      </c>
      <c r="I11" s="53">
        <v>46182</v>
      </c>
      <c r="J11" s="98"/>
      <c r="K11" s="46" t="s">
        <v>158</v>
      </c>
      <c r="L11" s="123">
        <f>VLOOKUP($C11&amp;$E11,'Updated SES'!A:N,14,0)</f>
        <v>127.11702000000001</v>
      </c>
      <c r="M11" s="124">
        <f>VLOOKUP($K11,'Genre Penetration'!A:B,2,0)*VLOOKUP($C11&amp;$E11,'Updated SES'!A:I,9,0)</f>
        <v>0.30149999999999999</v>
      </c>
      <c r="N11" s="124">
        <f>VLOOKUP(K:K,'Genre Penetration'!A:C,3,0)*VLOOKUP($C11&amp;$E11,'Updated SES'!A:J,10,0)</f>
        <v>0.18149999999999999</v>
      </c>
      <c r="O11" s="124">
        <f>VLOOKUP($B11,'Language Penetration'!$B$1:$BE$14,MATCH('Compile data Working'!$H46,'Language Penetration'!$B$1:$BE$1,0),0)</f>
        <v>0.15</v>
      </c>
      <c r="P11" s="124" t="str">
        <f t="shared" ca="1" si="0"/>
        <v>2%</v>
      </c>
      <c r="Q11" s="123">
        <f t="shared" ca="1" si="1"/>
        <v>0.18419256198</v>
      </c>
      <c r="R11" s="125">
        <f>VLOOKUP(D:D,ranking!W:X,2,0)</f>
        <v>0.6</v>
      </c>
      <c r="S11" s="126">
        <f t="shared" ca="1" si="2"/>
        <v>0.110515537188</v>
      </c>
      <c r="T11" s="123">
        <v>14.300270190717997</v>
      </c>
    </row>
    <row r="12" spans="1:20" x14ac:dyDescent="0.25">
      <c r="A12" s="98" t="s">
        <v>2063</v>
      </c>
      <c r="B12" s="98" t="s">
        <v>85</v>
      </c>
      <c r="C12" s="46" t="s">
        <v>123</v>
      </c>
      <c r="D12" s="46" t="s">
        <v>859</v>
      </c>
      <c r="E12" s="46" t="s">
        <v>211</v>
      </c>
      <c r="F12" s="46" t="s">
        <v>213</v>
      </c>
      <c r="G12" s="46" t="s">
        <v>2026</v>
      </c>
      <c r="H12" s="46" t="s">
        <v>19</v>
      </c>
      <c r="I12" s="53">
        <v>46185</v>
      </c>
      <c r="J12" s="98">
        <v>1</v>
      </c>
      <c r="K12" s="46" t="s">
        <v>149</v>
      </c>
      <c r="L12" s="123">
        <f>VLOOKUP($C12&amp;$E12,'Updated SES'!A:N,14,0)</f>
        <v>55.459200000000003</v>
      </c>
      <c r="M12" s="124">
        <f>VLOOKUP($K12,'Genre Penetration'!A:B,2,0)*VLOOKUP($C12&amp;$E12,'Updated SES'!A:I,9,0)</f>
        <v>0.2989</v>
      </c>
      <c r="N12" s="124">
        <f>VLOOKUP(K:K,'Genre Penetration'!A:C,3,0)*VLOOKUP($C12&amp;$E12,'Updated SES'!A:J,10,0)</f>
        <v>0.19890000000000002</v>
      </c>
      <c r="O12" s="124">
        <f>VLOOKUP($B12,'Language Penetration'!$B$1:$BE$14,MATCH('Compile data Working'!$H69,'Language Penetration'!$B$1:$BE$1,0),0)</f>
        <v>0.1</v>
      </c>
      <c r="P12" s="124" t="str">
        <f t="shared" ca="1" si="0"/>
        <v>37%</v>
      </c>
      <c r="Q12" s="123">
        <f t="shared" ca="1" si="1"/>
        <v>1.0214808211200002</v>
      </c>
      <c r="R12" s="125">
        <f>VLOOKUP(D:D,ranking!W:X,2,0)</f>
        <v>0.7</v>
      </c>
      <c r="S12" s="126">
        <f t="shared" ca="1" si="2"/>
        <v>0.71503657478400007</v>
      </c>
      <c r="T12" s="123">
        <v>10.8268477396183</v>
      </c>
    </row>
    <row r="13" spans="1:20" x14ac:dyDescent="0.25">
      <c r="A13" s="98" t="s">
        <v>2063</v>
      </c>
      <c r="B13" s="98" t="s">
        <v>85</v>
      </c>
      <c r="C13" s="46" t="s">
        <v>123</v>
      </c>
      <c r="D13" s="46" t="s">
        <v>1012</v>
      </c>
      <c r="E13" s="46" t="s">
        <v>211</v>
      </c>
      <c r="F13" s="46" t="s">
        <v>215</v>
      </c>
      <c r="G13" s="46" t="s">
        <v>1989</v>
      </c>
      <c r="H13" s="46" t="s">
        <v>20</v>
      </c>
      <c r="I13" s="53">
        <v>46179</v>
      </c>
      <c r="J13" s="98"/>
      <c r="K13" s="46" t="s">
        <v>202</v>
      </c>
      <c r="L13" s="123">
        <f>VLOOKUP($C13&amp;$E13,'Updated SES'!A:N,14,0)</f>
        <v>55.459200000000003</v>
      </c>
      <c r="M13" s="124">
        <f>VLOOKUP($K13,'Genre Penetration'!A:B,2,0)*VLOOKUP($C13&amp;$E13,'Updated SES'!A:I,9,0)</f>
        <v>0.3528</v>
      </c>
      <c r="N13" s="124">
        <f>VLOOKUP(K:K,'Genre Penetration'!A:C,3,0)*VLOOKUP($C13&amp;$E13,'Updated SES'!A:J,10,0)</f>
        <v>0.14280000000000001</v>
      </c>
      <c r="O13" s="124" t="e">
        <f>VLOOKUP($B13,'Language Penetration'!$B$1:$BE$14,MATCH('Compile data Working'!#REF!,'Language Penetration'!$B$1:$BE$1,0),0)</f>
        <v>#REF!</v>
      </c>
      <c r="P13" s="124" t="str">
        <f t="shared" ca="1" si="0"/>
        <v>2%</v>
      </c>
      <c r="Q13" s="123" t="e">
        <f t="shared" ca="1" si="1"/>
        <v>#REF!</v>
      </c>
      <c r="R13" s="125">
        <f>VLOOKUP(D:D,ranking!W:X,2,0)</f>
        <v>0.6</v>
      </c>
      <c r="S13" s="126" t="e">
        <f t="shared" ca="1" si="2"/>
        <v>#REF!</v>
      </c>
      <c r="T13" s="123">
        <v>13.33574792858</v>
      </c>
    </row>
    <row r="14" spans="1:20" x14ac:dyDescent="0.25">
      <c r="A14" s="98" t="s">
        <v>2063</v>
      </c>
      <c r="B14" s="98" t="s">
        <v>85</v>
      </c>
      <c r="C14" s="46" t="s">
        <v>64</v>
      </c>
      <c r="D14" s="46" t="s">
        <v>859</v>
      </c>
      <c r="E14" s="46" t="s">
        <v>211</v>
      </c>
      <c r="F14" s="46" t="s">
        <v>213</v>
      </c>
      <c r="G14" s="46" t="s">
        <v>2016</v>
      </c>
      <c r="H14" s="46" t="s">
        <v>21</v>
      </c>
      <c r="I14" s="53">
        <v>46184</v>
      </c>
      <c r="J14" s="98"/>
      <c r="K14" s="46" t="s">
        <v>935</v>
      </c>
      <c r="L14" s="123">
        <f>VLOOKUP($C14&amp;$E14,'Updated SES'!A:N,14,0)</f>
        <v>36.498239999999996</v>
      </c>
      <c r="M14" s="124">
        <f>VLOOKUP($K14,'Genre Penetration'!A:B,2,0)*VLOOKUP($C14&amp;$E14,'Updated SES'!A:I,9,0)</f>
        <v>0.28600000000000003</v>
      </c>
      <c r="N14" s="124">
        <f>VLOOKUP(K:K,'Genre Penetration'!A:C,3,0)*VLOOKUP($C14&amp;$E14,'Updated SES'!A:J,10,0)</f>
        <v>0.216</v>
      </c>
      <c r="O14" s="124" t="e">
        <f>VLOOKUP($B14,'Language Penetration'!$B$1:$BE$14,MATCH('Compile data Working'!#REF!,'Language Penetration'!$B$1:$BE$1,0),0)</f>
        <v>#REF!</v>
      </c>
      <c r="P14" s="124" t="str">
        <f t="shared" ca="1" si="0"/>
        <v>2%</v>
      </c>
      <c r="Q14" s="123" t="e">
        <f t="shared" ca="1" si="1"/>
        <v>#REF!</v>
      </c>
      <c r="R14" s="125">
        <f>VLOOKUP(D:D,ranking!W:X,2,0)</f>
        <v>0.7</v>
      </c>
      <c r="S14" s="126" t="e">
        <f t="shared" ca="1" si="2"/>
        <v>#REF!</v>
      </c>
      <c r="T14" s="123">
        <v>9.1450882324405995</v>
      </c>
    </row>
    <row r="15" spans="1:20" x14ac:dyDescent="0.25">
      <c r="A15" s="98" t="s">
        <v>2063</v>
      </c>
      <c r="B15" s="98" t="s">
        <v>85</v>
      </c>
      <c r="C15" s="46" t="s">
        <v>64</v>
      </c>
      <c r="D15" s="46" t="s">
        <v>859</v>
      </c>
      <c r="E15" s="46" t="s">
        <v>211</v>
      </c>
      <c r="F15" s="46" t="s">
        <v>213</v>
      </c>
      <c r="G15" s="46" t="s">
        <v>2000</v>
      </c>
      <c r="H15" s="46" t="s">
        <v>21</v>
      </c>
      <c r="I15" s="53">
        <v>46182</v>
      </c>
      <c r="J15" s="98"/>
      <c r="K15" s="46" t="s">
        <v>935</v>
      </c>
      <c r="L15" s="123">
        <f>VLOOKUP($C15&amp;$E15,'Updated SES'!A:N,14,0)</f>
        <v>36.498239999999996</v>
      </c>
      <c r="M15" s="124">
        <f>VLOOKUP($K15,'Genre Penetration'!A:B,2,0)*VLOOKUP($C15&amp;$E15,'Updated SES'!A:I,9,0)</f>
        <v>0.28600000000000003</v>
      </c>
      <c r="N15" s="124">
        <f>VLOOKUP(K:K,'Genre Penetration'!A:C,3,0)*VLOOKUP($C15&amp;$E15,'Updated SES'!A:J,10,0)</f>
        <v>0.216</v>
      </c>
      <c r="O15" s="124" t="e">
        <f>VLOOKUP($B15,'Language Penetration'!$B$1:$BE$14,MATCH('Compile data Working'!$H143,'Language Penetration'!$B$1:$BE$1,0),0)</f>
        <v>#N/A</v>
      </c>
      <c r="P15" s="124" t="str">
        <f t="shared" ca="1" si="0"/>
        <v>1%</v>
      </c>
      <c r="Q15" s="123" t="e">
        <f t="shared" ca="1" si="1"/>
        <v>#N/A</v>
      </c>
      <c r="R15" s="125">
        <f>VLOOKUP(D:D,ranking!W:X,2,0)</f>
        <v>0.7</v>
      </c>
      <c r="S15" s="126" t="e">
        <f t="shared" ca="1" si="2"/>
        <v>#N/A</v>
      </c>
      <c r="T15" s="123">
        <v>12.886259009232724</v>
      </c>
    </row>
    <row r="16" spans="1:20" x14ac:dyDescent="0.25">
      <c r="A16" s="98" t="s">
        <v>2063</v>
      </c>
      <c r="B16" s="98" t="s">
        <v>85</v>
      </c>
      <c r="C16" s="46" t="s">
        <v>1988</v>
      </c>
      <c r="D16" s="46" t="s">
        <v>859</v>
      </c>
      <c r="E16" s="46" t="s">
        <v>211</v>
      </c>
      <c r="F16" s="46" t="s">
        <v>213</v>
      </c>
      <c r="G16" s="53" t="s">
        <v>1992</v>
      </c>
      <c r="H16" s="46" t="s">
        <v>19</v>
      </c>
      <c r="I16" s="53">
        <v>46181</v>
      </c>
      <c r="J16" s="98"/>
      <c r="K16" s="46" t="s">
        <v>262</v>
      </c>
      <c r="L16" s="123">
        <f>VLOOKUP($C16&amp;$E16,'Updated SES'!A:N,14,0)</f>
        <v>127.11702000000001</v>
      </c>
      <c r="M16" s="124">
        <f>VLOOKUP($K16,'Genre Penetration'!A:B,2,0)*VLOOKUP($C16&amp;$E16,'Updated SES'!A:I,9,0)</f>
        <v>0.44889999999999997</v>
      </c>
      <c r="N16" s="124">
        <f>VLOOKUP(K:K,'Genre Penetration'!A:C,3,0)*VLOOKUP($C16&amp;$E16,'Updated SES'!A:J,10,0)</f>
        <v>0.1089</v>
      </c>
      <c r="O16" s="124" t="e">
        <f>VLOOKUP($B16,'Language Penetration'!$B$1:$BE$14,MATCH('Compile data Working'!$H71,'Language Penetration'!$B$1:$BE$1,0),0)</f>
        <v>#N/A</v>
      </c>
      <c r="P16" s="124" t="str">
        <f t="shared" ca="1" si="0"/>
        <v>1%</v>
      </c>
      <c r="Q16" s="123" t="e">
        <f t="shared" ca="1" si="1"/>
        <v>#N/A</v>
      </c>
      <c r="R16" s="125">
        <f>VLOOKUP(D:D,ranking!W:X,2,0)</f>
        <v>0.7</v>
      </c>
      <c r="S16" s="126" t="e">
        <f t="shared" ca="1" si="2"/>
        <v>#N/A</v>
      </c>
      <c r="T16" s="123">
        <v>15.250180061729001</v>
      </c>
    </row>
    <row r="17" spans="1:20" x14ac:dyDescent="0.25">
      <c r="A17" s="98" t="s">
        <v>2063</v>
      </c>
      <c r="B17" s="98" t="s">
        <v>85</v>
      </c>
      <c r="C17" s="46" t="s">
        <v>1988</v>
      </c>
      <c r="D17" s="46" t="s">
        <v>859</v>
      </c>
      <c r="E17" s="46" t="s">
        <v>211</v>
      </c>
      <c r="F17" s="46" t="s">
        <v>213</v>
      </c>
      <c r="G17" s="53" t="s">
        <v>2001</v>
      </c>
      <c r="H17" s="46" t="s">
        <v>19</v>
      </c>
      <c r="I17" s="53">
        <v>46182</v>
      </c>
      <c r="J17" s="98"/>
      <c r="K17" s="46" t="s">
        <v>145</v>
      </c>
      <c r="L17" s="123">
        <f>VLOOKUP($C17&amp;$E17,'Updated SES'!A:N,14,0)</f>
        <v>127.11702000000001</v>
      </c>
      <c r="M17" s="124">
        <f>VLOOKUP($K17,'Genre Penetration'!A:B,2,0)*VLOOKUP($C17&amp;$E17,'Updated SES'!A:I,9,0)</f>
        <v>0.24789999999999998</v>
      </c>
      <c r="N17" s="124">
        <f>VLOOKUP(K:K,'Genre Penetration'!A:C,3,0)*VLOOKUP($C17&amp;$E17,'Updated SES'!A:J,10,0)</f>
        <v>0.20789999999999997</v>
      </c>
      <c r="O17" s="124">
        <f>VLOOKUP($B17,'Language Penetration'!$B$1:$BE$14,MATCH('Compile data Working'!$H24,'Language Penetration'!$B$1:$BE$1,0),0)</f>
        <v>0.09</v>
      </c>
      <c r="P17" s="124" t="str">
        <f t="shared" ca="1" si="0"/>
        <v>2%</v>
      </c>
      <c r="Q17" s="123">
        <f t="shared" ca="1" si="1"/>
        <v>0.10429188788879999</v>
      </c>
      <c r="R17" s="125">
        <f>VLOOKUP(D:D,ranking!W:X,2,0)</f>
        <v>0.7</v>
      </c>
      <c r="S17" s="126">
        <f t="shared" ca="1" si="2"/>
        <v>7.3004321522159993E-2</v>
      </c>
      <c r="T17" s="123">
        <v>13.465751374172442</v>
      </c>
    </row>
    <row r="18" spans="1:20" x14ac:dyDescent="0.25">
      <c r="A18" s="98" t="s">
        <v>2063</v>
      </c>
      <c r="B18" s="98" t="s">
        <v>85</v>
      </c>
      <c r="C18" s="46" t="s">
        <v>64</v>
      </c>
      <c r="D18" s="46" t="s">
        <v>859</v>
      </c>
      <c r="E18" s="46" t="s">
        <v>211</v>
      </c>
      <c r="F18" s="46" t="s">
        <v>213</v>
      </c>
      <c r="G18" s="46" t="s">
        <v>2027</v>
      </c>
      <c r="H18" s="46" t="s">
        <v>40</v>
      </c>
      <c r="I18" s="53">
        <v>46185</v>
      </c>
      <c r="J18" s="98"/>
      <c r="K18" s="46" t="s">
        <v>162</v>
      </c>
      <c r="L18" s="123">
        <f>VLOOKUP($C18&amp;$E18,'Updated SES'!A:N,14,0)</f>
        <v>36.498239999999996</v>
      </c>
      <c r="M18" s="124">
        <f>VLOOKUP($K18,'Genre Penetration'!A:B,2,0)*VLOOKUP($C18&amp;$E18,'Updated SES'!A:I,9,0)</f>
        <v>0.36399999999999999</v>
      </c>
      <c r="N18" s="124">
        <f>VLOOKUP(K:K,'Genre Penetration'!A:C,3,0)*VLOOKUP($C18&amp;$E18,'Updated SES'!A:J,10,0)</f>
        <v>0.14399999999999999</v>
      </c>
      <c r="O18" s="124" t="e">
        <f>VLOOKUP($B18,'Language Penetration'!$B$1:$BE$14,MATCH('Compile data Working'!#REF!,'Language Penetration'!$B$1:$BE$1,0),0)</f>
        <v>#REF!</v>
      </c>
      <c r="P18" s="124" t="str">
        <f t="shared" ca="1" si="0"/>
        <v>2%</v>
      </c>
      <c r="Q18" s="123" t="e">
        <f t="shared" ca="1" si="1"/>
        <v>#REF!</v>
      </c>
      <c r="R18" s="125">
        <f>VLOOKUP(D:D,ranking!W:X,2,0)</f>
        <v>0.7</v>
      </c>
      <c r="S18" s="126" t="e">
        <f t="shared" ca="1" si="2"/>
        <v>#REF!</v>
      </c>
      <c r="T18" s="123">
        <v>8.7449952461065052</v>
      </c>
    </row>
    <row r="19" spans="1:20" x14ac:dyDescent="0.25">
      <c r="A19" s="98" t="s">
        <v>2063</v>
      </c>
      <c r="B19" s="98" t="s">
        <v>85</v>
      </c>
      <c r="C19" s="46" t="s">
        <v>123</v>
      </c>
      <c r="D19" s="46" t="s">
        <v>1013</v>
      </c>
      <c r="E19" s="46" t="s">
        <v>211</v>
      </c>
      <c r="F19" s="46" t="s">
        <v>213</v>
      </c>
      <c r="G19" s="46" t="s">
        <v>2011</v>
      </c>
      <c r="H19" s="46" t="s">
        <v>20</v>
      </c>
      <c r="I19" s="53">
        <v>46183</v>
      </c>
      <c r="J19" s="98"/>
      <c r="K19" s="46" t="s">
        <v>170</v>
      </c>
      <c r="L19" s="123">
        <f>VLOOKUP($C19&amp;$E19,'Updated SES'!A:N,14,0)</f>
        <v>55.459200000000003</v>
      </c>
      <c r="M19" s="124">
        <f>VLOOKUP($K19,'Genre Penetration'!A:B,2,0)*VLOOKUP($C19&amp;$E19,'Updated SES'!A:I,9,0)</f>
        <v>0.28419999999999995</v>
      </c>
      <c r="N19" s="124">
        <f>VLOOKUP(K:K,'Genre Penetration'!A:C,3,0)*VLOOKUP($C19&amp;$E19,'Updated SES'!A:J,10,0)</f>
        <v>0.2142</v>
      </c>
      <c r="O19" s="124">
        <f>VLOOKUP($B19,'Language Penetration'!$B$1:$BE$14,MATCH('Compile data Working'!$H77,'Language Penetration'!$B$1:$BE$1,0),0)</f>
        <v>0.6</v>
      </c>
      <c r="P19" s="124" t="str">
        <f t="shared" ca="1" si="0"/>
        <v>2%</v>
      </c>
      <c r="Q19" s="123">
        <f t="shared" ca="1" si="1"/>
        <v>0.33169038336000001</v>
      </c>
      <c r="R19" s="125">
        <f>VLOOKUP(D:D,ranking!W:X,2,0)</f>
        <v>0.8</v>
      </c>
      <c r="S19" s="126">
        <f t="shared" ca="1" si="2"/>
        <v>0.26535230668800003</v>
      </c>
      <c r="T19" s="123">
        <v>9.8601675889811187</v>
      </c>
    </row>
    <row r="20" spans="1:20" x14ac:dyDescent="0.25">
      <c r="A20" s="98" t="s">
        <v>2063</v>
      </c>
      <c r="B20" s="98" t="s">
        <v>85</v>
      </c>
      <c r="C20" s="46" t="s">
        <v>64</v>
      </c>
      <c r="D20" s="46" t="s">
        <v>859</v>
      </c>
      <c r="E20" s="46" t="s">
        <v>211</v>
      </c>
      <c r="F20" s="46" t="s">
        <v>213</v>
      </c>
      <c r="G20" s="46" t="s">
        <v>2002</v>
      </c>
      <c r="H20" s="46" t="s">
        <v>19</v>
      </c>
      <c r="I20" s="53">
        <v>46182</v>
      </c>
      <c r="J20" s="98"/>
      <c r="K20" s="46" t="s">
        <v>46</v>
      </c>
      <c r="L20" s="123">
        <f>VLOOKUP($C20&amp;$E20,'Updated SES'!A:N,14,0)</f>
        <v>36.498239999999996</v>
      </c>
      <c r="M20" s="124">
        <f>VLOOKUP($K20,'Genre Penetration'!A:B,2,0)*VLOOKUP($C20&amp;$E20,'Updated SES'!A:I,9,0)</f>
        <v>0.36399999999999999</v>
      </c>
      <c r="N20" s="124">
        <f>VLOOKUP(K:K,'Genre Penetration'!A:C,3,0)*VLOOKUP($C20&amp;$E20,'Updated SES'!A:J,10,0)</f>
        <v>0.14399999999999999</v>
      </c>
      <c r="O20" s="124">
        <f>VLOOKUP($B20,'Language Penetration'!$B$1:$BE$14,MATCH('Compile data Working'!$H28,'Language Penetration'!$B$1:$BE$1,0),0)</f>
        <v>0.2</v>
      </c>
      <c r="P20" s="124" t="str">
        <f t="shared" ca="1" si="0"/>
        <v>2%</v>
      </c>
      <c r="Q20" s="123">
        <f t="shared" ca="1" si="1"/>
        <v>7.4164423680000008E-2</v>
      </c>
      <c r="R20" s="125">
        <f>VLOOKUP(D:D,ranking!W:X,2,0)</f>
        <v>0.7</v>
      </c>
      <c r="S20" s="126">
        <f t="shared" ca="1" si="2"/>
        <v>5.1915096576000005E-2</v>
      </c>
      <c r="T20" s="123">
        <v>12.946393330651787</v>
      </c>
    </row>
    <row r="21" spans="1:20" x14ac:dyDescent="0.25">
      <c r="A21" s="98" t="s">
        <v>2063</v>
      </c>
      <c r="B21" s="98" t="s">
        <v>85</v>
      </c>
      <c r="C21" s="46" t="s">
        <v>64</v>
      </c>
      <c r="D21" s="46" t="s">
        <v>859</v>
      </c>
      <c r="E21" s="46" t="s">
        <v>211</v>
      </c>
      <c r="F21" s="46" t="s">
        <v>213</v>
      </c>
      <c r="G21" s="46" t="s">
        <v>2003</v>
      </c>
      <c r="H21" s="46" t="s">
        <v>21</v>
      </c>
      <c r="I21" s="53">
        <v>46182</v>
      </c>
      <c r="J21" s="98"/>
      <c r="K21" s="46" t="s">
        <v>2056</v>
      </c>
      <c r="L21" s="123">
        <f>VLOOKUP($C21&amp;$E21,'Updated SES'!A:N,14,0)</f>
        <v>36.498239999999996</v>
      </c>
      <c r="M21" s="124" t="e">
        <f>VLOOKUP($K21,'Genre Penetration'!A:B,2,0)*VLOOKUP($C21&amp;$E21,'Updated SES'!A:I,9,0)</f>
        <v>#N/A</v>
      </c>
      <c r="N21" s="124" t="e">
        <f>VLOOKUP(K:K,'Genre Penetration'!A:C,3,0)*VLOOKUP($C21&amp;$E21,'Updated SES'!A:J,10,0)</f>
        <v>#N/A</v>
      </c>
      <c r="O21" s="124">
        <f>VLOOKUP($B21,'Language Penetration'!$B$1:$BE$14,MATCH('Compile data Working'!$H170,'Language Penetration'!$B$1:$BE$1,0),0)</f>
        <v>0.6</v>
      </c>
      <c r="P21" s="124" t="str">
        <f t="shared" ca="1" si="0"/>
        <v>1%</v>
      </c>
      <c r="Q21" s="123" t="e">
        <f t="shared" ca="1" si="1"/>
        <v>#N/A</v>
      </c>
      <c r="R21" s="125">
        <f>VLOOKUP(D:D,ranking!W:X,2,0)</f>
        <v>0.7</v>
      </c>
      <c r="S21" s="126" t="e">
        <f t="shared" ca="1" si="2"/>
        <v>#N/A</v>
      </c>
      <c r="T21" s="123">
        <v>12.591439450584566</v>
      </c>
    </row>
    <row r="22" spans="1:20" x14ac:dyDescent="0.25">
      <c r="A22" s="98" t="s">
        <v>2063</v>
      </c>
      <c r="B22" s="98" t="s">
        <v>85</v>
      </c>
      <c r="C22" s="46" t="s">
        <v>123</v>
      </c>
      <c r="D22" s="46" t="s">
        <v>859</v>
      </c>
      <c r="E22" s="46" t="s">
        <v>211</v>
      </c>
      <c r="F22" s="46" t="s">
        <v>213</v>
      </c>
      <c r="G22" s="46" t="s">
        <v>2017</v>
      </c>
      <c r="H22" s="46" t="s">
        <v>20</v>
      </c>
      <c r="I22" s="53">
        <v>46184</v>
      </c>
      <c r="J22" s="98"/>
      <c r="K22" s="46" t="s">
        <v>145</v>
      </c>
      <c r="L22" s="123">
        <f>VLOOKUP($C22&amp;$E22,'Updated SES'!A:N,14,0)</f>
        <v>55.459200000000003</v>
      </c>
      <c r="M22" s="124">
        <f>VLOOKUP($K22,'Genre Penetration'!A:B,2,0)*VLOOKUP($C22&amp;$E22,'Updated SES'!A:I,9,0)</f>
        <v>0.18129999999999999</v>
      </c>
      <c r="N22" s="124">
        <f>VLOOKUP(K:K,'Genre Penetration'!A:C,3,0)*VLOOKUP($C22&amp;$E22,'Updated SES'!A:J,10,0)</f>
        <v>0.32130000000000003</v>
      </c>
      <c r="O22" s="124" t="e">
        <f>VLOOKUP($B22,'Language Penetration'!$B$1:$BE$14,MATCH('Compile data Working'!#REF!,'Language Penetration'!$B$1:$BE$1,0),0)</f>
        <v>#REF!</v>
      </c>
      <c r="P22" s="124" t="str">
        <f t="shared" ca="1" si="0"/>
        <v>2%</v>
      </c>
      <c r="Q22" s="123" t="e">
        <f t="shared" ca="1" si="1"/>
        <v>#REF!</v>
      </c>
      <c r="R22" s="125">
        <f>VLOOKUP(D:D,ranking!W:X,2,0)</f>
        <v>0.7</v>
      </c>
      <c r="S22" s="126" t="e">
        <f t="shared" ca="1" si="2"/>
        <v>#REF!</v>
      </c>
      <c r="T22" s="123">
        <v>9.1267864281141673</v>
      </c>
    </row>
    <row r="23" spans="1:20" x14ac:dyDescent="0.25">
      <c r="A23" s="98" t="s">
        <v>2063</v>
      </c>
      <c r="B23" s="98" t="s">
        <v>85</v>
      </c>
      <c r="C23" s="46" t="s">
        <v>1988</v>
      </c>
      <c r="D23" s="46" t="s">
        <v>859</v>
      </c>
      <c r="E23" s="46" t="s">
        <v>211</v>
      </c>
      <c r="F23" s="46" t="s">
        <v>213</v>
      </c>
      <c r="G23" s="46" t="s">
        <v>2028</v>
      </c>
      <c r="H23" s="46" t="s">
        <v>246</v>
      </c>
      <c r="I23" s="53">
        <v>46185</v>
      </c>
      <c r="J23" s="98">
        <v>5</v>
      </c>
      <c r="K23" s="46" t="s">
        <v>202</v>
      </c>
      <c r="L23" s="123">
        <f>VLOOKUP($C23&amp;$E23,'Updated SES'!A:N,14,0)</f>
        <v>127.11702000000001</v>
      </c>
      <c r="M23" s="124">
        <f>VLOOKUP($K23,'Genre Penetration'!A:B,2,0)*VLOOKUP($C23&amp;$E23,'Updated SES'!A:I,9,0)</f>
        <v>0.48239999999999994</v>
      </c>
      <c r="N23" s="124">
        <f>VLOOKUP(K:K,'Genre Penetration'!A:C,3,0)*VLOOKUP($C23&amp;$E23,'Updated SES'!A:J,10,0)</f>
        <v>9.2399999999999996E-2</v>
      </c>
      <c r="O23" s="124">
        <f>VLOOKUP($B23,'Language Penetration'!$B$1:$BE$14,MATCH('Compile data Working'!$H195,'Language Penetration'!$B$1:$BE$1,0),0)</f>
        <v>0.12</v>
      </c>
      <c r="P23" s="124" t="str">
        <f t="shared" ca="1" si="0"/>
        <v>20%</v>
      </c>
      <c r="Q23" s="123">
        <f t="shared" ca="1" si="1"/>
        <v>1.7536047143040001</v>
      </c>
      <c r="R23" s="125">
        <f>VLOOKUP(D:D,ranking!W:X,2,0)</f>
        <v>0.7</v>
      </c>
      <c r="S23" s="126">
        <f t="shared" ca="1" si="2"/>
        <v>1.2275233000128001</v>
      </c>
      <c r="T23" s="123">
        <v>16.514824804518501</v>
      </c>
    </row>
    <row r="24" spans="1:20" x14ac:dyDescent="0.25">
      <c r="A24" s="98" t="s">
        <v>2063</v>
      </c>
      <c r="B24" s="98" t="s">
        <v>85</v>
      </c>
      <c r="C24" s="46" t="s">
        <v>71</v>
      </c>
      <c r="D24" s="46" t="s">
        <v>859</v>
      </c>
      <c r="E24" s="46" t="s">
        <v>211</v>
      </c>
      <c r="F24" s="46" t="s">
        <v>213</v>
      </c>
      <c r="G24" s="46" t="s">
        <v>2018</v>
      </c>
      <c r="H24" s="46" t="s">
        <v>32</v>
      </c>
      <c r="I24" s="53">
        <v>46184</v>
      </c>
      <c r="J24" s="98"/>
      <c r="K24" s="46" t="s">
        <v>216</v>
      </c>
      <c r="L24" s="123">
        <f>VLOOKUP($C24&amp;$E24,'Updated SES'!A:N,14,0)</f>
        <v>4.1369999999999996</v>
      </c>
      <c r="M24" s="124">
        <f>VLOOKUP($K24,'Genre Penetration'!A:B,2,0)*VLOOKUP($C24&amp;$E24,'Updated SES'!A:I,9,0)</f>
        <v>0.375</v>
      </c>
      <c r="N24" s="124">
        <f>VLOOKUP(K:K,'Genre Penetration'!A:C,3,0)*VLOOKUP($C24&amp;$E24,'Updated SES'!A:J,10,0)</f>
        <v>0.125</v>
      </c>
      <c r="O24" s="124">
        <f>VLOOKUP($B24,'Language Penetration'!$B$1:$BE$14,MATCH('Compile data Working'!$H148,'Language Penetration'!$B$1:$BE$1,0),0)</f>
        <v>0.6</v>
      </c>
      <c r="P24" s="124" t="str">
        <f t="shared" ca="1" si="0"/>
        <v>1%</v>
      </c>
      <c r="Q24" s="123">
        <f t="shared" ca="1" si="1"/>
        <v>1.2410999999999998E-2</v>
      </c>
      <c r="R24" s="125">
        <f>VLOOKUP(D:D,ranking!W:X,2,0)</f>
        <v>0.7</v>
      </c>
      <c r="S24" s="126">
        <f t="shared" ca="1" si="2"/>
        <v>8.6876999999999979E-3</v>
      </c>
      <c r="T24" s="123">
        <v>1.1178016225598799</v>
      </c>
    </row>
    <row r="25" spans="1:20" x14ac:dyDescent="0.25">
      <c r="A25" s="98" t="s">
        <v>2063</v>
      </c>
      <c r="B25" s="98" t="s">
        <v>85</v>
      </c>
      <c r="C25" s="46" t="s">
        <v>64</v>
      </c>
      <c r="D25" s="46" t="s">
        <v>1012</v>
      </c>
      <c r="E25" s="46" t="s">
        <v>211</v>
      </c>
      <c r="F25" s="46" t="s">
        <v>215</v>
      </c>
      <c r="G25" s="46" t="s">
        <v>2029</v>
      </c>
      <c r="H25" s="46" t="s">
        <v>20</v>
      </c>
      <c r="I25" s="53">
        <v>46185</v>
      </c>
      <c r="J25" s="98"/>
      <c r="K25" s="46" t="s">
        <v>124</v>
      </c>
      <c r="L25" s="123">
        <f>VLOOKUP($C25&amp;$E25,'Updated SES'!A:N,14,0)</f>
        <v>36.498239999999996</v>
      </c>
      <c r="M25" s="124">
        <f>VLOOKUP($K25,'Genre Penetration'!A:B,2,0)*VLOOKUP($C25&amp;$E25,'Updated SES'!A:I,9,0)</f>
        <v>0.23400000000000001</v>
      </c>
      <c r="N25" s="124">
        <f>VLOOKUP(K:K,'Genre Penetration'!A:C,3,0)*VLOOKUP($C25&amp;$E25,'Updated SES'!A:J,10,0)</f>
        <v>0.26400000000000001</v>
      </c>
      <c r="O25" s="124">
        <f>VLOOKUP($B25,'Language Penetration'!$B$1:$BE$14,MATCH('Compile data Working'!$H25,'Language Penetration'!$B$1:$BE$1,0),0)</f>
        <v>0.2</v>
      </c>
      <c r="P25" s="124" t="str">
        <f t="shared" ca="1" si="0"/>
        <v>1%</v>
      </c>
      <c r="Q25" s="123">
        <f t="shared" ca="1" si="1"/>
        <v>3.6352247040000001E-2</v>
      </c>
      <c r="R25" s="125">
        <f>VLOOKUP(D:D,ranking!W:X,2,0)</f>
        <v>0.6</v>
      </c>
      <c r="S25" s="126">
        <f t="shared" ca="1" si="2"/>
        <v>2.1811348224E-2</v>
      </c>
      <c r="T25" s="123">
        <v>8.653959801409</v>
      </c>
    </row>
    <row r="26" spans="1:20" x14ac:dyDescent="0.25">
      <c r="A26" s="98" t="s">
        <v>2063</v>
      </c>
      <c r="B26" s="98" t="s">
        <v>85</v>
      </c>
      <c r="C26" s="46" t="s">
        <v>64</v>
      </c>
      <c r="D26" s="46" t="s">
        <v>1012</v>
      </c>
      <c r="E26" s="46" t="s">
        <v>211</v>
      </c>
      <c r="F26" s="46" t="s">
        <v>215</v>
      </c>
      <c r="G26" s="46" t="s">
        <v>2012</v>
      </c>
      <c r="H26" s="46" t="s">
        <v>459</v>
      </c>
      <c r="I26" s="53">
        <v>46183</v>
      </c>
      <c r="J26" s="98">
        <v>6</v>
      </c>
      <c r="K26" s="46" t="s">
        <v>172</v>
      </c>
      <c r="L26" s="123">
        <f>VLOOKUP($C26&amp;$E26,'Updated SES'!A:N,14,0)</f>
        <v>36.498239999999996</v>
      </c>
      <c r="M26" s="124">
        <f>VLOOKUP($K26,'Genre Penetration'!A:B,2,0)*VLOOKUP($C26&amp;$E26,'Updated SES'!A:I,9,0)</f>
        <v>0.20800000000000002</v>
      </c>
      <c r="N26" s="124">
        <f>VLOOKUP(K:K,'Genre Penetration'!A:C,3,0)*VLOOKUP($C26&amp;$E26,'Updated SES'!A:J,10,0)</f>
        <v>0.28799999999999998</v>
      </c>
      <c r="O26" s="124">
        <f>VLOOKUP($B26,'Language Penetration'!$B$1:$BE$14,MATCH('Compile data Working'!$H145,'Language Penetration'!$B$1:$BE$1,0),0)</f>
        <v>0.6</v>
      </c>
      <c r="P26" s="124" t="str">
        <f t="shared" ca="1" si="0"/>
        <v>13%</v>
      </c>
      <c r="Q26" s="123">
        <f t="shared" ca="1" si="1"/>
        <v>1.4120439091199997</v>
      </c>
      <c r="R26" s="125">
        <f>VLOOKUP(D:D,ranking!W:X,2,0)</f>
        <v>0.6</v>
      </c>
      <c r="S26" s="126">
        <f t="shared" ca="1" si="2"/>
        <v>0.84722634547199982</v>
      </c>
      <c r="T26" s="123">
        <v>10.153587510835072</v>
      </c>
    </row>
    <row r="27" spans="1:20" x14ac:dyDescent="0.25">
      <c r="A27" s="98" t="s">
        <v>2063</v>
      </c>
      <c r="B27" s="98" t="s">
        <v>85</v>
      </c>
      <c r="C27" s="46" t="s">
        <v>150</v>
      </c>
      <c r="D27" s="46" t="s">
        <v>437</v>
      </c>
      <c r="E27" s="46" t="s">
        <v>211</v>
      </c>
      <c r="F27" s="46" t="s">
        <v>451</v>
      </c>
      <c r="G27" s="46" t="s">
        <v>2030</v>
      </c>
      <c r="H27" s="46" t="s">
        <v>2053</v>
      </c>
      <c r="I27" s="53">
        <v>46185</v>
      </c>
      <c r="J27" s="98"/>
      <c r="K27" s="46" t="s">
        <v>902</v>
      </c>
      <c r="L27" s="123">
        <f>VLOOKUP($C27&amp;$E27,'Updated SES'!A:N,14,0)</f>
        <v>60.152000000000001</v>
      </c>
      <c r="M27" s="124">
        <f>VLOOKUP($K27,'Genre Penetration'!A:B,2,0)*VLOOKUP($C27&amp;$E27,'Updated SES'!A:I,9,0)</f>
        <v>0.48750000000000004</v>
      </c>
      <c r="N27" s="124">
        <f>VLOOKUP(K:K,'Genre Penetration'!A:C,3,0)*VLOOKUP($C27&amp;$E27,'Updated SES'!A:J,10,0)</f>
        <v>8.7499999999999994E-2</v>
      </c>
      <c r="O27" s="124">
        <f>VLOOKUP($B27,'Language Penetration'!$B$1:$BE$14,MATCH('Compile data Working'!$H119,'Language Penetration'!$B$1:$BE$1,0),0)</f>
        <v>0.6</v>
      </c>
      <c r="P27" s="124" t="str">
        <f t="shared" ca="1" si="0"/>
        <v>1%</v>
      </c>
      <c r="Q27" s="123">
        <f t="shared" ca="1" si="1"/>
        <v>0.2075244</v>
      </c>
      <c r="R27" s="125">
        <f>VLOOKUP(D:D,ranking!W:X,2,0)</f>
        <v>0.1</v>
      </c>
      <c r="S27" s="126">
        <f t="shared" ca="1" si="2"/>
        <v>2.075244E-2</v>
      </c>
      <c r="T27" s="123">
        <v>8.6466193398942295</v>
      </c>
    </row>
    <row r="28" spans="1:20" x14ac:dyDescent="0.25">
      <c r="A28" s="98" t="s">
        <v>2063</v>
      </c>
      <c r="B28" s="98" t="s">
        <v>85</v>
      </c>
      <c r="C28" s="46" t="s">
        <v>64</v>
      </c>
      <c r="D28" s="46" t="s">
        <v>859</v>
      </c>
      <c r="E28" s="46" t="s">
        <v>233</v>
      </c>
      <c r="F28" s="46" t="s">
        <v>213</v>
      </c>
      <c r="G28" s="46" t="s">
        <v>2031</v>
      </c>
      <c r="H28" s="46" t="s">
        <v>20</v>
      </c>
      <c r="I28" s="53">
        <v>46185</v>
      </c>
      <c r="J28" s="98"/>
      <c r="K28" s="46" t="s">
        <v>168</v>
      </c>
      <c r="L28" s="123">
        <f>VLOOKUP($C28&amp;$E28,'Updated SES'!A:N,14,0)</f>
        <v>4.6890000000000001</v>
      </c>
      <c r="M28" s="124">
        <f>VLOOKUP($K28,'Genre Penetration'!A:B,2,0)*VLOOKUP($C28&amp;$E28,'Updated SES'!A:I,9,0)</f>
        <v>0.43520000000000003</v>
      </c>
      <c r="N28" s="124">
        <f>VLOOKUP(K:K,'Genre Penetration'!A:C,3,0)*VLOOKUP($C28&amp;$E28,'Updated SES'!A:J,10,0)</f>
        <v>0.1152</v>
      </c>
      <c r="O28" s="124">
        <f>VLOOKUP($B28,'Language Penetration'!$B$1:$BE$14,MATCH('Compile data Working'!$H202,'Language Penetration'!$B$1:$BE$1,0),0)</f>
        <v>0.15</v>
      </c>
      <c r="P28" s="124" t="str">
        <f t="shared" ca="1" si="0"/>
        <v>1%</v>
      </c>
      <c r="Q28" s="123">
        <f t="shared" ca="1" si="1"/>
        <v>3.8712383999999996E-3</v>
      </c>
      <c r="R28" s="125">
        <f>VLOOKUP(D:D,ranking!W:X,2,0)</f>
        <v>0.7</v>
      </c>
      <c r="S28" s="126">
        <f t="shared" ca="1" si="2"/>
        <v>2.7098668799999995E-3</v>
      </c>
      <c r="T28" s="123">
        <v>8.5094449934234841</v>
      </c>
    </row>
    <row r="29" spans="1:20" x14ac:dyDescent="0.25">
      <c r="A29" s="98" t="s">
        <v>2063</v>
      </c>
      <c r="B29" s="98" t="s">
        <v>85</v>
      </c>
      <c r="C29" s="46" t="s">
        <v>64</v>
      </c>
      <c r="D29" s="46" t="s">
        <v>859</v>
      </c>
      <c r="E29" s="46" t="s">
        <v>211</v>
      </c>
      <c r="F29" s="46" t="s">
        <v>213</v>
      </c>
      <c r="G29" s="46" t="s">
        <v>2032</v>
      </c>
      <c r="H29" s="46" t="s">
        <v>29</v>
      </c>
      <c r="I29" s="53">
        <v>46185</v>
      </c>
      <c r="J29" s="98"/>
      <c r="K29" s="46" t="s">
        <v>279</v>
      </c>
      <c r="L29" s="123">
        <f>VLOOKUP($C29&amp;$E29,'Updated SES'!A:N,14,0)</f>
        <v>36.498239999999996</v>
      </c>
      <c r="M29" s="124">
        <f>VLOOKUP($K29,'Genre Penetration'!A:B,2,0)*VLOOKUP($C29&amp;$E29,'Updated SES'!A:I,9,0)</f>
        <v>0.23400000000000001</v>
      </c>
      <c r="N29" s="124">
        <f>VLOOKUP(K:K,'Genre Penetration'!A:C,3,0)*VLOOKUP($C29&amp;$E29,'Updated SES'!A:J,10,0)</f>
        <v>0.26400000000000001</v>
      </c>
      <c r="O29" s="124" t="e">
        <f>VLOOKUP($B29,'Language Penetration'!$B$1:$BE$14,MATCH('Compile data Working'!#REF!,'Language Penetration'!$B$1:$BE$1,0),0)</f>
        <v>#REF!</v>
      </c>
      <c r="P29" s="124" t="str">
        <f t="shared" ca="1" si="0"/>
        <v>2%</v>
      </c>
      <c r="Q29" s="123" t="e">
        <f t="shared" ca="1" si="1"/>
        <v>#REF!</v>
      </c>
      <c r="R29" s="125">
        <f>VLOOKUP(D:D,ranking!W:X,2,0)</f>
        <v>0.7</v>
      </c>
      <c r="S29" s="126" t="e">
        <f t="shared" ca="1" si="2"/>
        <v>#REF!</v>
      </c>
      <c r="T29" s="123">
        <v>8.4919037814928391</v>
      </c>
    </row>
    <row r="30" spans="1:20" x14ac:dyDescent="0.25">
      <c r="A30" s="98" t="s">
        <v>2063</v>
      </c>
      <c r="B30" s="98" t="s">
        <v>85</v>
      </c>
      <c r="C30" s="46" t="s">
        <v>123</v>
      </c>
      <c r="D30" s="46" t="s">
        <v>859</v>
      </c>
      <c r="E30" s="46" t="s">
        <v>211</v>
      </c>
      <c r="F30" s="46" t="s">
        <v>213</v>
      </c>
      <c r="G30" s="46" t="s">
        <v>2033</v>
      </c>
      <c r="H30" s="46" t="s">
        <v>21</v>
      </c>
      <c r="I30" s="53">
        <v>46185</v>
      </c>
      <c r="J30" s="98"/>
      <c r="K30" s="46" t="s">
        <v>1311</v>
      </c>
      <c r="L30" s="123">
        <f>VLOOKUP($C30&amp;$E30,'Updated SES'!A:N,14,0)</f>
        <v>55.459200000000003</v>
      </c>
      <c r="M30" s="124">
        <f>VLOOKUP($K30,'Genre Penetration'!A:B,2,0)*VLOOKUP($C30&amp;$E30,'Updated SES'!A:I,9,0)</f>
        <v>0.245</v>
      </c>
      <c r="N30" s="124">
        <f>VLOOKUP(K:K,'Genre Penetration'!A:C,3,0)*VLOOKUP($C30&amp;$E30,'Updated SES'!A:J,10,0)</f>
        <v>0.255</v>
      </c>
      <c r="O30" s="124">
        <f>VLOOKUP($B30,'Language Penetration'!$B$1:$BE$14,MATCH('Compile data Working'!$H201,'Language Penetration'!$B$1:$BE$1,0),0)</f>
        <v>0.6</v>
      </c>
      <c r="P30" s="124" t="str">
        <f t="shared" ca="1" si="0"/>
        <v>2%</v>
      </c>
      <c r="Q30" s="123">
        <f t="shared" ca="1" si="1"/>
        <v>0.33275520000000003</v>
      </c>
      <c r="R30" s="125">
        <f>VLOOKUP(D:D,ranking!W:X,2,0)</f>
        <v>0.7</v>
      </c>
      <c r="S30" s="126">
        <f t="shared" ca="1" si="2"/>
        <v>0.23292863999999999</v>
      </c>
      <c r="T30" s="123">
        <v>8.4652031226249704</v>
      </c>
    </row>
    <row r="31" spans="1:20" x14ac:dyDescent="0.25">
      <c r="A31" s="98" t="s">
        <v>2063</v>
      </c>
      <c r="B31" s="98" t="s">
        <v>85</v>
      </c>
      <c r="C31" s="46" t="s">
        <v>1988</v>
      </c>
      <c r="D31" s="46" t="s">
        <v>437</v>
      </c>
      <c r="E31" s="46" t="s">
        <v>211</v>
      </c>
      <c r="F31" s="46" t="s">
        <v>451</v>
      </c>
      <c r="G31" s="46" t="s">
        <v>2034</v>
      </c>
      <c r="H31" s="46" t="s">
        <v>378</v>
      </c>
      <c r="I31" s="53">
        <v>46185</v>
      </c>
      <c r="J31" s="98"/>
      <c r="K31" s="46" t="s">
        <v>902</v>
      </c>
      <c r="L31" s="123">
        <f>VLOOKUP($C31&amp;$E31,'Updated SES'!A:N,14,0)</f>
        <v>127.11702000000001</v>
      </c>
      <c r="M31" s="124">
        <f>VLOOKUP($K31,'Genre Penetration'!A:B,2,0)*VLOOKUP($C31&amp;$E31,'Updated SES'!A:I,9,0)</f>
        <v>0.50249999999999995</v>
      </c>
      <c r="N31" s="124">
        <f>VLOOKUP(K:K,'Genre Penetration'!A:C,3,0)*VLOOKUP($C31&amp;$E31,'Updated SES'!A:J,10,0)</f>
        <v>8.249999999999999E-2</v>
      </c>
      <c r="O31" s="124">
        <f>VLOOKUP($B31,'Language Penetration'!$B$1:$BE$14,MATCH('Compile data Working'!$H84,'Language Penetration'!$B$1:$BE$1,0),0)</f>
        <v>0.6</v>
      </c>
      <c r="P31" s="124" t="str">
        <f t="shared" ca="1" si="0"/>
        <v>2%</v>
      </c>
      <c r="Q31" s="123">
        <f t="shared" ca="1" si="1"/>
        <v>0.89236148040000007</v>
      </c>
      <c r="R31" s="125">
        <f>VLOOKUP(D:D,ranking!W:X,2,0)</f>
        <v>0.1</v>
      </c>
      <c r="S31" s="126">
        <f t="shared" ca="1" si="2"/>
        <v>8.9236148040000018E-2</v>
      </c>
      <c r="T31" s="123">
        <v>38.448857611588046</v>
      </c>
    </row>
    <row r="32" spans="1:20" x14ac:dyDescent="0.25">
      <c r="A32" s="98" t="s">
        <v>2063</v>
      </c>
      <c r="B32" s="98" t="s">
        <v>85</v>
      </c>
      <c r="C32" s="46" t="s">
        <v>127</v>
      </c>
      <c r="D32" s="46" t="s">
        <v>859</v>
      </c>
      <c r="E32" s="46" t="s">
        <v>211</v>
      </c>
      <c r="F32" s="46" t="s">
        <v>213</v>
      </c>
      <c r="G32" s="46" t="s">
        <v>2019</v>
      </c>
      <c r="H32" s="46" t="s">
        <v>30</v>
      </c>
      <c r="I32" s="53">
        <v>46184</v>
      </c>
      <c r="J32" s="98"/>
      <c r="K32" s="46" t="s">
        <v>216</v>
      </c>
      <c r="L32" s="123">
        <f>VLOOKUP($C32&amp;$E32,'Updated SES'!A:N,14,0)</f>
        <v>15.819999999999999</v>
      </c>
      <c r="M32" s="124">
        <f>VLOOKUP($K32,'Genre Penetration'!A:B,2,0)*VLOOKUP($C32&amp;$E32,'Updated SES'!A:I,9,0)</f>
        <v>0.375</v>
      </c>
      <c r="N32" s="124">
        <f>VLOOKUP(K:K,'Genre Penetration'!A:C,3,0)*VLOOKUP($C32&amp;$E32,'Updated SES'!A:J,10,0)</f>
        <v>0.125</v>
      </c>
      <c r="O32" s="124" t="e">
        <f>VLOOKUP($B32,'Language Penetration'!$B$1:$BE$14,MATCH('Compile data Working'!#REF!,'Language Penetration'!$B$1:$BE$1,0),0)</f>
        <v>#REF!</v>
      </c>
      <c r="P32" s="124" t="str">
        <f t="shared" ca="1" si="0"/>
        <v>2%</v>
      </c>
      <c r="Q32" s="123" t="e">
        <f t="shared" ca="1" si="1"/>
        <v>#REF!</v>
      </c>
      <c r="R32" s="125">
        <f>VLOOKUP(D:D,ranking!W:X,2,0)</f>
        <v>0.7</v>
      </c>
      <c r="S32" s="126" t="e">
        <f t="shared" ca="1" si="2"/>
        <v>#REF!</v>
      </c>
      <c r="T32" s="123">
        <v>1.0704661070419099</v>
      </c>
    </row>
    <row r="33" spans="1:20" x14ac:dyDescent="0.25">
      <c r="A33" s="98" t="s">
        <v>2063</v>
      </c>
      <c r="B33" s="98" t="s">
        <v>85</v>
      </c>
      <c r="C33" s="46" t="s">
        <v>1988</v>
      </c>
      <c r="D33" s="46" t="s">
        <v>1012</v>
      </c>
      <c r="E33" s="46" t="s">
        <v>211</v>
      </c>
      <c r="F33" s="46" t="s">
        <v>215</v>
      </c>
      <c r="G33" s="46" t="s">
        <v>1993</v>
      </c>
      <c r="H33" s="46" t="s">
        <v>19</v>
      </c>
      <c r="I33" s="53">
        <v>46181</v>
      </c>
      <c r="J33" s="98"/>
      <c r="K33" s="46" t="s">
        <v>1837</v>
      </c>
      <c r="L33" s="123">
        <f>VLOOKUP($C33&amp;$E33,'Updated SES'!A:N,14,0)</f>
        <v>127.11702000000001</v>
      </c>
      <c r="M33" s="124">
        <f>VLOOKUP($K33,'Genre Penetration'!A:B,2,0)*VLOOKUP($C33&amp;$E33,'Updated SES'!A:I,9,0)</f>
        <v>0.26799999999999996</v>
      </c>
      <c r="N33" s="124">
        <f>VLOOKUP(K:K,'Genre Penetration'!A:C,3,0)*VLOOKUP($C33&amp;$E33,'Updated SES'!A:J,10,0)</f>
        <v>0.19799999999999998</v>
      </c>
      <c r="O33" s="124">
        <f>VLOOKUP($B33,'Language Penetration'!$B$1:$BE$14,MATCH('Compile data Working'!$H62,'Language Penetration'!$B$1:$BE$1,0),0)</f>
        <v>0.2</v>
      </c>
      <c r="P33" s="124" t="str">
        <f t="shared" ca="1" si="0"/>
        <v>1%</v>
      </c>
      <c r="Q33" s="123">
        <f t="shared" ca="1" si="1"/>
        <v>0.11847306264000002</v>
      </c>
      <c r="R33" s="125">
        <f>VLOOKUP(D:D,ranking!W:X,2,0)</f>
        <v>0.6</v>
      </c>
      <c r="S33" s="126">
        <f t="shared" ca="1" si="2"/>
        <v>7.1083837584000012E-2</v>
      </c>
      <c r="T33" s="123">
        <v>17.476356242835362</v>
      </c>
    </row>
    <row r="34" spans="1:20" x14ac:dyDescent="0.25">
      <c r="A34" s="98" t="s">
        <v>2063</v>
      </c>
      <c r="B34" s="98" t="s">
        <v>85</v>
      </c>
      <c r="C34" s="46" t="s">
        <v>64</v>
      </c>
      <c r="D34" s="46" t="s">
        <v>859</v>
      </c>
      <c r="E34" s="46" t="s">
        <v>211</v>
      </c>
      <c r="F34" s="46" t="s">
        <v>213</v>
      </c>
      <c r="G34" s="46" t="s">
        <v>2035</v>
      </c>
      <c r="H34" s="46" t="s">
        <v>2054</v>
      </c>
      <c r="I34" s="53">
        <v>46185</v>
      </c>
      <c r="J34" s="98">
        <v>1</v>
      </c>
      <c r="K34" s="46" t="s">
        <v>78</v>
      </c>
      <c r="L34" s="123">
        <f>VLOOKUP($C34&amp;$E34,'Updated SES'!A:N,14,0)</f>
        <v>36.498239999999996</v>
      </c>
      <c r="M34" s="124">
        <f>VLOOKUP($K34,'Genre Penetration'!A:B,2,0)*VLOOKUP($C34&amp;$E34,'Updated SES'!A:I,9,0)</f>
        <v>0.24959999999999999</v>
      </c>
      <c r="N34" s="124">
        <f>VLOOKUP(K:K,'Genre Penetration'!A:C,3,0)*VLOOKUP($C34&amp;$E34,'Updated SES'!A:J,10,0)</f>
        <v>0.24959999999999999</v>
      </c>
      <c r="O34" s="124">
        <f>VLOOKUP($B34,'Language Penetration'!$B$1:$BE$14,MATCH('Compile data Working'!$H133,'Language Penetration'!$B$1:$BE$1,0),0)</f>
        <v>0.15</v>
      </c>
      <c r="P34" s="124" t="str">
        <f t="shared" ca="1" si="0"/>
        <v>37%</v>
      </c>
      <c r="Q34" s="123">
        <f t="shared" ca="1" si="1"/>
        <v>1.0112056381439998</v>
      </c>
      <c r="R34" s="125">
        <f>VLOOKUP(D:D,ranking!W:X,2,0)</f>
        <v>0.7</v>
      </c>
      <c r="S34" s="126">
        <f t="shared" ca="1" si="2"/>
        <v>0.70784394670079975</v>
      </c>
      <c r="T34" s="123">
        <v>19.208313389238899</v>
      </c>
    </row>
    <row r="35" spans="1:20" x14ac:dyDescent="0.25">
      <c r="A35" s="98" t="s">
        <v>2063</v>
      </c>
      <c r="B35" s="98" t="s">
        <v>85</v>
      </c>
      <c r="C35" s="46" t="s">
        <v>1988</v>
      </c>
      <c r="D35" s="46" t="s">
        <v>859</v>
      </c>
      <c r="E35" s="46" t="s">
        <v>211</v>
      </c>
      <c r="F35" s="46" t="s">
        <v>213</v>
      </c>
      <c r="G35" s="46" t="s">
        <v>2020</v>
      </c>
      <c r="H35" s="46" t="s">
        <v>21</v>
      </c>
      <c r="I35" s="53">
        <v>46184</v>
      </c>
      <c r="J35" s="98"/>
      <c r="K35" s="46" t="s">
        <v>1021</v>
      </c>
      <c r="L35" s="123">
        <f>VLOOKUP($C35&amp;$E35,'Updated SES'!A:N,14,0)</f>
        <v>127.11702000000001</v>
      </c>
      <c r="M35" s="124">
        <f>VLOOKUP($K35,'Genre Penetration'!A:B,2,0)*VLOOKUP($C35&amp;$E35,'Updated SES'!A:I,9,0)</f>
        <v>0.45894999999999997</v>
      </c>
      <c r="N35" s="124">
        <f>VLOOKUP(K:K,'Genre Penetration'!A:C,3,0)*VLOOKUP($C35&amp;$E35,'Updated SES'!A:J,10,0)</f>
        <v>0.10394999999999999</v>
      </c>
      <c r="O35" s="124">
        <f>VLOOKUP($B35,'Language Penetration'!$B$1:$BE$14,MATCH('Compile data Working'!$H203,'Language Penetration'!$B$1:$BE$1,0),0)</f>
        <v>0.6</v>
      </c>
      <c r="P35" s="124" t="str">
        <f t="shared" ca="1" si="0"/>
        <v>2%</v>
      </c>
      <c r="Q35" s="123">
        <f t="shared" ca="1" si="1"/>
        <v>0.85865004669599998</v>
      </c>
      <c r="R35" s="125">
        <f>VLOOKUP(D:D,ranking!W:X,2,0)</f>
        <v>0.7</v>
      </c>
      <c r="S35" s="126">
        <f t="shared" ca="1" si="2"/>
        <v>0.60105503268719995</v>
      </c>
      <c r="T35" s="123">
        <v>13.500427611615283</v>
      </c>
    </row>
    <row r="36" spans="1:20" x14ac:dyDescent="0.25">
      <c r="A36" s="98" t="s">
        <v>2063</v>
      </c>
      <c r="B36" s="98" t="s">
        <v>85</v>
      </c>
      <c r="C36" s="46" t="s">
        <v>150</v>
      </c>
      <c r="D36" s="46" t="s">
        <v>1012</v>
      </c>
      <c r="E36" s="46" t="s">
        <v>211</v>
      </c>
      <c r="F36" s="46" t="s">
        <v>215</v>
      </c>
      <c r="G36" s="46" t="s">
        <v>2036</v>
      </c>
      <c r="H36" s="46" t="s">
        <v>19</v>
      </c>
      <c r="I36" s="53">
        <v>46185</v>
      </c>
      <c r="J36" s="98">
        <v>1</v>
      </c>
      <c r="K36" s="46" t="s">
        <v>1837</v>
      </c>
      <c r="L36" s="123">
        <f>VLOOKUP($C36&amp;$E36,'Updated SES'!A:N,14,0)</f>
        <v>60.152000000000001</v>
      </c>
      <c r="M36" s="124">
        <f>VLOOKUP($K36,'Genre Penetration'!A:B,2,0)*VLOOKUP($C36&amp;$E36,'Updated SES'!A:I,9,0)</f>
        <v>0.26</v>
      </c>
      <c r="N36" s="124">
        <f>VLOOKUP(K:K,'Genre Penetration'!A:C,3,0)*VLOOKUP($C36&amp;$E36,'Updated SES'!A:J,10,0)</f>
        <v>0.21</v>
      </c>
      <c r="O36" s="124">
        <v>0.6</v>
      </c>
      <c r="P36" s="124" t="str">
        <f t="shared" ca="1" si="0"/>
        <v>37%</v>
      </c>
      <c r="Q36" s="123">
        <f t="shared" ca="1" si="1"/>
        <v>6.2762596799999999</v>
      </c>
      <c r="R36" s="125">
        <f>VLOOKUP(D:D,ranking!W:X,2,0)</f>
        <v>0.6</v>
      </c>
      <c r="S36" s="126">
        <f t="shared" ca="1" si="2"/>
        <v>3.7657558079999998</v>
      </c>
      <c r="T36" s="123">
        <v>5.0638328148017404</v>
      </c>
    </row>
    <row r="37" spans="1:20" x14ac:dyDescent="0.25">
      <c r="A37" s="98" t="s">
        <v>2063</v>
      </c>
      <c r="B37" s="98" t="s">
        <v>85</v>
      </c>
      <c r="C37" s="46" t="s">
        <v>64</v>
      </c>
      <c r="D37" s="46" t="s">
        <v>859</v>
      </c>
      <c r="E37" s="46" t="s">
        <v>211</v>
      </c>
      <c r="F37" s="46" t="s">
        <v>213</v>
      </c>
      <c r="G37" s="46" t="s">
        <v>2004</v>
      </c>
      <c r="H37" s="46" t="s">
        <v>22</v>
      </c>
      <c r="I37" s="53">
        <v>46182</v>
      </c>
      <c r="J37" s="98"/>
      <c r="K37" s="46" t="s">
        <v>78</v>
      </c>
      <c r="L37" s="123">
        <f>VLOOKUP($C37&amp;$E37,'Updated SES'!A:N,14,0)</f>
        <v>36.498239999999996</v>
      </c>
      <c r="M37" s="124">
        <f>VLOOKUP($K37,'Genre Penetration'!A:B,2,0)*VLOOKUP($C37&amp;$E37,'Updated SES'!A:I,9,0)</f>
        <v>0.24959999999999999</v>
      </c>
      <c r="N37" s="124">
        <f>VLOOKUP(K:K,'Genre Penetration'!A:C,3,0)*VLOOKUP($C37&amp;$E37,'Updated SES'!A:J,10,0)</f>
        <v>0.24959999999999999</v>
      </c>
      <c r="O37" s="124" t="e">
        <f>VLOOKUP($B37,'Language Penetration'!$B$1:$BE$14,MATCH('Compile data Working'!#REF!,'Language Penetration'!$B$1:$BE$1,0),0)</f>
        <v>#REF!</v>
      </c>
      <c r="P37" s="124" t="str">
        <f t="shared" ca="1" si="0"/>
        <v>2%</v>
      </c>
      <c r="Q37" s="123" t="e">
        <f t="shared" ca="1" si="1"/>
        <v>#REF!</v>
      </c>
      <c r="R37" s="125">
        <f>VLOOKUP(D:D,ranking!W:X,2,0)</f>
        <v>0.7</v>
      </c>
      <c r="S37" s="126" t="e">
        <f t="shared" ca="1" si="2"/>
        <v>#REF!</v>
      </c>
      <c r="T37" s="123">
        <v>12.547372772313212</v>
      </c>
    </row>
    <row r="38" spans="1:20" x14ac:dyDescent="0.25">
      <c r="A38" s="98" t="s">
        <v>2063</v>
      </c>
      <c r="B38" s="98" t="s">
        <v>85</v>
      </c>
      <c r="C38" s="46" t="s">
        <v>123</v>
      </c>
      <c r="D38" s="46" t="s">
        <v>1013</v>
      </c>
      <c r="E38" s="46" t="s">
        <v>211</v>
      </c>
      <c r="F38" s="46" t="s">
        <v>213</v>
      </c>
      <c r="G38" s="53" t="s">
        <v>2037</v>
      </c>
      <c r="H38" s="46" t="s">
        <v>28</v>
      </c>
      <c r="I38" s="53">
        <v>46185</v>
      </c>
      <c r="J38" s="98"/>
      <c r="K38" s="46" t="s">
        <v>171</v>
      </c>
      <c r="L38" s="123">
        <f>VLOOKUP($C38&amp;$E38,'Updated SES'!A:N,14,0)</f>
        <v>55.459200000000003</v>
      </c>
      <c r="M38" s="124">
        <f>VLOOKUP($K38,'Genre Penetration'!A:B,2,0)*VLOOKUP($C38&amp;$E38,'Updated SES'!A:I,9,0)</f>
        <v>0.26950000000000002</v>
      </c>
      <c r="N38" s="124">
        <f>VLOOKUP(K:K,'Genre Penetration'!A:C,3,0)*VLOOKUP($C38&amp;$E38,'Updated SES'!A:J,10,0)</f>
        <v>0.22950000000000001</v>
      </c>
      <c r="O38" s="124" t="e">
        <f>VLOOKUP($B38,'Language Penetration'!$B$1:$BE$14,MATCH('Compile data Working'!#REF!,'Language Penetration'!$B$1:$BE$1,0),0)</f>
        <v>#REF!</v>
      </c>
      <c r="P38" s="124" t="str">
        <f t="shared" ca="1" si="0"/>
        <v>1%</v>
      </c>
      <c r="Q38" s="123" t="e">
        <f t="shared" ca="1" si="1"/>
        <v>#REF!</v>
      </c>
      <c r="R38" s="125">
        <f>VLOOKUP(D:D,ranking!W:X,2,0)</f>
        <v>0.8</v>
      </c>
      <c r="S38" s="126" t="e">
        <f t="shared" ca="1" si="2"/>
        <v>#REF!</v>
      </c>
      <c r="T38" s="123">
        <v>7.8307071131657855</v>
      </c>
    </row>
    <row r="39" spans="1:20" x14ac:dyDescent="0.25">
      <c r="A39" s="98" t="s">
        <v>2063</v>
      </c>
      <c r="B39" s="98" t="s">
        <v>85</v>
      </c>
      <c r="C39" s="46" t="s">
        <v>64</v>
      </c>
      <c r="D39" s="46" t="s">
        <v>859</v>
      </c>
      <c r="E39" s="46" t="s">
        <v>233</v>
      </c>
      <c r="F39" s="46" t="s">
        <v>213</v>
      </c>
      <c r="G39" s="46" t="s">
        <v>2005</v>
      </c>
      <c r="H39" s="46" t="s">
        <v>21</v>
      </c>
      <c r="I39" s="53">
        <v>46182</v>
      </c>
      <c r="J39" s="98"/>
      <c r="K39" s="46" t="s">
        <v>165</v>
      </c>
      <c r="L39" s="123">
        <f>VLOOKUP($C39&amp;$E39,'Updated SES'!A:N,14,0)</f>
        <v>4.6890000000000001</v>
      </c>
      <c r="M39" s="124">
        <f>VLOOKUP($K39,'Genre Penetration'!A:B,2,0)*VLOOKUP($C39&amp;$E39,'Updated SES'!A:I,9,0)</f>
        <v>0.32640000000000002</v>
      </c>
      <c r="N39" s="124">
        <f>VLOOKUP(K:K,'Genre Penetration'!A:C,3,0)*VLOOKUP($C39&amp;$E39,'Updated SES'!A:J,10,0)</f>
        <v>0.16640000000000002</v>
      </c>
      <c r="O39" s="124" t="e">
        <f>VLOOKUP($B39,'Language Penetration'!$B$1:$BE$14,MATCH('Compile data Working'!#REF!,'Language Penetration'!$B$1:$BE$1,0),0)</f>
        <v>#REF!</v>
      </c>
      <c r="P39" s="124" t="str">
        <f t="shared" ca="1" si="0"/>
        <v>1%</v>
      </c>
      <c r="Q39" s="123" t="e">
        <f t="shared" ca="1" si="1"/>
        <v>#REF!</v>
      </c>
      <c r="R39" s="125">
        <f>VLOOKUP(D:D,ranking!W:X,2,0)</f>
        <v>0.7</v>
      </c>
      <c r="S39" s="126" t="e">
        <f t="shared" ca="1" si="2"/>
        <v>#REF!</v>
      </c>
      <c r="T39" s="123">
        <v>12.364488737867484</v>
      </c>
    </row>
    <row r="40" spans="1:20" x14ac:dyDescent="0.25">
      <c r="A40" s="98" t="s">
        <v>2063</v>
      </c>
      <c r="B40" s="98" t="s">
        <v>85</v>
      </c>
      <c r="C40" s="46" t="s">
        <v>123</v>
      </c>
      <c r="D40" s="46" t="s">
        <v>1012</v>
      </c>
      <c r="E40" s="46" t="s">
        <v>211</v>
      </c>
      <c r="F40" s="46" t="s">
        <v>215</v>
      </c>
      <c r="G40" s="53" t="s">
        <v>2013</v>
      </c>
      <c r="H40" s="46" t="s">
        <v>20</v>
      </c>
      <c r="I40" s="53">
        <v>46183</v>
      </c>
      <c r="J40" s="98"/>
      <c r="K40" s="46" t="s">
        <v>138</v>
      </c>
      <c r="L40" s="123">
        <f>VLOOKUP($C40&amp;$E40,'Updated SES'!A:N,14,0)</f>
        <v>55.459200000000003</v>
      </c>
      <c r="M40" s="124">
        <f>VLOOKUP($K40,'Genre Penetration'!A:B,2,0)*VLOOKUP($C40&amp;$E40,'Updated SES'!A:I,9,0)</f>
        <v>0.23029999999999998</v>
      </c>
      <c r="N40" s="124">
        <f>VLOOKUP(K:K,'Genre Penetration'!A:C,3,0)*VLOOKUP($C40&amp;$E40,'Updated SES'!A:J,10,0)</f>
        <v>0.27030000000000004</v>
      </c>
      <c r="O40" s="124">
        <v>8.0000000000000002E-3</v>
      </c>
      <c r="P40" s="124" t="str">
        <f t="shared" ca="1" si="0"/>
        <v>2%</v>
      </c>
      <c r="Q40" s="123">
        <f t="shared" ca="1" si="1"/>
        <v>4.442060083200001E-3</v>
      </c>
      <c r="R40" s="125">
        <f>VLOOKUP(D:D,ranking!W:X,2,0)</f>
        <v>0.6</v>
      </c>
      <c r="S40" s="126">
        <f t="shared" ca="1" si="2"/>
        <v>2.6652360499200005E-3</v>
      </c>
      <c r="T40" s="123">
        <v>9.4942215521583488</v>
      </c>
    </row>
    <row r="41" spans="1:20" x14ac:dyDescent="0.25">
      <c r="A41" s="98" t="s">
        <v>2063</v>
      </c>
      <c r="B41" s="98" t="s">
        <v>85</v>
      </c>
      <c r="C41" s="46" t="s">
        <v>64</v>
      </c>
      <c r="D41" s="46" t="s">
        <v>859</v>
      </c>
      <c r="E41" s="46" t="s">
        <v>211</v>
      </c>
      <c r="F41" s="46" t="s">
        <v>213</v>
      </c>
      <c r="G41" s="46" t="s">
        <v>2038</v>
      </c>
      <c r="H41" s="46" t="s">
        <v>25</v>
      </c>
      <c r="I41" s="53">
        <v>46185</v>
      </c>
      <c r="J41" s="98"/>
      <c r="K41" s="46" t="s">
        <v>216</v>
      </c>
      <c r="L41" s="123">
        <f>VLOOKUP($C41&amp;$E41,'Updated SES'!A:N,14,0)</f>
        <v>36.498239999999996</v>
      </c>
      <c r="M41" s="124">
        <f>VLOOKUP($K41,'Genre Penetration'!A:B,2,0)*VLOOKUP($C41&amp;$E41,'Updated SES'!A:I,9,0)</f>
        <v>0.26</v>
      </c>
      <c r="N41" s="124">
        <f>VLOOKUP(K:K,'Genre Penetration'!A:C,3,0)*VLOOKUP($C41&amp;$E41,'Updated SES'!A:J,10,0)</f>
        <v>0.24</v>
      </c>
      <c r="O41" s="124" t="e">
        <f>VLOOKUP($B41,'Language Penetration'!$B$1:$BE$14,MATCH('Compile data Working'!$H92,'Language Penetration'!$B$1:$BE$1,0),0)</f>
        <v>#N/A</v>
      </c>
      <c r="P41" s="124" t="str">
        <f t="shared" ca="1" si="0"/>
        <v>1%</v>
      </c>
      <c r="Q41" s="123" t="e">
        <f t="shared" ca="1" si="1"/>
        <v>#N/A</v>
      </c>
      <c r="R41" s="125">
        <f>VLOOKUP(D:D,ranking!W:X,2,0)</f>
        <v>0.7</v>
      </c>
      <c r="S41" s="126" t="e">
        <f t="shared" ca="1" si="2"/>
        <v>#N/A</v>
      </c>
      <c r="T41" s="123">
        <v>7.8051199579732975</v>
      </c>
    </row>
    <row r="42" spans="1:20" x14ac:dyDescent="0.25">
      <c r="A42" s="98" t="s">
        <v>2063</v>
      </c>
      <c r="B42" s="98" t="s">
        <v>85</v>
      </c>
      <c r="C42" s="46" t="s">
        <v>1988</v>
      </c>
      <c r="D42" s="46" t="s">
        <v>859</v>
      </c>
      <c r="E42" s="46" t="s">
        <v>211</v>
      </c>
      <c r="F42" s="46" t="s">
        <v>213</v>
      </c>
      <c r="G42" s="46" t="s">
        <v>1994</v>
      </c>
      <c r="H42" s="46" t="s">
        <v>378</v>
      </c>
      <c r="I42" s="53">
        <v>46181</v>
      </c>
      <c r="J42" s="98"/>
      <c r="K42" s="46" t="s">
        <v>158</v>
      </c>
      <c r="L42" s="123">
        <f>VLOOKUP($C42&amp;$E42,'Updated SES'!A:N,14,0)</f>
        <v>127.11702000000001</v>
      </c>
      <c r="M42" s="124">
        <f>VLOOKUP($K42,'Genre Penetration'!A:B,2,0)*VLOOKUP($C42&amp;$E42,'Updated SES'!A:I,9,0)</f>
        <v>0.30149999999999999</v>
      </c>
      <c r="N42" s="124">
        <f>VLOOKUP(K:K,'Genre Penetration'!A:C,3,0)*VLOOKUP($C42&amp;$E42,'Updated SES'!A:J,10,0)</f>
        <v>0.18149999999999999</v>
      </c>
      <c r="O42" s="124" t="e">
        <f>VLOOKUP($B42,'Language Penetration'!$B$1:$BE$14,MATCH('Compile data Working'!#REF!,'Language Penetration'!$B$1:$BE$1,0),0)</f>
        <v>#REF!</v>
      </c>
      <c r="P42" s="124" t="str">
        <f t="shared" ca="1" si="0"/>
        <v>2%</v>
      </c>
      <c r="Q42" s="123" t="e">
        <f t="shared" ca="1" si="1"/>
        <v>#REF!</v>
      </c>
      <c r="R42" s="125">
        <f>VLOOKUP(D:D,ranking!W:X,2,0)</f>
        <v>0.7</v>
      </c>
      <c r="S42" s="126" t="e">
        <f t="shared" ca="1" si="2"/>
        <v>#REF!</v>
      </c>
      <c r="T42" s="123">
        <v>17.102509974644661</v>
      </c>
    </row>
    <row r="43" spans="1:20" x14ac:dyDescent="0.25">
      <c r="A43" s="98" t="s">
        <v>2063</v>
      </c>
      <c r="B43" s="98" t="s">
        <v>85</v>
      </c>
      <c r="C43" s="46" t="s">
        <v>123</v>
      </c>
      <c r="D43" s="46" t="s">
        <v>1012</v>
      </c>
      <c r="E43" s="46" t="s">
        <v>211</v>
      </c>
      <c r="F43" s="46" t="s">
        <v>215</v>
      </c>
      <c r="G43" s="46" t="s">
        <v>2006</v>
      </c>
      <c r="H43" s="46" t="s">
        <v>20</v>
      </c>
      <c r="I43" s="53">
        <v>46182</v>
      </c>
      <c r="J43" s="98"/>
      <c r="K43" s="46" t="s">
        <v>158</v>
      </c>
      <c r="L43" s="123">
        <f>VLOOKUP($C43&amp;$E43,'Updated SES'!A:N,14,0)</f>
        <v>55.459200000000003</v>
      </c>
      <c r="M43" s="124">
        <f>VLOOKUP($K43,'Genre Penetration'!A:B,2,0)*VLOOKUP($C43&amp;$E43,'Updated SES'!A:I,9,0)</f>
        <v>0.2205</v>
      </c>
      <c r="N43" s="124">
        <f>VLOOKUP(K:K,'Genre Penetration'!A:C,3,0)*VLOOKUP($C43&amp;$E43,'Updated SES'!A:J,10,0)</f>
        <v>0.28050000000000003</v>
      </c>
      <c r="O43" s="124">
        <f>VLOOKUP($B43,'Language Penetration'!$B$1:$BE$14,MATCH('Compile data Working'!$H56,'Language Penetration'!$B$1:$BE$1,0),0)</f>
        <v>0.2</v>
      </c>
      <c r="P43" s="124" t="str">
        <f t="shared" ca="1" si="0"/>
        <v>1%</v>
      </c>
      <c r="Q43" s="123">
        <f t="shared" ca="1" si="1"/>
        <v>5.5570118400000014E-2</v>
      </c>
      <c r="R43" s="125">
        <f>VLOOKUP(D:D,ranking!W:X,2,0)</f>
        <v>0.6</v>
      </c>
      <c r="S43" s="126">
        <f t="shared" ca="1" si="2"/>
        <v>3.3342071040000004E-2</v>
      </c>
      <c r="T43" s="123">
        <v>10.67960901001147</v>
      </c>
    </row>
    <row r="44" spans="1:20" x14ac:dyDescent="0.25">
      <c r="A44" s="98" t="s">
        <v>2063</v>
      </c>
      <c r="B44" s="98" t="s">
        <v>85</v>
      </c>
      <c r="C44" s="46" t="s">
        <v>123</v>
      </c>
      <c r="D44" s="46" t="s">
        <v>1012</v>
      </c>
      <c r="E44" s="46" t="s">
        <v>211</v>
      </c>
      <c r="F44" s="46" t="s">
        <v>215</v>
      </c>
      <c r="G44" s="46" t="s">
        <v>2014</v>
      </c>
      <c r="H44" s="46" t="s">
        <v>850</v>
      </c>
      <c r="I44" s="53">
        <v>46183</v>
      </c>
      <c r="J44" s="98"/>
      <c r="K44" s="46" t="s">
        <v>1837</v>
      </c>
      <c r="L44" s="123">
        <f>VLOOKUP($C44&amp;$E44,'Updated SES'!A:N,14,0)</f>
        <v>55.459200000000003</v>
      </c>
      <c r="M44" s="124">
        <f>VLOOKUP($K44,'Genre Penetration'!A:B,2,0)*VLOOKUP($C44&amp;$E44,'Updated SES'!A:I,9,0)</f>
        <v>0.19600000000000001</v>
      </c>
      <c r="N44" s="124">
        <f>VLOOKUP(K:K,'Genre Penetration'!A:C,3,0)*VLOOKUP($C44&amp;$E44,'Updated SES'!A:J,10,0)</f>
        <v>0.30599999999999999</v>
      </c>
      <c r="O44" s="124" t="e">
        <f>VLOOKUP($B44,'Language Penetration'!$B$1:$BE$14,MATCH('Compile data Working'!$H111,'Language Penetration'!$B$1:$BE$1,0),0)</f>
        <v>#N/A</v>
      </c>
      <c r="P44" s="124" t="str">
        <f t="shared" ca="1" si="0"/>
        <v>1%</v>
      </c>
      <c r="Q44" s="123" t="e">
        <f t="shared" ca="1" si="1"/>
        <v>#N/A</v>
      </c>
      <c r="R44" s="125">
        <f>VLOOKUP(D:D,ranking!W:X,2,0)</f>
        <v>0.6</v>
      </c>
      <c r="S44" s="126" t="e">
        <f t="shared" ca="1" si="2"/>
        <v>#N/A</v>
      </c>
      <c r="T44" s="123">
        <v>9.2414241436221012</v>
      </c>
    </row>
    <row r="45" spans="1:20" x14ac:dyDescent="0.25">
      <c r="A45" s="98" t="s">
        <v>2063</v>
      </c>
      <c r="B45" s="98" t="s">
        <v>85</v>
      </c>
      <c r="C45" s="46" t="s">
        <v>64</v>
      </c>
      <c r="D45" s="46" t="s">
        <v>859</v>
      </c>
      <c r="E45" s="46" t="s">
        <v>211</v>
      </c>
      <c r="F45" s="46" t="s">
        <v>213</v>
      </c>
      <c r="G45" s="46" t="s">
        <v>2021</v>
      </c>
      <c r="H45" s="46" t="s">
        <v>21</v>
      </c>
      <c r="I45" s="53">
        <v>46184</v>
      </c>
      <c r="J45" s="98"/>
      <c r="K45" s="46" t="s">
        <v>80</v>
      </c>
      <c r="L45" s="123">
        <f>VLOOKUP($C45&amp;$E45,'Updated SES'!A:N,14,0)</f>
        <v>36.498239999999996</v>
      </c>
      <c r="M45" s="124">
        <f>VLOOKUP($K45,'Genre Penetration'!A:B,2,0)*VLOOKUP($C45&amp;$E45,'Updated SES'!A:I,9,0)</f>
        <v>0.34840000000000004</v>
      </c>
      <c r="N45" s="124">
        <f>VLOOKUP(K:K,'Genre Penetration'!A:C,3,0)*VLOOKUP($C45&amp;$E45,'Updated SES'!A:J,10,0)</f>
        <v>0.15840000000000001</v>
      </c>
      <c r="O45" s="124">
        <f>VLOOKUP($B45,'Language Penetration'!$B$1:$BE$14,MATCH('Compile data Working'!$H113,'Language Penetration'!$B$1:$BE$1,0),0)</f>
        <v>0.6</v>
      </c>
      <c r="P45" s="124" t="str">
        <f t="shared" ca="1" si="0"/>
        <v>1%</v>
      </c>
      <c r="Q45" s="123">
        <f t="shared" ca="1" si="1"/>
        <v>0.110983848192</v>
      </c>
      <c r="R45" s="125">
        <f>VLOOKUP(D:D,ranking!W:X,2,0)</f>
        <v>0.7</v>
      </c>
      <c r="S45" s="126">
        <f t="shared" ca="1" si="2"/>
        <v>7.7688693734399988E-2</v>
      </c>
      <c r="T45" s="123">
        <v>9.4949407326834709</v>
      </c>
    </row>
    <row r="46" spans="1:20" x14ac:dyDescent="0.25">
      <c r="A46" s="98" t="s">
        <v>2063</v>
      </c>
      <c r="B46" s="98" t="s">
        <v>85</v>
      </c>
      <c r="C46" s="46" t="s">
        <v>100</v>
      </c>
      <c r="D46" s="46" t="s">
        <v>1013</v>
      </c>
      <c r="E46" s="46" t="s">
        <v>211</v>
      </c>
      <c r="F46" s="46" t="s">
        <v>213</v>
      </c>
      <c r="G46" s="46" t="s">
        <v>2039</v>
      </c>
      <c r="H46" s="46" t="s">
        <v>23</v>
      </c>
      <c r="I46" s="53">
        <v>46185</v>
      </c>
      <c r="J46" s="98"/>
      <c r="K46" s="46" t="s">
        <v>217</v>
      </c>
      <c r="L46" s="123">
        <f>VLOOKUP($C46&amp;$E46,'Updated SES'!A:N,14,0)</f>
        <v>1.8480000000000003</v>
      </c>
      <c r="M46" s="124">
        <f>VLOOKUP($K46,'Genre Penetration'!A:B,2,0)*VLOOKUP($C46&amp;$E46,'Updated SES'!A:I,9,0)</f>
        <v>0.45239999999999997</v>
      </c>
      <c r="N46" s="124">
        <f>VLOOKUP(K:K,'Genre Penetration'!A:C,3,0)*VLOOKUP($C46&amp;$E46,'Updated SES'!A:J,10,0)</f>
        <v>9.2399999999999996E-2</v>
      </c>
      <c r="O46" s="124" t="e">
        <f>VLOOKUP($B46,'Language Penetration'!$B$1:$BE$14,MATCH('Compile data Working'!$H26,'Language Penetration'!$B$1:$BE$1,0),0)</f>
        <v>#N/A</v>
      </c>
      <c r="P46" s="124" t="str">
        <f t="shared" ca="1" si="0"/>
        <v>2%</v>
      </c>
      <c r="Q46" s="123" t="e">
        <f t="shared" ca="1" si="1"/>
        <v>#N/A</v>
      </c>
      <c r="R46" s="125">
        <f>VLOOKUP(D:D,ranking!W:X,2,0)</f>
        <v>0.8</v>
      </c>
      <c r="S46" s="126" t="e">
        <f t="shared" ca="1" si="2"/>
        <v>#N/A</v>
      </c>
      <c r="T46" s="123">
        <v>2.7879849752472001</v>
      </c>
    </row>
    <row r="47" spans="1:20" x14ac:dyDescent="0.25">
      <c r="A47" s="98" t="s">
        <v>2063</v>
      </c>
      <c r="B47" s="98" t="s">
        <v>85</v>
      </c>
      <c r="C47" s="46" t="s">
        <v>117</v>
      </c>
      <c r="D47" s="46" t="s">
        <v>859</v>
      </c>
      <c r="E47" s="46" t="s">
        <v>211</v>
      </c>
      <c r="F47" s="46" t="s">
        <v>213</v>
      </c>
      <c r="G47" s="46" t="s">
        <v>2040</v>
      </c>
      <c r="H47" s="46" t="s">
        <v>26</v>
      </c>
      <c r="I47" s="53">
        <v>46185</v>
      </c>
      <c r="J47" s="98"/>
      <c r="K47" s="46" t="s">
        <v>216</v>
      </c>
      <c r="L47" s="123">
        <f>VLOOKUP($C47&amp;$E47,'Updated SES'!A:N,14,0)</f>
        <v>0.15089999999999998</v>
      </c>
      <c r="M47" s="124">
        <f>VLOOKUP($K47,'Genre Penetration'!A:B,2,0)*VLOOKUP($C47&amp;$E47,'Updated SES'!A:I,9,0)</f>
        <v>0.37</v>
      </c>
      <c r="N47" s="124">
        <f>VLOOKUP(K:K,'Genre Penetration'!A:C,3,0)*VLOOKUP($C47&amp;$E47,'Updated SES'!A:J,10,0)</f>
        <v>0.13</v>
      </c>
      <c r="O47" s="124">
        <f>VLOOKUP($B47,'Language Penetration'!$B$1:$BE$14,MATCH('Compile data Working'!$H76,'Language Penetration'!$B$1:$BE$1,0),0)</f>
        <v>0.6</v>
      </c>
      <c r="P47" s="124" t="str">
        <f t="shared" ca="1" si="0"/>
        <v>1%</v>
      </c>
      <c r="Q47" s="123">
        <f t="shared" ca="1" si="1"/>
        <v>4.5269999999999989E-4</v>
      </c>
      <c r="R47" s="125">
        <f>VLOOKUP(D:D,ranking!W:X,2,0)</f>
        <v>0.7</v>
      </c>
      <c r="S47" s="126">
        <f t="shared" ca="1" si="2"/>
        <v>3.168899999999999E-4</v>
      </c>
      <c r="T47" s="123">
        <v>1.55797458550053</v>
      </c>
    </row>
    <row r="48" spans="1:20" x14ac:dyDescent="0.25">
      <c r="A48" s="98" t="s">
        <v>2063</v>
      </c>
      <c r="B48" s="98" t="s">
        <v>85</v>
      </c>
      <c r="C48" s="46" t="s">
        <v>455</v>
      </c>
      <c r="D48" s="46" t="s">
        <v>1013</v>
      </c>
      <c r="E48" s="46" t="s">
        <v>211</v>
      </c>
      <c r="F48" s="46" t="s">
        <v>213</v>
      </c>
      <c r="G48" s="53" t="s">
        <v>2041</v>
      </c>
      <c r="H48" s="46" t="s">
        <v>468</v>
      </c>
      <c r="I48" s="53">
        <v>46185</v>
      </c>
      <c r="J48" s="98"/>
      <c r="K48" s="46" t="s">
        <v>216</v>
      </c>
      <c r="L48" s="123">
        <f>VLOOKUP($C48&amp;$E48,'Updated SES'!A:N,14,0)</f>
        <v>11.0107</v>
      </c>
      <c r="M48" s="124">
        <f>VLOOKUP($K48,'Genre Penetration'!A:B,2,0)*VLOOKUP($C48&amp;$E48,'Updated SES'!A:I,9,0)</f>
        <v>0.3</v>
      </c>
      <c r="N48" s="124">
        <f>VLOOKUP(K:K,'Genre Penetration'!A:C,3,0)*VLOOKUP($C48&amp;$E48,'Updated SES'!A:J,10,0)</f>
        <v>0.2</v>
      </c>
      <c r="O48" s="124" t="e">
        <f>VLOOKUP($B48,'Language Penetration'!$B$1:$BE$14,MATCH('Compile data Working'!$H30,'Language Penetration'!$B$1:$BE$1,0),0)</f>
        <v>#N/A</v>
      </c>
      <c r="P48" s="124" t="str">
        <f t="shared" ca="1" si="0"/>
        <v>2%</v>
      </c>
      <c r="Q48" s="123" t="e">
        <f t="shared" ca="1" si="1"/>
        <v>#N/A</v>
      </c>
      <c r="R48" s="125">
        <f>VLOOKUP(D:D,ranking!W:X,2,0)</f>
        <v>0.8</v>
      </c>
      <c r="S48" s="126" t="e">
        <f t="shared" ca="1" si="2"/>
        <v>#N/A</v>
      </c>
      <c r="T48" s="123">
        <v>3.5000690130215402</v>
      </c>
    </row>
    <row r="49" spans="1:20" x14ac:dyDescent="0.25">
      <c r="A49" s="98" t="s">
        <v>2063</v>
      </c>
      <c r="B49" s="98" t="s">
        <v>85</v>
      </c>
      <c r="C49" s="46" t="s">
        <v>64</v>
      </c>
      <c r="D49" s="46" t="s">
        <v>859</v>
      </c>
      <c r="E49" s="46" t="s">
        <v>211</v>
      </c>
      <c r="F49" s="46" t="s">
        <v>213</v>
      </c>
      <c r="G49" s="53" t="s">
        <v>2042</v>
      </c>
      <c r="H49" s="46" t="s">
        <v>26</v>
      </c>
      <c r="I49" s="53">
        <v>46185</v>
      </c>
      <c r="J49" s="98"/>
      <c r="K49" s="46" t="s">
        <v>46</v>
      </c>
      <c r="L49" s="123">
        <f>VLOOKUP($C49&amp;$E49,'Updated SES'!A:N,14,0)</f>
        <v>36.498239999999996</v>
      </c>
      <c r="M49" s="124">
        <f>VLOOKUP($K49,'Genre Penetration'!A:B,2,0)*VLOOKUP($C49&amp;$E49,'Updated SES'!A:I,9,0)</f>
        <v>0.36399999999999999</v>
      </c>
      <c r="N49" s="124">
        <f>VLOOKUP(K:K,'Genre Penetration'!A:C,3,0)*VLOOKUP($C49&amp;$E49,'Updated SES'!A:J,10,0)</f>
        <v>0.14399999999999999</v>
      </c>
      <c r="O49" s="124" t="e">
        <f>VLOOKUP($B49,'Language Penetration'!$B$1:$BE$14,MATCH('Compile data Working'!#REF!,'Language Penetration'!$B$1:$BE$1,0),0)</f>
        <v>#REF!</v>
      </c>
      <c r="P49" s="124" t="str">
        <f t="shared" ca="1" si="0"/>
        <v>1%</v>
      </c>
      <c r="Q49" s="123" t="e">
        <f t="shared" ca="1" si="1"/>
        <v>#REF!</v>
      </c>
      <c r="R49" s="125">
        <f>VLOOKUP(D:D,ranking!W:X,2,0)</f>
        <v>0.7</v>
      </c>
      <c r="S49" s="126" t="e">
        <f t="shared" ca="1" si="2"/>
        <v>#REF!</v>
      </c>
      <c r="T49" s="123">
        <v>7.4609514387764575</v>
      </c>
    </row>
    <row r="50" spans="1:20" x14ac:dyDescent="0.25">
      <c r="A50" s="98" t="s">
        <v>2063</v>
      </c>
      <c r="B50" s="98" t="s">
        <v>85</v>
      </c>
      <c r="C50" s="46" t="s">
        <v>64</v>
      </c>
      <c r="D50" s="46" t="s">
        <v>859</v>
      </c>
      <c r="E50" s="46" t="s">
        <v>211</v>
      </c>
      <c r="F50" s="46" t="s">
        <v>213</v>
      </c>
      <c r="G50" s="46" t="s">
        <v>2043</v>
      </c>
      <c r="H50" s="46" t="s">
        <v>28</v>
      </c>
      <c r="I50" s="53">
        <v>46185</v>
      </c>
      <c r="J50" s="98"/>
      <c r="K50" s="46" t="s">
        <v>183</v>
      </c>
      <c r="L50" s="123">
        <f>VLOOKUP($C50&amp;$E50,'Updated SES'!A:N,14,0)</f>
        <v>36.498239999999996</v>
      </c>
      <c r="M50" s="124">
        <f>VLOOKUP($K50,'Genre Penetration'!A:B,2,0)*VLOOKUP($C50&amp;$E50,'Updated SES'!A:I,9,0)</f>
        <v>0.27560000000000001</v>
      </c>
      <c r="N50" s="124">
        <f>VLOOKUP(K:K,'Genre Penetration'!A:C,3,0)*VLOOKUP($C50&amp;$E50,'Updated SES'!A:J,10,0)</f>
        <v>0.22559999999999997</v>
      </c>
      <c r="O50" s="124" t="e">
        <f>VLOOKUP($B50,'Language Penetration'!$B$1:$BE$14,MATCH('Compile data Working'!#REF!,'Language Penetration'!$B$1:$BE$1,0),0)</f>
        <v>#REF!</v>
      </c>
      <c r="P50" s="124" t="str">
        <f t="shared" ca="1" si="0"/>
        <v>2%</v>
      </c>
      <c r="Q50" s="123" t="e">
        <f t="shared" ca="1" si="1"/>
        <v>#REF!</v>
      </c>
      <c r="R50" s="125">
        <f>VLOOKUP(D:D,ranking!W:X,2,0)</f>
        <v>0.7</v>
      </c>
      <c r="S50" s="126" t="e">
        <f t="shared" ca="1" si="2"/>
        <v>#REF!</v>
      </c>
      <c r="T50" s="123">
        <v>7.3627798192762306</v>
      </c>
    </row>
    <row r="51" spans="1:20" x14ac:dyDescent="0.25">
      <c r="A51" s="98" t="s">
        <v>2063</v>
      </c>
      <c r="B51" s="98" t="s">
        <v>85</v>
      </c>
      <c r="C51" s="46" t="s">
        <v>64</v>
      </c>
      <c r="D51" s="46" t="s">
        <v>1012</v>
      </c>
      <c r="E51" s="46" t="s">
        <v>211</v>
      </c>
      <c r="F51" s="46" t="s">
        <v>215</v>
      </c>
      <c r="G51" s="46" t="s">
        <v>2044</v>
      </c>
      <c r="H51" s="46" t="s">
        <v>40</v>
      </c>
      <c r="I51" s="53">
        <v>46185</v>
      </c>
      <c r="J51" s="98">
        <v>2</v>
      </c>
      <c r="K51" s="46" t="s">
        <v>202</v>
      </c>
      <c r="L51" s="123">
        <f>VLOOKUP($C51&amp;$E51,'Updated SES'!A:N,14,0)</f>
        <v>36.498239999999996</v>
      </c>
      <c r="M51" s="124">
        <f>VLOOKUP($K51,'Genre Penetration'!A:B,2,0)*VLOOKUP($C51&amp;$E51,'Updated SES'!A:I,9,0)</f>
        <v>0.37440000000000001</v>
      </c>
      <c r="N51" s="124">
        <f>VLOOKUP(K:K,'Genre Penetration'!A:C,3,0)*VLOOKUP($C51&amp;$E51,'Updated SES'!A:J,10,0)</f>
        <v>0.13440000000000002</v>
      </c>
      <c r="O51" s="124">
        <v>8.0000000000000002E-3</v>
      </c>
      <c r="P51" s="124" t="str">
        <f t="shared" ca="1" si="0"/>
        <v>35%</v>
      </c>
      <c r="Q51" s="123">
        <f t="shared" ca="1" si="1"/>
        <v>5.1996852633600002E-2</v>
      </c>
      <c r="R51" s="125">
        <f>VLOOKUP(D:D,ranking!W:X,2,0)</f>
        <v>0.6</v>
      </c>
      <c r="S51" s="126">
        <f t="shared" ca="1" si="2"/>
        <v>3.119811158016E-2</v>
      </c>
      <c r="T51" s="123">
        <v>8.7556846756067745</v>
      </c>
    </row>
    <row r="52" spans="1:20" x14ac:dyDescent="0.25">
      <c r="A52" s="98" t="s">
        <v>2063</v>
      </c>
      <c r="B52" s="98" t="s">
        <v>85</v>
      </c>
      <c r="C52" s="46" t="s">
        <v>64</v>
      </c>
      <c r="D52" s="46" t="s">
        <v>859</v>
      </c>
      <c r="E52" s="46" t="s">
        <v>211</v>
      </c>
      <c r="F52" s="46" t="s">
        <v>213</v>
      </c>
      <c r="G52" s="46" t="s">
        <v>2045</v>
      </c>
      <c r="H52" s="46" t="s">
        <v>23</v>
      </c>
      <c r="I52" s="53">
        <v>46185</v>
      </c>
      <c r="J52" s="98"/>
      <c r="K52" s="46" t="s">
        <v>172</v>
      </c>
      <c r="L52" s="123">
        <f>VLOOKUP($C52&amp;$E52,'Updated SES'!A:N,14,0)</f>
        <v>36.498239999999996</v>
      </c>
      <c r="M52" s="124">
        <f>VLOOKUP($K52,'Genre Penetration'!A:B,2,0)*VLOOKUP($C52&amp;$E52,'Updated SES'!A:I,9,0)</f>
        <v>0.20800000000000002</v>
      </c>
      <c r="N52" s="124">
        <f>VLOOKUP(K:K,'Genre Penetration'!A:C,3,0)*VLOOKUP($C52&amp;$E52,'Updated SES'!A:J,10,0)</f>
        <v>0.28799999999999998</v>
      </c>
      <c r="O52" s="124" t="e">
        <f>VLOOKUP($B52,'Language Penetration'!$B$1:$BE$14,MATCH('Compile data Working'!$H15,'Language Penetration'!$B$1:$BE$1,0),0)</f>
        <v>#N/A</v>
      </c>
      <c r="P52" s="124" t="str">
        <f t="shared" ca="1" si="0"/>
        <v>1%</v>
      </c>
      <c r="Q52" s="123" t="e">
        <f t="shared" ca="1" si="1"/>
        <v>#N/A</v>
      </c>
      <c r="R52" s="125">
        <f>VLOOKUP(D:D,ranking!W:X,2,0)</f>
        <v>0.7</v>
      </c>
      <c r="S52" s="126" t="e">
        <f t="shared" ca="1" si="2"/>
        <v>#N/A</v>
      </c>
      <c r="T52" s="123">
        <v>7.2936793867129861</v>
      </c>
    </row>
    <row r="53" spans="1:20" x14ac:dyDescent="0.25">
      <c r="A53" s="98" t="s">
        <v>2063</v>
      </c>
      <c r="B53" s="98" t="s">
        <v>85</v>
      </c>
      <c r="C53" s="46" t="s">
        <v>1988</v>
      </c>
      <c r="D53" s="46" t="s">
        <v>859</v>
      </c>
      <c r="E53" s="46" t="s">
        <v>211</v>
      </c>
      <c r="F53" s="46" t="s">
        <v>213</v>
      </c>
      <c r="G53" s="46" t="s">
        <v>2007</v>
      </c>
      <c r="H53" s="46" t="s">
        <v>19</v>
      </c>
      <c r="I53" s="53">
        <v>46182</v>
      </c>
      <c r="J53" s="98"/>
      <c r="K53" s="46" t="s">
        <v>145</v>
      </c>
      <c r="L53" s="123">
        <f>VLOOKUP($C53&amp;$E53,'Updated SES'!A:N,14,0)</f>
        <v>127.11702000000001</v>
      </c>
      <c r="M53" s="124">
        <f>VLOOKUP($K53,'Genre Penetration'!A:B,2,0)*VLOOKUP($C53&amp;$E53,'Updated SES'!A:I,9,0)</f>
        <v>0.24789999999999998</v>
      </c>
      <c r="N53" s="124">
        <f>VLOOKUP(K:K,'Genre Penetration'!A:C,3,0)*VLOOKUP($C53&amp;$E53,'Updated SES'!A:J,10,0)</f>
        <v>0.20789999999999997</v>
      </c>
      <c r="O53" s="124" t="e">
        <f>VLOOKUP($B53,'Language Penetration'!$B$1:$BE$14,MATCH('Compile data Working'!#REF!,'Language Penetration'!$B$1:$BE$1,0),0)</f>
        <v>#REF!</v>
      </c>
      <c r="P53" s="124" t="str">
        <f t="shared" ca="1" si="0"/>
        <v>2%</v>
      </c>
      <c r="Q53" s="123" t="e">
        <f t="shared" ca="1" si="1"/>
        <v>#REF!</v>
      </c>
      <c r="R53" s="125">
        <f>VLOOKUP(D:D,ranking!W:X,2,0)</f>
        <v>0.7</v>
      </c>
      <c r="S53" s="126" t="e">
        <f t="shared" ca="1" si="2"/>
        <v>#REF!</v>
      </c>
      <c r="T53" s="123">
        <v>11.028380711442075</v>
      </c>
    </row>
    <row r="54" spans="1:20" x14ac:dyDescent="0.25">
      <c r="A54" s="98" t="s">
        <v>2063</v>
      </c>
      <c r="B54" s="98" t="s">
        <v>85</v>
      </c>
      <c r="C54" s="46" t="s">
        <v>114</v>
      </c>
      <c r="D54" s="46" t="s">
        <v>859</v>
      </c>
      <c r="E54" s="46" t="s">
        <v>211</v>
      </c>
      <c r="F54" s="46" t="s">
        <v>213</v>
      </c>
      <c r="G54" s="46" t="s">
        <v>2046</v>
      </c>
      <c r="H54" s="46" t="s">
        <v>28</v>
      </c>
      <c r="I54" s="53">
        <v>46185</v>
      </c>
      <c r="J54" s="98"/>
      <c r="K54" s="46" t="s">
        <v>103</v>
      </c>
      <c r="L54" s="123">
        <f>VLOOKUP($C54&amp;$E54,'Updated SES'!A:N,14,0)</f>
        <v>25.340000000000003</v>
      </c>
      <c r="M54" s="124">
        <f>VLOOKUP($K54,'Genre Penetration'!A:B,2,0)*VLOOKUP($C54&amp;$E54,'Updated SES'!A:I,9,0)</f>
        <v>0.58219999999999994</v>
      </c>
      <c r="N54" s="124">
        <f>VLOOKUP(K:K,'Genre Penetration'!A:C,3,0)*VLOOKUP($C54&amp;$E54,'Updated SES'!A:J,10,0)</f>
        <v>5.2199999999999996E-2</v>
      </c>
      <c r="O54" s="124">
        <v>8.0000000000000002E-3</v>
      </c>
      <c r="P54" s="124" t="str">
        <f t="shared" ca="1" si="0"/>
        <v>1%</v>
      </c>
      <c r="Q54" s="123">
        <f t="shared" ca="1" si="1"/>
        <v>1.28605568E-3</v>
      </c>
      <c r="R54" s="125">
        <f>VLOOKUP(D:D,ranking!W:X,2,0)</f>
        <v>0.7</v>
      </c>
      <c r="S54" s="126">
        <f t="shared" ca="1" si="2"/>
        <v>9.0023897599999993E-4</v>
      </c>
      <c r="T54" s="123">
        <v>2.2694484727535502</v>
      </c>
    </row>
    <row r="55" spans="1:20" x14ac:dyDescent="0.25">
      <c r="A55" s="98" t="s">
        <v>2063</v>
      </c>
      <c r="B55" s="98" t="s">
        <v>85</v>
      </c>
      <c r="C55" s="46" t="s">
        <v>1988</v>
      </c>
      <c r="D55" s="46" t="s">
        <v>1013</v>
      </c>
      <c r="E55" s="46" t="s">
        <v>211</v>
      </c>
      <c r="F55" s="46" t="s">
        <v>213</v>
      </c>
      <c r="G55" s="46" t="s">
        <v>2008</v>
      </c>
      <c r="H55" s="46" t="s">
        <v>20</v>
      </c>
      <c r="I55" s="53">
        <v>46182</v>
      </c>
      <c r="J55" s="98"/>
      <c r="K55" s="46" t="s">
        <v>158</v>
      </c>
      <c r="L55" s="123">
        <f>VLOOKUP($C55&amp;$E55,'Updated SES'!A:N,14,0)</f>
        <v>127.11702000000001</v>
      </c>
      <c r="M55" s="124">
        <f>VLOOKUP($K55,'Genre Penetration'!A:B,2,0)*VLOOKUP($C55&amp;$E55,'Updated SES'!A:I,9,0)</f>
        <v>0.30149999999999999</v>
      </c>
      <c r="N55" s="124">
        <f>VLOOKUP(K:K,'Genre Penetration'!A:C,3,0)*VLOOKUP($C55&amp;$E55,'Updated SES'!A:J,10,0)</f>
        <v>0.18149999999999999</v>
      </c>
      <c r="O55" s="124" t="e">
        <f>VLOOKUP($B55,'Language Penetration'!$B$1:$BE$14,MATCH('Compile data Working'!#REF!,'Language Penetration'!$B$1:$BE$1,0),0)</f>
        <v>#REF!</v>
      </c>
      <c r="P55" s="124" t="str">
        <f t="shared" ca="1" si="0"/>
        <v>2%</v>
      </c>
      <c r="Q55" s="123" t="e">
        <f t="shared" ca="1" si="1"/>
        <v>#REF!</v>
      </c>
      <c r="R55" s="125">
        <f>VLOOKUP(D:D,ranking!W:X,2,0)</f>
        <v>0.8</v>
      </c>
      <c r="S55" s="126" t="e">
        <f t="shared" ca="1" si="2"/>
        <v>#REF!</v>
      </c>
      <c r="T55" s="123">
        <v>10.813826387650726</v>
      </c>
    </row>
    <row r="56" spans="1:20" x14ac:dyDescent="0.25">
      <c r="A56" s="98" t="s">
        <v>2063</v>
      </c>
      <c r="B56" s="98" t="s">
        <v>85</v>
      </c>
      <c r="C56" s="46" t="s">
        <v>1988</v>
      </c>
      <c r="D56" s="46" t="s">
        <v>1012</v>
      </c>
      <c r="E56" s="46" t="s">
        <v>211</v>
      </c>
      <c r="F56" s="46" t="s">
        <v>215</v>
      </c>
      <c r="G56" s="53" t="s">
        <v>2047</v>
      </c>
      <c r="H56" s="46" t="s">
        <v>20</v>
      </c>
      <c r="I56" s="53">
        <v>46185</v>
      </c>
      <c r="J56" s="98"/>
      <c r="K56" s="46" t="s">
        <v>171</v>
      </c>
      <c r="L56" s="123">
        <f>VLOOKUP($C56&amp;$E56,'Updated SES'!A:N,14,0)</f>
        <v>127.11702000000001</v>
      </c>
      <c r="M56" s="124">
        <f>VLOOKUP($K56,'Genre Penetration'!A:B,2,0)*VLOOKUP($C56&amp;$E56,'Updated SES'!A:I,9,0)</f>
        <v>0.36849999999999999</v>
      </c>
      <c r="N56" s="124">
        <f>VLOOKUP(K:K,'Genre Penetration'!A:C,3,0)*VLOOKUP($C56&amp;$E56,'Updated SES'!A:J,10,0)</f>
        <v>0.14849999999999999</v>
      </c>
      <c r="O56" s="124" t="e">
        <f>VLOOKUP($B56,'Language Penetration'!$B$1:$BE$14,MATCH('Compile data Working'!#REF!,'Language Penetration'!$B$1:$BE$1,0),0)</f>
        <v>#REF!</v>
      </c>
      <c r="P56" s="124" t="str">
        <f t="shared" ca="1" si="0"/>
        <v>2%</v>
      </c>
      <c r="Q56" s="123" t="e">
        <f t="shared" ca="1" si="1"/>
        <v>#REF!</v>
      </c>
      <c r="R56" s="125">
        <f>VLOOKUP(D:D,ranking!W:X,2,0)</f>
        <v>0.6</v>
      </c>
      <c r="S56" s="126" t="e">
        <f t="shared" ca="1" si="2"/>
        <v>#REF!</v>
      </c>
      <c r="T56" s="123">
        <v>11.947676565347884</v>
      </c>
    </row>
    <row r="57" spans="1:20" x14ac:dyDescent="0.25">
      <c r="A57" s="98" t="s">
        <v>2063</v>
      </c>
      <c r="B57" s="98" t="s">
        <v>85</v>
      </c>
      <c r="C57" s="46" t="s">
        <v>49</v>
      </c>
      <c r="D57" s="46" t="s">
        <v>1012</v>
      </c>
      <c r="E57" s="46" t="s">
        <v>211</v>
      </c>
      <c r="F57" s="46" t="s">
        <v>215</v>
      </c>
      <c r="G57" s="53" t="s">
        <v>2048</v>
      </c>
      <c r="H57" s="46" t="s">
        <v>24</v>
      </c>
      <c r="I57" s="53">
        <v>46185</v>
      </c>
      <c r="J57" s="98"/>
      <c r="K57" s="46" t="s">
        <v>216</v>
      </c>
      <c r="L57" s="123">
        <f>VLOOKUP($C57&amp;$E57,'Updated SES'!A:N,14,0)</f>
        <v>12.626640000000002</v>
      </c>
      <c r="M57" s="124">
        <f>VLOOKUP($K57,'Genre Penetration'!A:B,2,0)*VLOOKUP($C57&amp;$E57,'Updated SES'!A:I,9,0)</f>
        <v>0.38</v>
      </c>
      <c r="N57" s="124">
        <f>VLOOKUP(K:K,'Genre Penetration'!A:C,3,0)*VLOOKUP($C57&amp;$E57,'Updated SES'!A:J,10,0)</f>
        <v>0.12</v>
      </c>
      <c r="O57" s="124">
        <f>VLOOKUP($B57,'Language Penetration'!$B$1:$BE$14,MATCH('Compile data Working'!$H10,'Language Penetration'!$B$1:$BE$1,0),0)</f>
        <v>0.2</v>
      </c>
      <c r="P57" s="124" t="str">
        <f t="shared" ca="1" si="0"/>
        <v>2%</v>
      </c>
      <c r="Q57" s="123">
        <f t="shared" ca="1" si="1"/>
        <v>2.5253280000000006E-2</v>
      </c>
      <c r="R57" s="125">
        <f>VLOOKUP(D:D,ranking!W:X,2,0)</f>
        <v>0.6</v>
      </c>
      <c r="S57" s="126">
        <f t="shared" ca="1" si="2"/>
        <v>1.5151968000000004E-2</v>
      </c>
      <c r="T57" s="123">
        <v>5.0578678067811884</v>
      </c>
    </row>
    <row r="58" spans="1:20" x14ac:dyDescent="0.25">
      <c r="A58" s="98" t="s">
        <v>2063</v>
      </c>
      <c r="B58" s="98" t="s">
        <v>85</v>
      </c>
      <c r="C58" s="46" t="s">
        <v>123</v>
      </c>
      <c r="D58" s="46" t="s">
        <v>1012</v>
      </c>
      <c r="E58" s="46" t="s">
        <v>211</v>
      </c>
      <c r="F58" s="46" t="s">
        <v>215</v>
      </c>
      <c r="G58" s="46" t="s">
        <v>2022</v>
      </c>
      <c r="H58" s="46" t="s">
        <v>20</v>
      </c>
      <c r="I58" s="53">
        <v>46184</v>
      </c>
      <c r="J58" s="98"/>
      <c r="K58" s="46" t="s">
        <v>172</v>
      </c>
      <c r="L58" s="123">
        <f>VLOOKUP($C58&amp;$E58,'Updated SES'!A:N,14,0)</f>
        <v>55.459200000000003</v>
      </c>
      <c r="M58" s="124">
        <f>VLOOKUP($K58,'Genre Penetration'!A:B,2,0)*VLOOKUP($C58&amp;$E58,'Updated SES'!A:I,9,0)</f>
        <v>0.19600000000000001</v>
      </c>
      <c r="N58" s="124">
        <f>VLOOKUP(K:K,'Genre Penetration'!A:C,3,0)*VLOOKUP($C58&amp;$E58,'Updated SES'!A:J,10,0)</f>
        <v>0.30599999999999999</v>
      </c>
      <c r="O58" s="124">
        <f>VLOOKUP($B58,'Language Penetration'!$B$1:$BE$14,MATCH('Compile data Working'!$H197,'Language Penetration'!$B$1:$BE$1,0),0)</f>
        <v>0.6</v>
      </c>
      <c r="P58" s="124" t="str">
        <f t="shared" ca="1" si="0"/>
        <v>1%</v>
      </c>
      <c r="Q58" s="123">
        <f t="shared" ca="1" si="1"/>
        <v>0.1670431104</v>
      </c>
      <c r="R58" s="125">
        <f>VLOOKUP(D:D,ranking!W:X,2,0)</f>
        <v>0.6</v>
      </c>
      <c r="S58" s="126">
        <f t="shared" ca="1" si="2"/>
        <v>0.10022586624</v>
      </c>
      <c r="T58" s="123">
        <v>9.0408180019732178</v>
      </c>
    </row>
    <row r="59" spans="1:20" x14ac:dyDescent="0.25">
      <c r="A59" s="98" t="s">
        <v>2063</v>
      </c>
      <c r="B59" s="98" t="s">
        <v>85</v>
      </c>
      <c r="C59" s="46" t="s">
        <v>150</v>
      </c>
      <c r="D59" s="46" t="s">
        <v>1012</v>
      </c>
      <c r="E59" s="46" t="s">
        <v>211</v>
      </c>
      <c r="F59" s="46" t="s">
        <v>215</v>
      </c>
      <c r="G59" s="46" t="s">
        <v>2049</v>
      </c>
      <c r="H59" s="46" t="s">
        <v>33</v>
      </c>
      <c r="I59" s="53">
        <v>46185</v>
      </c>
      <c r="J59" s="98"/>
      <c r="K59" s="46" t="s">
        <v>80</v>
      </c>
      <c r="L59" s="123">
        <f>VLOOKUP($C59&amp;$E59,'Updated SES'!A:N,14,0)</f>
        <v>60.152000000000001</v>
      </c>
      <c r="M59" s="124">
        <f>VLOOKUP($K59,'Genre Penetration'!A:B,2,0)*VLOOKUP($C59&amp;$E59,'Updated SES'!A:I,9,0)</f>
        <v>0.43550000000000005</v>
      </c>
      <c r="N59" s="124">
        <f>VLOOKUP(K:K,'Genre Penetration'!A:C,3,0)*VLOOKUP($C59&amp;$E59,'Updated SES'!A:J,10,0)</f>
        <v>0.11549999999999999</v>
      </c>
      <c r="O59" s="124" t="e">
        <f>VLOOKUP($B59,'Language Penetration'!$B$1:$BE$14,MATCH('Compile data Working'!$H131,'Language Penetration'!$B$1:$BE$1,0),0)</f>
        <v>#N/A</v>
      </c>
      <c r="P59" s="124" t="str">
        <f t="shared" ca="1" si="0"/>
        <v>1%</v>
      </c>
      <c r="Q59" s="123" t="e">
        <f t="shared" ca="1" si="1"/>
        <v>#N/A</v>
      </c>
      <c r="R59" s="125">
        <f>VLOOKUP(D:D,ranking!W:X,2,0)</f>
        <v>0.6</v>
      </c>
      <c r="S59" s="126" t="e">
        <f t="shared" ca="1" si="2"/>
        <v>#N/A</v>
      </c>
      <c r="T59" s="123">
        <v>5.2021828621094697</v>
      </c>
    </row>
    <row r="60" spans="1:20" x14ac:dyDescent="0.25">
      <c r="A60" s="98" t="s">
        <v>2063</v>
      </c>
      <c r="B60" s="98" t="s">
        <v>85</v>
      </c>
      <c r="C60" s="46" t="s">
        <v>64</v>
      </c>
      <c r="D60" s="46" t="s">
        <v>859</v>
      </c>
      <c r="E60" s="46" t="s">
        <v>211</v>
      </c>
      <c r="F60" s="46" t="s">
        <v>213</v>
      </c>
      <c r="G60" s="46" t="s">
        <v>2009</v>
      </c>
      <c r="H60" s="46" t="s">
        <v>19</v>
      </c>
      <c r="I60" s="53">
        <v>46182</v>
      </c>
      <c r="J60" s="98"/>
      <c r="K60" s="46" t="s">
        <v>46</v>
      </c>
      <c r="L60" s="123">
        <f>VLOOKUP($C60&amp;$E60,'Updated SES'!A:N,14,0)</f>
        <v>36.498239999999996</v>
      </c>
      <c r="M60" s="124">
        <f>VLOOKUP($K60,'Genre Penetration'!A:B,2,0)*VLOOKUP($C60&amp;$E60,'Updated SES'!A:I,9,0)</f>
        <v>0.36399999999999999</v>
      </c>
      <c r="N60" s="124">
        <f>VLOOKUP(K:K,'Genre Penetration'!A:C,3,0)*VLOOKUP($C60&amp;$E60,'Updated SES'!A:J,10,0)</f>
        <v>0.14399999999999999</v>
      </c>
      <c r="O60" s="124">
        <v>7.0000000000000001E-3</v>
      </c>
      <c r="P60" s="124" t="str">
        <f t="shared" ca="1" si="0"/>
        <v>1%</v>
      </c>
      <c r="Q60" s="123">
        <f t="shared" ca="1" si="1"/>
        <v>1.2978774144E-3</v>
      </c>
      <c r="R60" s="125">
        <f>VLOOKUP(D:D,ranking!W:X,2,0)</f>
        <v>0.7</v>
      </c>
      <c r="S60" s="126">
        <f t="shared" ca="1" si="2"/>
        <v>9.0851419007999994E-4</v>
      </c>
      <c r="T60" s="123">
        <v>10.394825778083044</v>
      </c>
    </row>
    <row r="61" spans="1:20" x14ac:dyDescent="0.25">
      <c r="A61" s="98" t="s">
        <v>2063</v>
      </c>
      <c r="B61" s="98" t="s">
        <v>85</v>
      </c>
      <c r="C61" s="46" t="s">
        <v>123</v>
      </c>
      <c r="D61" s="46" t="s">
        <v>1012</v>
      </c>
      <c r="E61" s="46" t="s">
        <v>211</v>
      </c>
      <c r="F61" s="46" t="s">
        <v>215</v>
      </c>
      <c r="G61" s="46" t="s">
        <v>2023</v>
      </c>
      <c r="H61" s="46" t="s">
        <v>20</v>
      </c>
      <c r="I61" s="53">
        <v>46184</v>
      </c>
      <c r="J61" s="98"/>
      <c r="K61" s="46" t="s">
        <v>202</v>
      </c>
      <c r="L61" s="123">
        <f>VLOOKUP($C61&amp;$E61,'Updated SES'!A:N,14,0)</f>
        <v>55.459200000000003</v>
      </c>
      <c r="M61" s="124">
        <f>VLOOKUP($K61,'Genre Penetration'!A:B,2,0)*VLOOKUP($C61&amp;$E61,'Updated SES'!A:I,9,0)</f>
        <v>0.3528</v>
      </c>
      <c r="N61" s="124">
        <f>VLOOKUP(K:K,'Genre Penetration'!A:C,3,0)*VLOOKUP($C61&amp;$E61,'Updated SES'!A:J,10,0)</f>
        <v>0.14280000000000001</v>
      </c>
      <c r="O61" s="124">
        <f>VLOOKUP($B61,'Language Penetration'!$B$1:$BE$14,MATCH('Compile data Working'!$H12,'Language Penetration'!$B$1:$BE$1,0),0)</f>
        <v>0.6</v>
      </c>
      <c r="P61" s="124" t="str">
        <f t="shared" ca="1" si="0"/>
        <v>2%</v>
      </c>
      <c r="Q61" s="123">
        <f t="shared" ca="1" si="1"/>
        <v>0.32982695424000008</v>
      </c>
      <c r="R61" s="125">
        <f>VLOOKUP(D:D,ranking!W:X,2,0)</f>
        <v>0.6</v>
      </c>
      <c r="S61" s="126">
        <f t="shared" ca="1" si="2"/>
        <v>0.19789617254400005</v>
      </c>
      <c r="T61" s="123">
        <v>8.9707167397361367</v>
      </c>
    </row>
    <row r="62" spans="1:20" x14ac:dyDescent="0.25">
      <c r="A62" s="98" t="s">
        <v>2063</v>
      </c>
      <c r="B62" s="98" t="s">
        <v>85</v>
      </c>
      <c r="C62" s="46" t="s">
        <v>1988</v>
      </c>
      <c r="D62" s="46" t="s">
        <v>1012</v>
      </c>
      <c r="E62" s="46" t="s">
        <v>211</v>
      </c>
      <c r="F62" s="46" t="s">
        <v>215</v>
      </c>
      <c r="G62" s="46" t="s">
        <v>2024</v>
      </c>
      <c r="H62" s="46" t="s">
        <v>20</v>
      </c>
      <c r="I62" s="53">
        <v>46184</v>
      </c>
      <c r="J62" s="98"/>
      <c r="K62" s="46" t="s">
        <v>158</v>
      </c>
      <c r="L62" s="123">
        <f>VLOOKUP($C62&amp;$E62,'Updated SES'!A:N,14,0)</f>
        <v>127.11702000000001</v>
      </c>
      <c r="M62" s="124">
        <f>VLOOKUP($K62,'Genre Penetration'!A:B,2,0)*VLOOKUP($C62&amp;$E62,'Updated SES'!A:I,9,0)</f>
        <v>0.30149999999999999</v>
      </c>
      <c r="N62" s="124">
        <f>VLOOKUP(K:K,'Genre Penetration'!A:C,3,0)*VLOOKUP($C62&amp;$E62,'Updated SES'!A:J,10,0)</f>
        <v>0.18149999999999999</v>
      </c>
      <c r="O62" s="124" t="e">
        <f>VLOOKUP($B62,'Language Penetration'!$B$1:$BE$14,MATCH('Compile data Working'!#REF!,'Language Penetration'!$B$1:$BE$1,0),0)</f>
        <v>#REF!</v>
      </c>
      <c r="P62" s="124" t="str">
        <f t="shared" ca="1" si="0"/>
        <v>1%</v>
      </c>
      <c r="Q62" s="123" t="e">
        <f t="shared" ca="1" si="1"/>
        <v>#REF!</v>
      </c>
      <c r="R62" s="125">
        <f>VLOOKUP(D:D,ranking!W:X,2,0)</f>
        <v>0.6</v>
      </c>
      <c r="S62" s="126" t="e">
        <f t="shared" ca="1" si="2"/>
        <v>#REF!</v>
      </c>
      <c r="T62" s="123">
        <v>11.553859413290946</v>
      </c>
    </row>
    <row r="63" spans="1:20" x14ac:dyDescent="0.25">
      <c r="A63" s="98" t="s">
        <v>2063</v>
      </c>
      <c r="B63" s="98" t="s">
        <v>85</v>
      </c>
      <c r="C63" s="46" t="s">
        <v>123</v>
      </c>
      <c r="D63" s="46" t="s">
        <v>1012</v>
      </c>
      <c r="E63" s="46" t="s">
        <v>211</v>
      </c>
      <c r="F63" s="46" t="s">
        <v>215</v>
      </c>
      <c r="G63" s="53" t="s">
        <v>2050</v>
      </c>
      <c r="H63" s="46" t="s">
        <v>21</v>
      </c>
      <c r="I63" s="53">
        <v>46185</v>
      </c>
      <c r="J63" s="98"/>
      <c r="K63" s="46" t="s">
        <v>216</v>
      </c>
      <c r="L63" s="123">
        <f>VLOOKUP($C63&amp;$E63,'Updated SES'!A:N,14,0)</f>
        <v>55.459200000000003</v>
      </c>
      <c r="M63" s="124">
        <f>VLOOKUP($K63,'Genre Penetration'!A:B,2,0)*VLOOKUP($C63&amp;$E63,'Updated SES'!A:I,9,0)</f>
        <v>0.245</v>
      </c>
      <c r="N63" s="124">
        <f>VLOOKUP(K:K,'Genre Penetration'!A:C,3,0)*VLOOKUP($C63&amp;$E63,'Updated SES'!A:J,10,0)</f>
        <v>0.255</v>
      </c>
      <c r="O63" s="124">
        <f>VLOOKUP($B63,'Language Penetration'!$B$1:$BE$14,MATCH('Compile data Working'!$H41,'Language Penetration'!$B$1:$BE$1,0),0)</f>
        <v>0.1</v>
      </c>
      <c r="P63" s="124" t="str">
        <f t="shared" ca="1" si="0"/>
        <v>1%</v>
      </c>
      <c r="Q63" s="123">
        <f t="shared" ca="1" si="1"/>
        <v>2.7729600000000004E-2</v>
      </c>
      <c r="R63" s="125">
        <f>VLOOKUP(D:D,ranking!W:X,2,0)</f>
        <v>0.6</v>
      </c>
      <c r="S63" s="126">
        <f t="shared" ca="1" si="2"/>
        <v>1.6637760000000001E-2</v>
      </c>
      <c r="T63" s="123">
        <v>7.1905178303266721</v>
      </c>
    </row>
    <row r="64" spans="1:20" x14ac:dyDescent="0.25">
      <c r="A64" s="98" t="s">
        <v>2063</v>
      </c>
      <c r="B64" s="98" t="s">
        <v>85</v>
      </c>
      <c r="C64" s="46" t="s">
        <v>123</v>
      </c>
      <c r="D64" s="46" t="s">
        <v>1012</v>
      </c>
      <c r="E64" s="46" t="s">
        <v>211</v>
      </c>
      <c r="F64" s="46" t="s">
        <v>215</v>
      </c>
      <c r="G64" s="46" t="s">
        <v>2015</v>
      </c>
      <c r="H64" s="46" t="s">
        <v>20</v>
      </c>
      <c r="I64" s="53">
        <v>46183</v>
      </c>
      <c r="J64" s="98"/>
      <c r="K64" s="46" t="s">
        <v>1837</v>
      </c>
      <c r="L64" s="123">
        <f>VLOOKUP($C64&amp;$E64,'Updated SES'!A:N,14,0)</f>
        <v>55.459200000000003</v>
      </c>
      <c r="M64" s="124">
        <f>VLOOKUP($K64,'Genre Penetration'!A:B,2,0)*VLOOKUP($C64&amp;$E64,'Updated SES'!A:I,9,0)</f>
        <v>0.19600000000000001</v>
      </c>
      <c r="N64" s="124">
        <f>VLOOKUP(K:K,'Genre Penetration'!A:C,3,0)*VLOOKUP($C64&amp;$E64,'Updated SES'!A:J,10,0)</f>
        <v>0.30599999999999999</v>
      </c>
      <c r="O64" s="124" t="e">
        <f>VLOOKUP($B64,'Language Penetration'!$B$1:$BE$14,MATCH('Compile data Working'!#REF!,'Language Penetration'!$B$1:$BE$1,0),0)</f>
        <v>#REF!</v>
      </c>
      <c r="P64" s="124" t="str">
        <f t="shared" ca="1" si="0"/>
        <v>1%</v>
      </c>
      <c r="Q64" s="123" t="e">
        <f t="shared" ca="1" si="1"/>
        <v>#REF!</v>
      </c>
      <c r="R64" s="125">
        <f>VLOOKUP(D:D,ranking!W:X,2,0)</f>
        <v>0.6</v>
      </c>
      <c r="S64" s="126" t="e">
        <f t="shared" ca="1" si="2"/>
        <v>#REF!</v>
      </c>
      <c r="T64" s="123">
        <v>9.1512264827628087</v>
      </c>
    </row>
    <row r="65" spans="1:20" x14ac:dyDescent="0.25">
      <c r="A65" s="98" t="s">
        <v>2063</v>
      </c>
      <c r="B65" s="98" t="s">
        <v>85</v>
      </c>
      <c r="C65" s="46" t="s">
        <v>123</v>
      </c>
      <c r="D65" s="46" t="s">
        <v>1013</v>
      </c>
      <c r="E65" s="46" t="s">
        <v>211</v>
      </c>
      <c r="F65" s="46" t="s">
        <v>213</v>
      </c>
      <c r="G65" s="46" t="s">
        <v>2010</v>
      </c>
      <c r="H65" s="46" t="s">
        <v>20</v>
      </c>
      <c r="I65" s="53">
        <v>46182</v>
      </c>
      <c r="J65" s="98"/>
      <c r="K65" s="46" t="s">
        <v>124</v>
      </c>
      <c r="L65" s="123">
        <f>VLOOKUP($C65&amp;$E65,'Updated SES'!A:N,14,0)</f>
        <v>55.459200000000003</v>
      </c>
      <c r="M65" s="124">
        <f>VLOOKUP($K65,'Genre Penetration'!A:B,2,0)*VLOOKUP($C65&amp;$E65,'Updated SES'!A:I,9,0)</f>
        <v>0.2205</v>
      </c>
      <c r="N65" s="124">
        <f>VLOOKUP(K:K,'Genre Penetration'!A:C,3,0)*VLOOKUP($C65&amp;$E65,'Updated SES'!A:J,10,0)</f>
        <v>0.28050000000000003</v>
      </c>
      <c r="O65" s="124" t="e">
        <f>VLOOKUP($B65,'Language Penetration'!$B$1:$BE$14,MATCH('Compile data Working'!#REF!,'Language Penetration'!$B$1:$BE$1,0),0)</f>
        <v>#REF!</v>
      </c>
      <c r="P65" s="124" t="str">
        <f t="shared" ca="1" si="0"/>
        <v>1%</v>
      </c>
      <c r="Q65" s="123" t="e">
        <f t="shared" ca="1" si="1"/>
        <v>#REF!</v>
      </c>
      <c r="R65" s="125">
        <f>VLOOKUP(D:D,ranking!W:X,2,0)</f>
        <v>0.8</v>
      </c>
      <c r="S65" s="126" t="e">
        <f t="shared" ca="1" si="2"/>
        <v>#REF!</v>
      </c>
      <c r="T65" s="123">
        <v>9.8892293681243348</v>
      </c>
    </row>
    <row r="66" spans="1:20" x14ac:dyDescent="0.25">
      <c r="A66" s="98" t="s">
        <v>2063</v>
      </c>
      <c r="B66" s="98" t="s">
        <v>85</v>
      </c>
      <c r="C66" s="46" t="s">
        <v>123</v>
      </c>
      <c r="D66" s="46" t="s">
        <v>1013</v>
      </c>
      <c r="E66" s="46" t="s">
        <v>211</v>
      </c>
      <c r="F66" s="46" t="s">
        <v>213</v>
      </c>
      <c r="G66" s="46" t="s">
        <v>1990</v>
      </c>
      <c r="H66" s="46" t="s">
        <v>20</v>
      </c>
      <c r="I66" s="53">
        <v>46180</v>
      </c>
      <c r="J66" s="98"/>
      <c r="K66" s="46" t="s">
        <v>158</v>
      </c>
      <c r="L66" s="123">
        <f>VLOOKUP($C66&amp;$E66,'Updated SES'!A:N,14,0)</f>
        <v>55.459200000000003</v>
      </c>
      <c r="M66" s="124">
        <f>VLOOKUP($K66,'Genre Penetration'!A:B,2,0)*VLOOKUP($C66&amp;$E66,'Updated SES'!A:I,9,0)</f>
        <v>0.2205</v>
      </c>
      <c r="N66" s="124">
        <f>VLOOKUP(K:K,'Genre Penetration'!A:C,3,0)*VLOOKUP($C66&amp;$E66,'Updated SES'!A:J,10,0)</f>
        <v>0.28050000000000003</v>
      </c>
      <c r="O66" s="124" t="e">
        <f>VLOOKUP($B66,'Language Penetration'!$B$1:$BE$14,MATCH('Compile data Working'!#REF!,'Language Penetration'!$B$1:$BE$1,0),0)</f>
        <v>#REF!</v>
      </c>
      <c r="P66" s="124" t="str">
        <f t="shared" ca="1" si="0"/>
        <v>2%</v>
      </c>
      <c r="Q66" s="123" t="e">
        <f t="shared" ca="1" si="1"/>
        <v>#REF!</v>
      </c>
      <c r="R66" s="125">
        <f>VLOOKUP(D:D,ranking!W:X,2,0)</f>
        <v>0.8</v>
      </c>
      <c r="S66" s="126" t="e">
        <f t="shared" ca="1" si="2"/>
        <v>#REF!</v>
      </c>
      <c r="T66" s="123">
        <v>8.6440952958050001</v>
      </c>
    </row>
    <row r="67" spans="1:20" x14ac:dyDescent="0.25">
      <c r="A67" s="98" t="s">
        <v>2063</v>
      </c>
      <c r="B67" s="98" t="s">
        <v>85</v>
      </c>
      <c r="C67" s="46" t="s">
        <v>114</v>
      </c>
      <c r="D67" s="46" t="s">
        <v>859</v>
      </c>
      <c r="E67" s="46" t="s">
        <v>211</v>
      </c>
      <c r="F67" s="46" t="s">
        <v>213</v>
      </c>
      <c r="G67" s="46" t="s">
        <v>2051</v>
      </c>
      <c r="H67" s="46" t="s">
        <v>20</v>
      </c>
      <c r="I67" s="53">
        <v>46185</v>
      </c>
      <c r="J67" s="98"/>
      <c r="K67" s="46" t="s">
        <v>145</v>
      </c>
      <c r="L67" s="123">
        <f>VLOOKUP($C67&amp;$E67,'Updated SES'!A:N,14,0)</f>
        <v>25.340000000000003</v>
      </c>
      <c r="M67" s="124">
        <f>VLOOKUP($K67,'Genre Penetration'!A:B,2,0)*VLOOKUP($C67&amp;$E67,'Updated SES'!A:I,9,0)</f>
        <v>0.3034</v>
      </c>
      <c r="N67" s="124">
        <f>VLOOKUP(K:K,'Genre Penetration'!A:C,3,0)*VLOOKUP($C67&amp;$E67,'Updated SES'!A:J,10,0)</f>
        <v>0.1134</v>
      </c>
      <c r="O67" s="124">
        <f>VLOOKUP($B67,'Language Penetration'!$B$1:$BE$14,MATCH('Compile data Working'!$H196,'Language Penetration'!$B$1:$BE$1,0),0)</f>
        <v>0.6</v>
      </c>
      <c r="P67" s="124" t="str">
        <f t="shared" ca="1" si="0"/>
        <v>2%</v>
      </c>
      <c r="Q67" s="123">
        <f t="shared" ca="1" si="1"/>
        <v>0.12674054400000001</v>
      </c>
      <c r="R67" s="125">
        <f>VLOOKUP(D:D,ranking!W:X,2,0)</f>
        <v>0.7</v>
      </c>
      <c r="S67" s="126">
        <f t="shared" ca="1" si="2"/>
        <v>8.8718380799999996E-2</v>
      </c>
      <c r="T67" s="123">
        <v>3.06337817776219</v>
      </c>
    </row>
    <row r="68" spans="1:20" x14ac:dyDescent="0.25">
      <c r="A68" s="98" t="s">
        <v>2063</v>
      </c>
      <c r="B68" s="98" t="s">
        <v>85</v>
      </c>
      <c r="C68" s="46" t="s">
        <v>123</v>
      </c>
      <c r="D68" s="46" t="s">
        <v>1012</v>
      </c>
      <c r="E68" s="46" t="s">
        <v>211</v>
      </c>
      <c r="F68" s="46" t="s">
        <v>215</v>
      </c>
      <c r="G68" s="46" t="s">
        <v>2025</v>
      </c>
      <c r="H68" s="46" t="s">
        <v>20</v>
      </c>
      <c r="I68" s="53">
        <v>46184</v>
      </c>
      <c r="J68" s="98">
        <v>8</v>
      </c>
      <c r="K68" s="46" t="s">
        <v>97</v>
      </c>
      <c r="L68" s="123">
        <f>VLOOKUP($C68&amp;$E68,'Updated SES'!A:N,14,0)</f>
        <v>55.459200000000003</v>
      </c>
      <c r="M68" s="124">
        <f>VLOOKUP($K68,'Genre Penetration'!A:B,2,0)*VLOOKUP($C68&amp;$E68,'Updated SES'!A:I,9,0)</f>
        <v>0.3332</v>
      </c>
      <c r="N68" s="124">
        <f>VLOOKUP(K:K,'Genre Penetration'!A:C,3,0)*VLOOKUP($C68&amp;$E68,'Updated SES'!A:J,10,0)</f>
        <v>0.16320000000000001</v>
      </c>
      <c r="O68" s="124">
        <f>VLOOKUP($B68,'Language Penetration'!$B$1:$BE$14,MATCH('Compile data Working'!$H183,'Language Penetration'!$B$1:$BE$1,0),0)</f>
        <v>0.6</v>
      </c>
      <c r="P68" s="124" t="str">
        <f t="shared" ca="1" si="0"/>
        <v>7%</v>
      </c>
      <c r="Q68" s="123">
        <f t="shared" ca="1" si="1"/>
        <v>1.15625776896</v>
      </c>
      <c r="R68" s="125">
        <f>VLOOKUP(D:D,ranking!W:X,2,0)</f>
        <v>0.6</v>
      </c>
      <c r="S68" s="126">
        <f t="shared" ca="1" si="2"/>
        <v>0.69375466137599995</v>
      </c>
      <c r="T68" s="123">
        <v>8.8487797849272525</v>
      </c>
    </row>
    <row r="69" spans="1:20" x14ac:dyDescent="0.25">
      <c r="A69" s="98" t="s">
        <v>2063</v>
      </c>
      <c r="B69" s="98" t="s">
        <v>85</v>
      </c>
      <c r="C69" s="46" t="s">
        <v>455</v>
      </c>
      <c r="D69" s="46" t="s">
        <v>1012</v>
      </c>
      <c r="E69" s="46" t="s">
        <v>211</v>
      </c>
      <c r="F69" s="46" t="s">
        <v>215</v>
      </c>
      <c r="G69" s="53" t="s">
        <v>2052</v>
      </c>
      <c r="H69" s="46" t="s">
        <v>469</v>
      </c>
      <c r="I69" s="53">
        <v>46185</v>
      </c>
      <c r="J69" s="98"/>
      <c r="K69" s="46" t="s">
        <v>216</v>
      </c>
      <c r="L69" s="123">
        <f>VLOOKUP($C69&amp;$E69,'Updated SES'!A:N,14,0)</f>
        <v>11.0107</v>
      </c>
      <c r="M69" s="124">
        <f>VLOOKUP($K69,'Genre Penetration'!A:B,2,0)*VLOOKUP($C69&amp;$E69,'Updated SES'!A:I,9,0)</f>
        <v>0.3</v>
      </c>
      <c r="N69" s="124">
        <f>VLOOKUP(K:K,'Genre Penetration'!A:C,3,0)*VLOOKUP($C69&amp;$E69,'Updated SES'!A:J,10,0)</f>
        <v>0.2</v>
      </c>
      <c r="O69" s="124" t="e">
        <f>VLOOKUP($B69,'Language Penetration'!$B$1:$BE$14,MATCH('Compile data Working'!#REF!,'Language Penetration'!$B$1:$BE$1,0),0)</f>
        <v>#REF!</v>
      </c>
      <c r="P69" s="124" t="str">
        <f t="shared" ref="P69:P132" ca="1" si="3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1%</v>
      </c>
      <c r="Q69" s="123" t="e">
        <f t="shared" ref="Q69:Q132" ca="1" si="4">IFERROR(L69*(M69+N69)*O69*P69,RANDBETWEEN(1,2)%*L69*(M69+N69)*O69)</f>
        <v>#REF!</v>
      </c>
      <c r="R69" s="125">
        <f>VLOOKUP(D:D,ranking!W:X,2,0)</f>
        <v>0.6</v>
      </c>
      <c r="S69" s="126" t="e">
        <f t="shared" ca="1" si="2"/>
        <v>#REF!</v>
      </c>
      <c r="T69" s="123">
        <v>3.67598254600362</v>
      </c>
    </row>
    <row r="70" spans="1:20" x14ac:dyDescent="0.25">
      <c r="A70" s="98" t="s">
        <v>1057</v>
      </c>
      <c r="B70" s="98" t="s">
        <v>85</v>
      </c>
      <c r="C70" s="46" t="s">
        <v>1988</v>
      </c>
      <c r="D70" s="98" t="s">
        <v>1012</v>
      </c>
      <c r="E70" s="46" t="s">
        <v>211</v>
      </c>
      <c r="F70" s="46" t="s">
        <v>215</v>
      </c>
      <c r="G70" s="53">
        <v>24</v>
      </c>
      <c r="H70" s="46" t="s">
        <v>19</v>
      </c>
      <c r="I70" s="53">
        <v>46136</v>
      </c>
      <c r="J70" s="119">
        <v>3</v>
      </c>
      <c r="K70" s="46" t="s">
        <v>87</v>
      </c>
      <c r="L70" s="123">
        <f>VLOOKUP($C70&amp;$E70,'Updated SES'!A:N,14,0)</f>
        <v>127.11702000000001</v>
      </c>
      <c r="M70" s="124">
        <f>VLOOKUP($K70,'Genre Penetration'!A:B,2,0)*VLOOKUP($C70&amp;$E70,'Updated SES'!A:I,9,0)</f>
        <v>0.40869999999999995</v>
      </c>
      <c r="N70" s="124">
        <f>VLOOKUP(K:K,'Genre Penetration'!A:C,3,0)*VLOOKUP($C70&amp;$E70,'Updated SES'!A:J,10,0)</f>
        <v>0.12869999999999998</v>
      </c>
      <c r="O70" s="124" t="e">
        <f>VLOOKUP($B70,'Language Penetration'!$B$1:$BE$14,MATCH('Compile data Working'!#REF!,'Language Penetration'!$B$1:$BE$1,0),0)</f>
        <v>#REF!</v>
      </c>
      <c r="P70" s="124" t="str">
        <f t="shared" ca="1" si="3"/>
        <v>25%</v>
      </c>
      <c r="Q70" s="123" t="e">
        <f t="shared" ca="1" si="4"/>
        <v>#REF!</v>
      </c>
      <c r="R70" s="125">
        <f>VLOOKUP(D:D,ranking!W:X,2,0)</f>
        <v>0.6</v>
      </c>
      <c r="S70" s="126" t="e">
        <f t="shared" ca="1" si="2"/>
        <v>#REF!</v>
      </c>
      <c r="T70" s="123">
        <v>2.384779870313444</v>
      </c>
    </row>
    <row r="71" spans="1:20" x14ac:dyDescent="0.25">
      <c r="A71" s="98" t="s">
        <v>1057</v>
      </c>
      <c r="B71" s="98" t="s">
        <v>85</v>
      </c>
      <c r="C71" s="98" t="s">
        <v>123</v>
      </c>
      <c r="D71" s="98" t="s">
        <v>859</v>
      </c>
      <c r="E71" s="98" t="s">
        <v>211</v>
      </c>
      <c r="F71" s="46" t="s">
        <v>213</v>
      </c>
      <c r="G71" s="120">
        <v>29</v>
      </c>
      <c r="H71" s="46" t="s">
        <v>453</v>
      </c>
      <c r="I71" s="53">
        <v>46178</v>
      </c>
      <c r="J71" s="119">
        <v>3</v>
      </c>
      <c r="K71" s="46" t="s">
        <v>145</v>
      </c>
      <c r="L71" s="123">
        <f>VLOOKUP($C71&amp;$E71,'Updated SES'!A:N,14,0)</f>
        <v>55.459200000000003</v>
      </c>
      <c r="M71" s="124">
        <f>VLOOKUP($K71,'Genre Penetration'!A:B,2,0)*VLOOKUP($C71&amp;$E71,'Updated SES'!A:I,9,0)</f>
        <v>0.18129999999999999</v>
      </c>
      <c r="N71" s="124">
        <f>VLOOKUP(K:K,'Genre Penetration'!A:C,3,0)*VLOOKUP($C71&amp;$E71,'Updated SES'!A:J,10,0)</f>
        <v>0.32130000000000003</v>
      </c>
      <c r="O71" s="124">
        <f>VLOOKUP($B71,'Language Penetration'!$B$1:$BE$14,MATCH('Compile data Working'!$H161,'Language Penetration'!$B$1:$BE$1,0),0)</f>
        <v>0.6</v>
      </c>
      <c r="P71" s="124" t="str">
        <f t="shared" ca="1" si="3"/>
        <v>27%</v>
      </c>
      <c r="Q71" s="123">
        <f t="shared" ca="1" si="4"/>
        <v>4.5155546150400001</v>
      </c>
      <c r="R71" s="125">
        <f>VLOOKUP(D:D,ranking!W:X,2,0)</f>
        <v>0.7</v>
      </c>
      <c r="S71" s="126">
        <f t="shared" ref="S71:S134" ca="1" si="5">R71*Q71</f>
        <v>3.1608882305279997</v>
      </c>
      <c r="T71" s="123">
        <v>18.7465782050363</v>
      </c>
    </row>
    <row r="72" spans="1:20" x14ac:dyDescent="0.25">
      <c r="A72" s="98" t="s">
        <v>1057</v>
      </c>
      <c r="B72" s="98" t="s">
        <v>85</v>
      </c>
      <c r="C72" s="98" t="s">
        <v>150</v>
      </c>
      <c r="D72" s="98" t="s">
        <v>859</v>
      </c>
      <c r="E72" s="98" t="s">
        <v>211</v>
      </c>
      <c r="F72" s="46" t="s">
        <v>213</v>
      </c>
      <c r="G72" s="98" t="s">
        <v>1855</v>
      </c>
      <c r="H72" s="98" t="s">
        <v>19</v>
      </c>
      <c r="I72" s="106">
        <v>46129</v>
      </c>
      <c r="J72" s="119">
        <v>5</v>
      </c>
      <c r="K72" s="98" t="s">
        <v>202</v>
      </c>
      <c r="L72" s="123">
        <f>VLOOKUP($C72&amp;$E72,'Updated SES'!A:N,14,0)</f>
        <v>60.152000000000001</v>
      </c>
      <c r="M72" s="124">
        <f>VLOOKUP($K72,'Genre Penetration'!A:B,2,0)*VLOOKUP($C72&amp;$E72,'Updated SES'!A:I,9,0)</f>
        <v>0.46799999999999997</v>
      </c>
      <c r="N72" s="124">
        <f>VLOOKUP(K:K,'Genre Penetration'!A:C,3,0)*VLOOKUP($C72&amp;$E72,'Updated SES'!A:J,10,0)</f>
        <v>9.8000000000000004E-2</v>
      </c>
      <c r="O72" s="124">
        <f>VLOOKUP($B72,'Language Penetration'!$B$1:$BE$14,MATCH('Compile data Working'!$H158,'Language Penetration'!$B$1:$BE$1,0),0)</f>
        <v>0.6</v>
      </c>
      <c r="P72" s="124" t="str">
        <f t="shared" ca="1" si="3"/>
        <v>19%</v>
      </c>
      <c r="Q72" s="123">
        <f t="shared" ca="1" si="4"/>
        <v>3.881247648</v>
      </c>
      <c r="R72" s="125">
        <f>VLOOKUP(D:D,ranking!W:X,2,0)</f>
        <v>0.7</v>
      </c>
      <c r="S72" s="126">
        <f t="shared" ca="1" si="5"/>
        <v>2.7168733536</v>
      </c>
      <c r="T72" s="123">
        <v>0.72152408788606082</v>
      </c>
    </row>
    <row r="73" spans="1:20" x14ac:dyDescent="0.25">
      <c r="A73" s="98" t="s">
        <v>1057</v>
      </c>
      <c r="B73" s="98" t="s">
        <v>85</v>
      </c>
      <c r="C73" s="98" t="s">
        <v>123</v>
      </c>
      <c r="D73" s="98" t="s">
        <v>431</v>
      </c>
      <c r="E73" s="98" t="s">
        <v>211</v>
      </c>
      <c r="F73" s="46" t="s">
        <v>215</v>
      </c>
      <c r="G73" s="98" t="s">
        <v>1840</v>
      </c>
      <c r="H73" s="46" t="s">
        <v>28</v>
      </c>
      <c r="I73" s="53">
        <v>46157</v>
      </c>
      <c r="J73" s="119">
        <v>3</v>
      </c>
      <c r="K73" s="46" t="s">
        <v>202</v>
      </c>
      <c r="L73" s="123">
        <f>VLOOKUP($C73&amp;$E73,'Updated SES'!A:N,14,0)</f>
        <v>55.459200000000003</v>
      </c>
      <c r="M73" s="124">
        <f>VLOOKUP($K73,'Genre Penetration'!A:B,2,0)*VLOOKUP($C73&amp;$E73,'Updated SES'!A:I,9,0)</f>
        <v>0.3528</v>
      </c>
      <c r="N73" s="124">
        <f>VLOOKUP(K:K,'Genre Penetration'!A:C,3,0)*VLOOKUP($C73&amp;$E73,'Updated SES'!A:J,10,0)</f>
        <v>0.14280000000000001</v>
      </c>
      <c r="O73" s="124" t="e">
        <f>VLOOKUP($B73,'Language Penetration'!$B$1:$BE$14,MATCH('Compile data Working'!#REF!,'Language Penetration'!$B$1:$BE$1,0),0)</f>
        <v>#REF!</v>
      </c>
      <c r="P73" s="124" t="str">
        <f t="shared" ca="1" si="3"/>
        <v>25%</v>
      </c>
      <c r="Q73" s="123" t="e">
        <f t="shared" ca="1" si="4"/>
        <v>#REF!</v>
      </c>
      <c r="R73" s="125">
        <f>VLOOKUP(D:D,ranking!W:X,2,0)</f>
        <v>0.6</v>
      </c>
      <c r="S73" s="126" t="e">
        <f t="shared" ca="1" si="5"/>
        <v>#REF!</v>
      </c>
      <c r="T73" s="123">
        <v>10.178226365954822</v>
      </c>
    </row>
    <row r="74" spans="1:20" x14ac:dyDescent="0.25">
      <c r="A74" s="98" t="s">
        <v>1057</v>
      </c>
      <c r="B74" s="98" t="s">
        <v>85</v>
      </c>
      <c r="C74" s="46" t="s">
        <v>1229</v>
      </c>
      <c r="D74" s="98" t="s">
        <v>433</v>
      </c>
      <c r="E74" s="46" t="s">
        <v>219</v>
      </c>
      <c r="F74" s="46" t="s">
        <v>215</v>
      </c>
      <c r="G74" s="46" t="s">
        <v>1849</v>
      </c>
      <c r="H74" s="46" t="s">
        <v>19</v>
      </c>
      <c r="I74" s="53">
        <v>46003</v>
      </c>
      <c r="J74" s="119">
        <v>10</v>
      </c>
      <c r="K74" s="46" t="s">
        <v>216</v>
      </c>
      <c r="L74" s="123">
        <f>VLOOKUP($C74&amp;$E74,'Updated SES'!A:N,14,0)</f>
        <v>78.939870000000013</v>
      </c>
      <c r="M74" s="124">
        <f>VLOOKUP($K74,'Genre Penetration'!A:B,2,0)*VLOOKUP($C74&amp;$E74,'Updated SES'!A:I,9,0)</f>
        <v>0.4</v>
      </c>
      <c r="N74" s="124">
        <f>VLOOKUP(K:K,'Genre Penetration'!A:C,3,0)*VLOOKUP($C74&amp;$E74,'Updated SES'!A:J,10,0)</f>
        <v>0.1</v>
      </c>
      <c r="O74" s="124" t="e">
        <f>VLOOKUP($B74,'Language Penetration'!$B$1:$BE$14,MATCH('Compile data Working'!$H9,'Language Penetration'!$B$1:$BE$1,0),0)</f>
        <v>#N/A</v>
      </c>
      <c r="P74" s="124" t="str">
        <f t="shared" ca="1" si="3"/>
        <v>3%</v>
      </c>
      <c r="Q74" s="123" t="e">
        <f t="shared" ca="1" si="4"/>
        <v>#N/A</v>
      </c>
      <c r="R74" s="125">
        <f>VLOOKUP(D:D,ranking!W:X,2,0)</f>
        <v>0.6</v>
      </c>
      <c r="S74" s="126" t="e">
        <f t="shared" ca="1" si="5"/>
        <v>#N/A</v>
      </c>
      <c r="T74" s="123">
        <v>0.58912428982217468</v>
      </c>
    </row>
    <row r="75" spans="1:20" x14ac:dyDescent="0.25">
      <c r="A75" s="98" t="s">
        <v>1057</v>
      </c>
      <c r="B75" s="98" t="s">
        <v>85</v>
      </c>
      <c r="C75" s="46" t="s">
        <v>1229</v>
      </c>
      <c r="D75" s="98" t="s">
        <v>433</v>
      </c>
      <c r="E75" s="46" t="s">
        <v>219</v>
      </c>
      <c r="F75" s="46" t="s">
        <v>215</v>
      </c>
      <c r="G75" s="53" t="s">
        <v>1848</v>
      </c>
      <c r="H75" s="46" t="s">
        <v>19</v>
      </c>
      <c r="I75" s="53">
        <v>46043</v>
      </c>
      <c r="J75" s="119">
        <v>9</v>
      </c>
      <c r="K75" s="46" t="s">
        <v>138</v>
      </c>
      <c r="L75" s="123">
        <f>VLOOKUP($C75&amp;$E75,'Updated SES'!A:N,14,0)</f>
        <v>78.939870000000013</v>
      </c>
      <c r="M75" s="124">
        <f>VLOOKUP($K75,'Genre Penetration'!A:B,2,0)*VLOOKUP($C75&amp;$E75,'Updated SES'!A:I,9,0)</f>
        <v>0.376</v>
      </c>
      <c r="N75" s="124">
        <f>VLOOKUP(K:K,'Genre Penetration'!A:C,3,0)*VLOOKUP($C75&amp;$E75,'Updated SES'!A:J,10,0)</f>
        <v>0.10600000000000001</v>
      </c>
      <c r="O75" s="124" t="e">
        <f>VLOOKUP($B75,'Language Penetration'!$B$1:$BE$14,MATCH('Compile data Working'!#REF!,'Language Penetration'!$B$1:$BE$1,0),0)</f>
        <v>#REF!</v>
      </c>
      <c r="P75" s="124" t="str">
        <f t="shared" ca="1" si="3"/>
        <v>6%</v>
      </c>
      <c r="Q75" s="123" t="e">
        <f t="shared" ca="1" si="4"/>
        <v>#REF!</v>
      </c>
      <c r="R75" s="125">
        <f>VLOOKUP(D:D,ranking!W:X,2,0)</f>
        <v>0.6</v>
      </c>
      <c r="S75" s="126" t="e">
        <f t="shared" ca="1" si="5"/>
        <v>#REF!</v>
      </c>
      <c r="T75" s="123">
        <v>0.13702114097059714</v>
      </c>
    </row>
    <row r="76" spans="1:20" x14ac:dyDescent="0.25">
      <c r="A76" s="98" t="s">
        <v>1057</v>
      </c>
      <c r="B76" s="98" t="s">
        <v>85</v>
      </c>
      <c r="C76" s="98" t="s">
        <v>150</v>
      </c>
      <c r="D76" s="98" t="s">
        <v>431</v>
      </c>
      <c r="E76" s="98" t="s">
        <v>211</v>
      </c>
      <c r="F76" s="46" t="s">
        <v>215</v>
      </c>
      <c r="G76" s="98" t="s">
        <v>1967</v>
      </c>
      <c r="H76" s="46" t="s">
        <v>19</v>
      </c>
      <c r="I76" s="53">
        <v>46178</v>
      </c>
      <c r="J76" s="119">
        <v>2</v>
      </c>
      <c r="K76" s="46" t="s">
        <v>202</v>
      </c>
      <c r="L76" s="123">
        <f>VLOOKUP($C76&amp;$E76,'Updated SES'!A:N,14,0)</f>
        <v>60.152000000000001</v>
      </c>
      <c r="M76" s="124">
        <f>VLOOKUP($K76,'Genre Penetration'!A:B,2,0)*VLOOKUP($C76&amp;$E76,'Updated SES'!A:I,9,0)</f>
        <v>0.46799999999999997</v>
      </c>
      <c r="N76" s="124">
        <f>VLOOKUP(K:K,'Genre Penetration'!A:C,3,0)*VLOOKUP($C76&amp;$E76,'Updated SES'!A:J,10,0)</f>
        <v>9.8000000000000004E-2</v>
      </c>
      <c r="O76" s="124">
        <f>VLOOKUP($B76,'Language Penetration'!$B$1:$BE$14,MATCH('Compile data Working'!$H172,'Language Penetration'!$B$1:$BE$1,0),0)</f>
        <v>0.6</v>
      </c>
      <c r="P76" s="124" t="str">
        <f t="shared" ca="1" si="3"/>
        <v>30%</v>
      </c>
      <c r="Q76" s="123">
        <f t="shared" ca="1" si="4"/>
        <v>6.1282857599999998</v>
      </c>
      <c r="R76" s="125">
        <f>VLOOKUP(D:D,ranking!W:X,2,0)</f>
        <v>0.6</v>
      </c>
      <c r="S76" s="126">
        <f t="shared" ca="1" si="5"/>
        <v>3.6769714559999995</v>
      </c>
      <c r="T76" s="123">
        <v>3.5270138517043601</v>
      </c>
    </row>
    <row r="77" spans="1:20" x14ac:dyDescent="0.25">
      <c r="A77" s="98" t="s">
        <v>1057</v>
      </c>
      <c r="B77" s="98" t="s">
        <v>85</v>
      </c>
      <c r="C77" s="46" t="s">
        <v>1229</v>
      </c>
      <c r="D77" s="98" t="s">
        <v>433</v>
      </c>
      <c r="E77" s="46" t="s">
        <v>219</v>
      </c>
      <c r="F77" s="46" t="s">
        <v>215</v>
      </c>
      <c r="G77" s="46" t="s">
        <v>1844</v>
      </c>
      <c r="H77" s="46" t="s">
        <v>19</v>
      </c>
      <c r="I77" s="53">
        <v>46141</v>
      </c>
      <c r="J77" s="119">
        <v>4</v>
      </c>
      <c r="K77" s="46" t="s">
        <v>154</v>
      </c>
      <c r="L77" s="123">
        <f>VLOOKUP($C77&amp;$E77,'Updated SES'!A:N,14,0)</f>
        <v>78.939870000000013</v>
      </c>
      <c r="M77" s="124">
        <f>VLOOKUP($K77,'Genre Penetration'!A:B,2,0)*VLOOKUP($C77&amp;$E77,'Updated SES'!A:I,9,0)</f>
        <v>0.24</v>
      </c>
      <c r="N77" s="124">
        <f>VLOOKUP(K:K,'Genre Penetration'!A:C,3,0)*VLOOKUP($C77&amp;$E77,'Updated SES'!A:J,10,0)</f>
        <v>0.13999999999999999</v>
      </c>
      <c r="O77" s="124" t="e">
        <f>VLOOKUP($B77,'Language Penetration'!$B$1:$BE$14,MATCH('Compile data Working'!#REF!,'Language Penetration'!$B$1:$BE$1,0),0)</f>
        <v>#REF!</v>
      </c>
      <c r="P77" s="124" t="str">
        <f t="shared" ca="1" si="3"/>
        <v>20%</v>
      </c>
      <c r="Q77" s="123" t="e">
        <f t="shared" ca="1" si="4"/>
        <v>#REF!</v>
      </c>
      <c r="R77" s="125">
        <f>VLOOKUP(D:D,ranking!W:X,2,0)</f>
        <v>0.6</v>
      </c>
      <c r="S77" s="126" t="e">
        <f t="shared" ca="1" si="5"/>
        <v>#REF!</v>
      </c>
      <c r="T77" s="123">
        <v>3.844565203076701</v>
      </c>
    </row>
    <row r="78" spans="1:20" x14ac:dyDescent="0.25">
      <c r="A78" s="98" t="s">
        <v>1057</v>
      </c>
      <c r="B78" s="98" t="s">
        <v>85</v>
      </c>
      <c r="C78" s="98" t="s">
        <v>150</v>
      </c>
      <c r="D78" s="98" t="s">
        <v>431</v>
      </c>
      <c r="E78" s="46" t="s">
        <v>211</v>
      </c>
      <c r="F78" s="46" t="s">
        <v>215</v>
      </c>
      <c r="G78" s="46" t="s">
        <v>1792</v>
      </c>
      <c r="H78" s="120" t="s">
        <v>1863</v>
      </c>
      <c r="I78" s="106">
        <v>46053</v>
      </c>
      <c r="J78" s="119">
        <v>10</v>
      </c>
      <c r="K78" s="120" t="s">
        <v>275</v>
      </c>
      <c r="L78" s="123">
        <f>VLOOKUP($C78&amp;$E78,'Updated SES'!A:N,14,0)</f>
        <v>60.152000000000001</v>
      </c>
      <c r="M78" s="124">
        <f>VLOOKUP($K78,'Genre Penetration'!A:B,2,0)*VLOOKUP($C78&amp;$E78,'Updated SES'!A:I,9,0)</f>
        <v>0.35750000000000004</v>
      </c>
      <c r="N78" s="124">
        <f>VLOOKUP(K:K,'Genre Penetration'!A:C,3,0)*VLOOKUP($C78&amp;$E78,'Updated SES'!A:J,10,0)</f>
        <v>0.1575</v>
      </c>
      <c r="O78" s="124">
        <f>VLOOKUP($B78,'Language Penetration'!$B$1:$BE$14,MATCH('Compile data Working'!$H96,'Language Penetration'!$B$1:$BE$1,0),0)</f>
        <v>0.6</v>
      </c>
      <c r="P78" s="124" t="str">
        <f t="shared" ca="1" si="3"/>
        <v>4%</v>
      </c>
      <c r="Q78" s="123">
        <f t="shared" ca="1" si="4"/>
        <v>0.74347871999999993</v>
      </c>
      <c r="R78" s="125">
        <f>VLOOKUP(D:D,ranking!W:X,2,0)</f>
        <v>0.6</v>
      </c>
      <c r="S78" s="126">
        <f t="shared" ca="1" si="5"/>
        <v>0.44608723199999994</v>
      </c>
      <c r="T78" s="123">
        <v>0.26421067365424628</v>
      </c>
    </row>
    <row r="79" spans="1:20" x14ac:dyDescent="0.25">
      <c r="A79" s="98" t="s">
        <v>1057</v>
      </c>
      <c r="B79" s="98" t="s">
        <v>85</v>
      </c>
      <c r="C79" s="46" t="s">
        <v>64</v>
      </c>
      <c r="D79" s="98" t="s">
        <v>859</v>
      </c>
      <c r="E79" s="46" t="s">
        <v>211</v>
      </c>
      <c r="F79" s="46" t="s">
        <v>213</v>
      </c>
      <c r="G79" s="46" t="s">
        <v>1968</v>
      </c>
      <c r="H79" s="138" t="s">
        <v>19</v>
      </c>
      <c r="I79" s="53">
        <v>46178</v>
      </c>
      <c r="J79" s="119">
        <v>7</v>
      </c>
      <c r="K79" s="46" t="s">
        <v>97</v>
      </c>
      <c r="L79" s="123">
        <f>VLOOKUP($C79&amp;$E79,'Updated SES'!A:N,14,0)</f>
        <v>36.498239999999996</v>
      </c>
      <c r="M79" s="124">
        <f>VLOOKUP($K79,'Genre Penetration'!A:B,2,0)*VLOOKUP($C79&amp;$E79,'Updated SES'!A:I,9,0)</f>
        <v>0.35360000000000003</v>
      </c>
      <c r="N79" s="124">
        <f>VLOOKUP(K:K,'Genre Penetration'!A:C,3,0)*VLOOKUP($C79&amp;$E79,'Updated SES'!A:J,10,0)</f>
        <v>0.15359999999999999</v>
      </c>
      <c r="O79" s="124">
        <f>VLOOKUP($B79,'Language Penetration'!$B$1:$BE$14,MATCH('Compile data Working'!$H193,'Language Penetration'!$B$1:$BE$1,0),0)</f>
        <v>0.12</v>
      </c>
      <c r="P79" s="124" t="str">
        <f t="shared" ca="1" si="3"/>
        <v>10%</v>
      </c>
      <c r="Q79" s="123">
        <f t="shared" ca="1" si="4"/>
        <v>0.22214288793599996</v>
      </c>
      <c r="R79" s="125">
        <f>VLOOKUP(D:D,ranking!W:X,2,0)</f>
        <v>0.7</v>
      </c>
      <c r="S79" s="126">
        <f t="shared" ca="1" si="5"/>
        <v>0.15550002155519996</v>
      </c>
      <c r="T79" s="123">
        <v>17.319269817000102</v>
      </c>
    </row>
    <row r="80" spans="1:20" x14ac:dyDescent="0.25">
      <c r="A80" s="98" t="s">
        <v>1057</v>
      </c>
      <c r="B80" s="98" t="s">
        <v>85</v>
      </c>
      <c r="C80" s="46" t="s">
        <v>123</v>
      </c>
      <c r="D80" s="46" t="s">
        <v>431</v>
      </c>
      <c r="E80" s="46" t="s">
        <v>211</v>
      </c>
      <c r="F80" s="46" t="s">
        <v>215</v>
      </c>
      <c r="G80" s="46" t="s">
        <v>1876</v>
      </c>
      <c r="H80" s="46" t="s">
        <v>28</v>
      </c>
      <c r="I80" s="53">
        <v>46162</v>
      </c>
      <c r="J80" s="119">
        <v>5</v>
      </c>
      <c r="K80" s="46" t="s">
        <v>1837</v>
      </c>
      <c r="L80" s="123">
        <f>VLOOKUP($C80&amp;$E80,'Updated SES'!A:N,14,0)</f>
        <v>55.459200000000003</v>
      </c>
      <c r="M80" s="124">
        <f>VLOOKUP($K80,'Genre Penetration'!A:B,2,0)*VLOOKUP($C80&amp;$E80,'Updated SES'!A:I,9,0)</f>
        <v>0.19600000000000001</v>
      </c>
      <c r="N80" s="124">
        <f>VLOOKUP(K:K,'Genre Penetration'!A:C,3,0)*VLOOKUP($C80&amp;$E80,'Updated SES'!A:J,10,0)</f>
        <v>0.30599999999999999</v>
      </c>
      <c r="O80" s="124">
        <f>VLOOKUP($B80,'Language Penetration'!$B$1:$BE$14,MATCH('Compile data Working'!$H11,'Language Penetration'!$B$1:$BE$1,0),0)</f>
        <v>0.2</v>
      </c>
      <c r="P80" s="124" t="str">
        <f t="shared" ca="1" si="3"/>
        <v>20%</v>
      </c>
      <c r="Q80" s="123">
        <f t="shared" ca="1" si="4"/>
        <v>1.1136207360000001</v>
      </c>
      <c r="R80" s="125">
        <f>VLOOKUP(D:D,ranking!W:X,2,0)</f>
        <v>0.6</v>
      </c>
      <c r="S80" s="126">
        <f t="shared" ca="1" si="5"/>
        <v>0.6681724416</v>
      </c>
      <c r="T80" s="123">
        <v>6.3083706956453005</v>
      </c>
    </row>
    <row r="81" spans="1:20" x14ac:dyDescent="0.25">
      <c r="A81" s="98" t="s">
        <v>1057</v>
      </c>
      <c r="B81" s="98" t="s">
        <v>85</v>
      </c>
      <c r="C81" s="98" t="s">
        <v>150</v>
      </c>
      <c r="D81" s="98" t="s">
        <v>431</v>
      </c>
      <c r="E81" s="98" t="s">
        <v>211</v>
      </c>
      <c r="F81" s="46" t="s">
        <v>215</v>
      </c>
      <c r="G81" s="46" t="s">
        <v>1860</v>
      </c>
      <c r="H81" s="98" t="s">
        <v>320</v>
      </c>
      <c r="I81" s="106">
        <v>46052</v>
      </c>
      <c r="J81" s="119">
        <v>9</v>
      </c>
      <c r="K81" s="120" t="s">
        <v>176</v>
      </c>
      <c r="L81" s="123">
        <f>VLOOKUP($C81&amp;$E81,'Updated SES'!A:N,14,0)</f>
        <v>60.152000000000001</v>
      </c>
      <c r="M81" s="124">
        <f>VLOOKUP($K81,'Genre Penetration'!A:B,2,0)*VLOOKUP($C81&amp;$E81,'Updated SES'!A:I,9,0)</f>
        <v>0.40300000000000002</v>
      </c>
      <c r="N81" s="124">
        <f>VLOOKUP(K:K,'Genre Penetration'!A:C,3,0)*VLOOKUP($C81&amp;$E81,'Updated SES'!A:J,10,0)</f>
        <v>0.13299999999999998</v>
      </c>
      <c r="O81" s="124" t="e">
        <f>VLOOKUP($B81,'Language Penetration'!$B$1:$BE$14,MATCH('Compile data Working'!#REF!,'Language Penetration'!$B$1:$BE$1,0),0)</f>
        <v>#REF!</v>
      </c>
      <c r="P81" s="124" t="str">
        <f t="shared" ca="1" si="3"/>
        <v>4%</v>
      </c>
      <c r="Q81" s="123" t="e">
        <f t="shared" ca="1" si="4"/>
        <v>#REF!</v>
      </c>
      <c r="R81" s="125">
        <f>VLOOKUP(D:D,ranking!W:X,2,0)</f>
        <v>0.6</v>
      </c>
      <c r="S81" s="126" t="e">
        <f t="shared" ca="1" si="5"/>
        <v>#REF!</v>
      </c>
      <c r="T81" s="123">
        <v>0.13022974729376338</v>
      </c>
    </row>
    <row r="82" spans="1:20" x14ac:dyDescent="0.25">
      <c r="A82" s="98" t="s">
        <v>1057</v>
      </c>
      <c r="B82" s="98" t="s">
        <v>85</v>
      </c>
      <c r="C82" s="98" t="s">
        <v>150</v>
      </c>
      <c r="D82" s="98" t="s">
        <v>432</v>
      </c>
      <c r="E82" s="98" t="s">
        <v>211</v>
      </c>
      <c r="F82" s="46" t="s">
        <v>213</v>
      </c>
      <c r="G82" s="46" t="s">
        <v>1791</v>
      </c>
      <c r="H82" s="98" t="s">
        <v>19</v>
      </c>
      <c r="I82" s="106">
        <v>46122</v>
      </c>
      <c r="J82" s="119">
        <v>9</v>
      </c>
      <c r="K82" s="98" t="s">
        <v>422</v>
      </c>
      <c r="L82" s="123">
        <f>VLOOKUP($C82&amp;$E82,'Updated SES'!A:N,14,0)</f>
        <v>60.152000000000001</v>
      </c>
      <c r="M82" s="124">
        <f>VLOOKUP($K82,'Genre Penetration'!A:B,2,0)*VLOOKUP($C82&amp;$E82,'Updated SES'!A:I,9,0)</f>
        <v>0.377</v>
      </c>
      <c r="N82" s="124">
        <f>VLOOKUP(K:K,'Genre Penetration'!A:C,3,0)*VLOOKUP($C82&amp;$E82,'Updated SES'!A:J,10,0)</f>
        <v>0.14699999999999999</v>
      </c>
      <c r="O82" s="124" t="e">
        <f>VLOOKUP($B82,'Language Penetration'!$B$1:$BE$14,MATCH('Compile data Working'!#REF!,'Language Penetration'!$B$1:$BE$1,0),0)</f>
        <v>#REF!</v>
      </c>
      <c r="P82" s="124" t="str">
        <f t="shared" ca="1" si="3"/>
        <v>6%</v>
      </c>
      <c r="Q82" s="123" t="e">
        <f t="shared" ca="1" si="4"/>
        <v>#REF!</v>
      </c>
      <c r="R82" s="125">
        <f>VLOOKUP(D:D,ranking!W:X,2,0)</f>
        <v>0.8</v>
      </c>
      <c r="S82" s="126" t="e">
        <f t="shared" ca="1" si="5"/>
        <v>#REF!</v>
      </c>
      <c r="T82" s="123">
        <v>2.3178942972824448</v>
      </c>
    </row>
    <row r="83" spans="1:20" x14ac:dyDescent="0.25">
      <c r="A83" s="98" t="s">
        <v>1057</v>
      </c>
      <c r="B83" s="98" t="s">
        <v>85</v>
      </c>
      <c r="C83" s="98" t="s">
        <v>150</v>
      </c>
      <c r="D83" s="98" t="s">
        <v>431</v>
      </c>
      <c r="E83" s="98" t="s">
        <v>211</v>
      </c>
      <c r="F83" s="46" t="s">
        <v>215</v>
      </c>
      <c r="G83" s="120" t="s">
        <v>1858</v>
      </c>
      <c r="H83" s="120" t="s">
        <v>1757</v>
      </c>
      <c r="I83" s="106">
        <v>46142</v>
      </c>
      <c r="J83" s="119">
        <v>6</v>
      </c>
      <c r="K83" s="98" t="s">
        <v>275</v>
      </c>
      <c r="L83" s="123">
        <f>VLOOKUP($C83&amp;$E83,'Updated SES'!A:N,14,0)</f>
        <v>60.152000000000001</v>
      </c>
      <c r="M83" s="124">
        <f>VLOOKUP($K83,'Genre Penetration'!A:B,2,0)*VLOOKUP($C83&amp;$E83,'Updated SES'!A:I,9,0)</f>
        <v>0.35750000000000004</v>
      </c>
      <c r="N83" s="124">
        <f>VLOOKUP(K:K,'Genre Penetration'!A:C,3,0)*VLOOKUP($C83&amp;$E83,'Updated SES'!A:J,10,0)</f>
        <v>0.1575</v>
      </c>
      <c r="O83" s="124" t="e">
        <f>VLOOKUP($B83,'Language Penetration'!$B$1:$BE$14,MATCH('Compile data Working'!$H141,'Language Penetration'!$B$1:$BE$1,0),0)</f>
        <v>#N/A</v>
      </c>
      <c r="P83" s="124" t="str">
        <f t="shared" ca="1" si="3"/>
        <v>15%</v>
      </c>
      <c r="Q83" s="123" t="e">
        <f t="shared" ca="1" si="4"/>
        <v>#N/A</v>
      </c>
      <c r="R83" s="125">
        <f>VLOOKUP(D:D,ranking!W:X,2,0)</f>
        <v>0.6</v>
      </c>
      <c r="S83" s="126" t="e">
        <f t="shared" ca="1" si="5"/>
        <v>#N/A</v>
      </c>
      <c r="T83" s="123">
        <v>1.9533869812977573</v>
      </c>
    </row>
    <row r="84" spans="1:20" x14ac:dyDescent="0.25">
      <c r="A84" s="98" t="s">
        <v>1057</v>
      </c>
      <c r="B84" s="98" t="s">
        <v>85</v>
      </c>
      <c r="C84" s="46" t="s">
        <v>1229</v>
      </c>
      <c r="D84" s="46" t="s">
        <v>433</v>
      </c>
      <c r="E84" s="46" t="s">
        <v>219</v>
      </c>
      <c r="F84" s="46" t="s">
        <v>215</v>
      </c>
      <c r="G84" s="46" t="s">
        <v>1846</v>
      </c>
      <c r="H84" s="46" t="s">
        <v>19</v>
      </c>
      <c r="I84" s="53">
        <v>46108</v>
      </c>
      <c r="J84" s="119">
        <v>6</v>
      </c>
      <c r="K84" s="46" t="s">
        <v>910</v>
      </c>
      <c r="L84" s="123">
        <f>VLOOKUP($C84&amp;$E84,'Updated SES'!A:N,14,0)</f>
        <v>78.939870000000013</v>
      </c>
      <c r="M84" s="124">
        <f>VLOOKUP($K84,'Genre Penetration'!A:B,2,0)*VLOOKUP($C84&amp;$E84,'Updated SES'!A:I,9,0)</f>
        <v>0.4</v>
      </c>
      <c r="N84" s="124">
        <f>VLOOKUP(K:K,'Genre Penetration'!A:C,3,0)*VLOOKUP($C84&amp;$E84,'Updated SES'!A:J,10,0)</f>
        <v>0.1</v>
      </c>
      <c r="O84" s="124">
        <f>VLOOKUP($B84,'Language Penetration'!$B$1:$BE$14,MATCH('Compile data Working'!$H40,'Language Penetration'!$B$1:$BE$1,0),0)</f>
        <v>0.2</v>
      </c>
      <c r="P84" s="124" t="str">
        <f t="shared" ca="1" si="3"/>
        <v>11%</v>
      </c>
      <c r="Q84" s="123">
        <f t="shared" ca="1" si="4"/>
        <v>0.86833857000000025</v>
      </c>
      <c r="R84" s="125">
        <f>VLOOKUP(D:D,ranking!W:X,2,0)</f>
        <v>0.6</v>
      </c>
      <c r="S84" s="126">
        <f t="shared" ca="1" si="5"/>
        <v>0.52100314200000009</v>
      </c>
      <c r="T84" s="123">
        <v>0.90641423652664355</v>
      </c>
    </row>
    <row r="85" spans="1:20" x14ac:dyDescent="0.25">
      <c r="A85" s="98" t="s">
        <v>1057</v>
      </c>
      <c r="B85" s="98" t="s">
        <v>85</v>
      </c>
      <c r="C85" s="46" t="s">
        <v>64</v>
      </c>
      <c r="D85" s="98" t="s">
        <v>431</v>
      </c>
      <c r="E85" s="46" t="s">
        <v>211</v>
      </c>
      <c r="F85" s="46" t="s">
        <v>215</v>
      </c>
      <c r="G85" s="46" t="s">
        <v>1850</v>
      </c>
      <c r="H85" s="119" t="s">
        <v>1861</v>
      </c>
      <c r="I85" s="121">
        <v>46131</v>
      </c>
      <c r="J85" s="119">
        <v>10</v>
      </c>
      <c r="K85" s="119" t="s">
        <v>1862</v>
      </c>
      <c r="L85" s="123">
        <f>VLOOKUP($C85&amp;$E85,'Updated SES'!A:N,14,0)</f>
        <v>36.498239999999996</v>
      </c>
      <c r="M85" s="124" t="e">
        <f>VLOOKUP($K85,'Genre Penetration'!A:B,2,0)*VLOOKUP($C85&amp;$E85,'Updated SES'!A:I,9,0)</f>
        <v>#N/A</v>
      </c>
      <c r="N85" s="124" t="e">
        <f>VLOOKUP(K:K,'Genre Penetration'!A:C,3,0)*VLOOKUP($C85&amp;$E85,'Updated SES'!A:J,10,0)</f>
        <v>#N/A</v>
      </c>
      <c r="O85" s="124">
        <f>VLOOKUP($B85,'Language Penetration'!$B$1:$BE$14,MATCH('Compile data Working'!$H29,'Language Penetration'!$B$1:$BE$1,0),0)</f>
        <v>0.12</v>
      </c>
      <c r="P85" s="124" t="str">
        <f t="shared" ca="1" si="3"/>
        <v>4%</v>
      </c>
      <c r="Q85" s="123" t="e">
        <f t="shared" ca="1" si="4"/>
        <v>#N/A</v>
      </c>
      <c r="R85" s="125">
        <f>VLOOKUP(D:D,ranking!W:X,2,0)</f>
        <v>0.6</v>
      </c>
      <c r="S85" s="126" t="e">
        <f t="shared" ca="1" si="5"/>
        <v>#N/A</v>
      </c>
      <c r="T85" s="123">
        <v>20.448244624975001</v>
      </c>
    </row>
    <row r="86" spans="1:20" x14ac:dyDescent="0.25">
      <c r="A86" s="98" t="s">
        <v>1057</v>
      </c>
      <c r="B86" s="98" t="s">
        <v>85</v>
      </c>
      <c r="C86" s="98" t="s">
        <v>123</v>
      </c>
      <c r="D86" s="98" t="s">
        <v>431</v>
      </c>
      <c r="E86" s="46" t="s">
        <v>211</v>
      </c>
      <c r="F86" s="46" t="s">
        <v>215</v>
      </c>
      <c r="G86" s="46" t="s">
        <v>1851</v>
      </c>
      <c r="H86" s="46" t="s">
        <v>40</v>
      </c>
      <c r="I86" s="53">
        <v>46143</v>
      </c>
      <c r="J86" s="119">
        <v>7</v>
      </c>
      <c r="K86" s="46" t="s">
        <v>97</v>
      </c>
      <c r="L86" s="123">
        <f>VLOOKUP($C86&amp;$E86,'Updated SES'!A:N,14,0)</f>
        <v>55.459200000000003</v>
      </c>
      <c r="M86" s="124">
        <f>VLOOKUP($K86,'Genre Penetration'!A:B,2,0)*VLOOKUP($C86&amp;$E86,'Updated SES'!A:I,9,0)</f>
        <v>0.3332</v>
      </c>
      <c r="N86" s="124">
        <f>VLOOKUP(K:K,'Genre Penetration'!A:C,3,0)*VLOOKUP($C86&amp;$E86,'Updated SES'!A:J,10,0)</f>
        <v>0.16320000000000001</v>
      </c>
      <c r="O86" s="124">
        <f>VLOOKUP($B86,'Language Penetration'!$B$1:$BE$14,MATCH('Compile data Working'!$H176,'Language Penetration'!$B$1:$BE$1,0),0)</f>
        <v>0.6</v>
      </c>
      <c r="P86" s="124" t="str">
        <f t="shared" ca="1" si="3"/>
        <v>8%</v>
      </c>
      <c r="Q86" s="123">
        <f t="shared" ca="1" si="4"/>
        <v>1.3214374502399999</v>
      </c>
      <c r="R86" s="125">
        <f>VLOOKUP(D:D,ranking!W:X,2,0)</f>
        <v>0.6</v>
      </c>
      <c r="S86" s="126">
        <f t="shared" ca="1" si="5"/>
        <v>0.79286247014399991</v>
      </c>
      <c r="T86" s="123">
        <v>4.8224174305695762</v>
      </c>
    </row>
    <row r="87" spans="1:20" x14ac:dyDescent="0.25">
      <c r="A87" s="98" t="s">
        <v>1057</v>
      </c>
      <c r="B87" s="98" t="s">
        <v>85</v>
      </c>
      <c r="C87" s="98" t="s">
        <v>123</v>
      </c>
      <c r="D87" s="98" t="s">
        <v>859</v>
      </c>
      <c r="E87" s="98" t="s">
        <v>211</v>
      </c>
      <c r="F87" s="46" t="s">
        <v>213</v>
      </c>
      <c r="G87" s="98" t="s">
        <v>1962</v>
      </c>
      <c r="H87" s="46" t="s">
        <v>28</v>
      </c>
      <c r="I87" s="53">
        <v>46177</v>
      </c>
      <c r="J87" s="119">
        <v>7</v>
      </c>
      <c r="K87" s="46" t="s">
        <v>381</v>
      </c>
      <c r="L87" s="123">
        <f>VLOOKUP($C87&amp;$E87,'Updated SES'!A:N,14,0)</f>
        <v>55.459200000000003</v>
      </c>
      <c r="M87" s="124">
        <f>VLOOKUP($K87,'Genre Penetration'!A:B,2,0)*VLOOKUP($C87&amp;$E87,'Updated SES'!A:I,9,0)</f>
        <v>0.26950000000000002</v>
      </c>
      <c r="N87" s="124">
        <f>VLOOKUP(K:K,'Genre Penetration'!A:C,3,0)*VLOOKUP($C87&amp;$E87,'Updated SES'!A:J,10,0)</f>
        <v>0.22950000000000001</v>
      </c>
      <c r="O87" s="124" t="e">
        <f>VLOOKUP($B87,'Language Penetration'!$B$1:$BE$14,MATCH('Compile data Working'!#REF!,'Language Penetration'!$B$1:$BE$1,0),0)</f>
        <v>#REF!</v>
      </c>
      <c r="P87" s="124" t="str">
        <f t="shared" ca="1" si="3"/>
        <v>10%</v>
      </c>
      <c r="Q87" s="123" t="e">
        <f t="shared" ca="1" si="4"/>
        <v>#REF!</v>
      </c>
      <c r="R87" s="125">
        <f>VLOOKUP(D:D,ranking!W:X,2,0)</f>
        <v>0.7</v>
      </c>
      <c r="S87" s="126" t="e">
        <f t="shared" ca="1" si="5"/>
        <v>#REF!</v>
      </c>
      <c r="T87" s="123">
        <v>16.151857774219188</v>
      </c>
    </row>
    <row r="88" spans="1:20" x14ac:dyDescent="0.25">
      <c r="A88" s="98" t="s">
        <v>1057</v>
      </c>
      <c r="B88" s="98" t="s">
        <v>85</v>
      </c>
      <c r="C88" s="98" t="s">
        <v>132</v>
      </c>
      <c r="D88" s="98" t="s">
        <v>431</v>
      </c>
      <c r="E88" s="98" t="s">
        <v>211</v>
      </c>
      <c r="F88" s="46" t="s">
        <v>215</v>
      </c>
      <c r="G88" s="46" t="s">
        <v>1969</v>
      </c>
      <c r="H88" s="46" t="s">
        <v>19</v>
      </c>
      <c r="I88" s="53">
        <v>46178</v>
      </c>
      <c r="J88" s="119">
        <v>5</v>
      </c>
      <c r="K88" s="46" t="s">
        <v>138</v>
      </c>
      <c r="L88" s="123">
        <f>VLOOKUP($C88&amp;$E88,'Updated SES'!A:N,14,0)</f>
        <v>21.682040000000004</v>
      </c>
      <c r="M88" s="124">
        <f>VLOOKUP($K88,'Genre Penetration'!A:B,2,0)*VLOOKUP($C88&amp;$E88,'Updated SES'!A:I,9,0)</f>
        <v>0.30549999999999999</v>
      </c>
      <c r="N88" s="124">
        <f>VLOOKUP(K:K,'Genre Penetration'!A:C,3,0)*VLOOKUP($C88&amp;$E88,'Updated SES'!A:J,10,0)</f>
        <v>0.1855</v>
      </c>
      <c r="O88" s="124" t="e">
        <f>VLOOKUP($B88,'Language Penetration'!$B$1:$BE$14,MATCH('Compile data Working'!#REF!,'Language Penetration'!$B$1:$BE$1,0),0)</f>
        <v>#REF!</v>
      </c>
      <c r="P88" s="124" t="str">
        <f t="shared" ca="1" si="3"/>
        <v>18%</v>
      </c>
      <c r="Q88" s="123" t="e">
        <f t="shared" ca="1" si="4"/>
        <v>#REF!</v>
      </c>
      <c r="R88" s="125">
        <f>VLOOKUP(D:D,ranking!W:X,2,0)</f>
        <v>0.6</v>
      </c>
      <c r="S88" s="126" t="e">
        <f t="shared" ca="1" si="5"/>
        <v>#REF!</v>
      </c>
      <c r="T88" s="123">
        <v>15.8239280301498</v>
      </c>
    </row>
    <row r="89" spans="1:20" x14ac:dyDescent="0.25">
      <c r="A89" s="98" t="s">
        <v>1057</v>
      </c>
      <c r="B89" s="98" t="s">
        <v>85</v>
      </c>
      <c r="C89" s="98" t="s">
        <v>150</v>
      </c>
      <c r="D89" s="98" t="s">
        <v>431</v>
      </c>
      <c r="E89" s="98" t="s">
        <v>211</v>
      </c>
      <c r="F89" s="46" t="s">
        <v>215</v>
      </c>
      <c r="G89" s="119" t="s">
        <v>1831</v>
      </c>
      <c r="H89" s="119" t="s">
        <v>40</v>
      </c>
      <c r="I89" s="121">
        <v>45513</v>
      </c>
      <c r="J89" s="119">
        <v>7</v>
      </c>
      <c r="K89" s="119" t="s">
        <v>173</v>
      </c>
      <c r="L89" s="123">
        <f>VLOOKUP($C89&amp;$E89,'Updated SES'!A:N,14,0)</f>
        <v>60.152000000000001</v>
      </c>
      <c r="M89" s="124">
        <f>VLOOKUP($K89,'Genre Penetration'!A:B,2,0)*VLOOKUP($C89&amp;$E89,'Updated SES'!A:I,9,0)</f>
        <v>0.35750000000000004</v>
      </c>
      <c r="N89" s="124">
        <f>VLOOKUP(K:K,'Genre Penetration'!A:C,3,0)*VLOOKUP($C89&amp;$E89,'Updated SES'!A:J,10,0)</f>
        <v>0.1575</v>
      </c>
      <c r="O89" s="124" t="e">
        <f>VLOOKUP($B89,'Language Penetration'!$B$1:$BE$14,MATCH('Compile data Working'!$H129,'Language Penetration'!$B$1:$BE$1,0),0)</f>
        <v>#N/A</v>
      </c>
      <c r="P89" s="124" t="str">
        <f t="shared" ca="1" si="3"/>
        <v>10%</v>
      </c>
      <c r="Q89" s="123" t="e">
        <f t="shared" ca="1" si="4"/>
        <v>#N/A</v>
      </c>
      <c r="R89" s="125">
        <f>VLOOKUP(D:D,ranking!W:X,2,0)</f>
        <v>0.6</v>
      </c>
      <c r="S89" s="126" t="e">
        <f t="shared" ca="1" si="5"/>
        <v>#N/A</v>
      </c>
      <c r="T89" s="123">
        <v>1.5977695184348071</v>
      </c>
    </row>
    <row r="90" spans="1:20" x14ac:dyDescent="0.25">
      <c r="A90" s="98" t="s">
        <v>1057</v>
      </c>
      <c r="B90" s="98" t="s">
        <v>85</v>
      </c>
      <c r="C90" s="98" t="s">
        <v>132</v>
      </c>
      <c r="D90" s="46" t="s">
        <v>456</v>
      </c>
      <c r="E90" s="46" t="s">
        <v>219</v>
      </c>
      <c r="F90" s="46" t="s">
        <v>1882</v>
      </c>
      <c r="G90" s="46" t="s">
        <v>1980</v>
      </c>
      <c r="H90" s="98" t="s">
        <v>19</v>
      </c>
      <c r="I90" s="53">
        <v>46175</v>
      </c>
      <c r="J90" s="119">
        <v>1</v>
      </c>
      <c r="K90" s="46" t="s">
        <v>245</v>
      </c>
      <c r="L90" s="123">
        <f>VLOOKUP($C90&amp;$E90,'Updated SES'!A:N,14,0)</f>
        <v>5.2679999999999998</v>
      </c>
      <c r="M90" s="124">
        <f>VLOOKUP($K90,'Genre Penetration'!A:B,2,0)*VLOOKUP($C90&amp;$E90,'Updated SES'!A:I,9,0)</f>
        <v>0.38279999999999997</v>
      </c>
      <c r="N90" s="124">
        <f>VLOOKUP(K:K,'Genre Penetration'!A:C,3,0)*VLOOKUP($C90&amp;$E90,'Updated SES'!A:J,10,0)</f>
        <v>0.14280000000000001</v>
      </c>
      <c r="O90" s="124">
        <f>VLOOKUP($B90,'Language Penetration'!$B$1:$BE$14,MATCH('Compile data Working'!$H139,'Language Penetration'!$B$1:$BE$1,0),0)</f>
        <v>0.6</v>
      </c>
      <c r="P90" s="124" t="str">
        <f t="shared" ca="1" si="3"/>
        <v>36%</v>
      </c>
      <c r="Q90" s="123">
        <f t="shared" ca="1" si="4"/>
        <v>0.59807393279999987</v>
      </c>
      <c r="R90" s="125">
        <f>VLOOKUP(D:D,ranking!W:X,2,0)</f>
        <v>0.3</v>
      </c>
      <c r="S90" s="126">
        <f t="shared" ca="1" si="5"/>
        <v>0.17942217983999995</v>
      </c>
      <c r="T90" s="123">
        <v>15.1037430089946</v>
      </c>
    </row>
    <row r="91" spans="1:20" x14ac:dyDescent="0.25">
      <c r="A91" s="98" t="s">
        <v>1057</v>
      </c>
      <c r="B91" s="98" t="s">
        <v>85</v>
      </c>
      <c r="C91" s="98" t="s">
        <v>150</v>
      </c>
      <c r="D91" s="46" t="s">
        <v>433</v>
      </c>
      <c r="E91" s="46" t="s">
        <v>219</v>
      </c>
      <c r="F91" s="46" t="s">
        <v>215</v>
      </c>
      <c r="G91" s="46" t="s">
        <v>1857</v>
      </c>
      <c r="H91" s="98" t="s">
        <v>19</v>
      </c>
      <c r="I91" s="106">
        <v>46157</v>
      </c>
      <c r="J91" s="119">
        <v>4</v>
      </c>
      <c r="K91" s="98" t="s">
        <v>171</v>
      </c>
      <c r="L91" s="123">
        <f>VLOOKUP($C91&amp;$E91,'Updated SES'!A:N,14,0)</f>
        <v>24.425800000000002</v>
      </c>
      <c r="M91" s="124">
        <f>VLOOKUP($K91,'Genre Penetration'!A:B,2,0)*VLOOKUP($C91&amp;$E91,'Updated SES'!A:I,9,0)</f>
        <v>0.37400000000000005</v>
      </c>
      <c r="N91" s="124">
        <f>VLOOKUP(K:K,'Genre Penetration'!A:C,3,0)*VLOOKUP($C91&amp;$E91,'Updated SES'!A:J,10,0)</f>
        <v>0.14400000000000002</v>
      </c>
      <c r="O91" s="124">
        <f>VLOOKUP($B91,'Language Penetration'!$B$1:$BE$14,MATCH('Compile data Working'!$H53,'Language Penetration'!$B$1:$BE$1,0),0)</f>
        <v>0.6</v>
      </c>
      <c r="P91" s="124" t="str">
        <f t="shared" ca="1" si="3"/>
        <v>25%</v>
      </c>
      <c r="Q91" s="123">
        <f t="shared" ca="1" si="4"/>
        <v>1.8978846600000001</v>
      </c>
      <c r="R91" s="125">
        <f>VLOOKUP(D:D,ranking!W:X,2,0)</f>
        <v>0.6</v>
      </c>
      <c r="S91" s="126">
        <f t="shared" ca="1" si="5"/>
        <v>1.1387307959999999</v>
      </c>
      <c r="T91" s="123">
        <v>5.0752969150085985</v>
      </c>
    </row>
    <row r="92" spans="1:20" x14ac:dyDescent="0.25">
      <c r="A92" s="98" t="s">
        <v>1057</v>
      </c>
      <c r="B92" s="98" t="s">
        <v>85</v>
      </c>
      <c r="C92" s="46" t="s">
        <v>1988</v>
      </c>
      <c r="D92" s="98" t="s">
        <v>859</v>
      </c>
      <c r="E92" s="46" t="s">
        <v>211</v>
      </c>
      <c r="F92" s="46" t="s">
        <v>213</v>
      </c>
      <c r="G92" s="46" t="s">
        <v>1959</v>
      </c>
      <c r="H92" s="46" t="s">
        <v>21</v>
      </c>
      <c r="I92" s="53">
        <v>46176</v>
      </c>
      <c r="J92" s="119">
        <v>9</v>
      </c>
      <c r="K92" s="46" t="s">
        <v>398</v>
      </c>
      <c r="L92" s="123">
        <f>VLOOKUP($C92&amp;$E92,'Updated SES'!A:N,14,0)</f>
        <v>127.11702000000001</v>
      </c>
      <c r="M92" s="124">
        <f>VLOOKUP($K92,'Genre Penetration'!A:B,2,0)*VLOOKUP($C92&amp;$E92,'Updated SES'!A:I,9,0)</f>
        <v>0.33499999999999996</v>
      </c>
      <c r="N92" s="124">
        <f>VLOOKUP(K:K,'Genre Penetration'!A:C,3,0)*VLOOKUP($C92&amp;$E92,'Updated SES'!A:J,10,0)</f>
        <v>0.16499999999999998</v>
      </c>
      <c r="O92" s="124" t="e">
        <f>VLOOKUP($B92,'Language Penetration'!$B$1:$BE$14,MATCH('Compile data Working'!$H44,'Language Penetration'!$B$1:$BE$1,0),0)</f>
        <v>#N/A</v>
      </c>
      <c r="P92" s="124" t="str">
        <f t="shared" ca="1" si="3"/>
        <v>4%</v>
      </c>
      <c r="Q92" s="123" t="e">
        <f t="shared" ca="1" si="4"/>
        <v>#N/A</v>
      </c>
      <c r="R92" s="125">
        <f>VLOOKUP(D:D,ranking!W:X,2,0)</f>
        <v>0.7</v>
      </c>
      <c r="S92" s="126" t="e">
        <f t="shared" ca="1" si="5"/>
        <v>#N/A</v>
      </c>
      <c r="T92" s="123">
        <v>14.736945742414999</v>
      </c>
    </row>
    <row r="93" spans="1:20" x14ac:dyDescent="0.25">
      <c r="A93" s="98" t="s">
        <v>1057</v>
      </c>
      <c r="B93" s="98" t="s">
        <v>85</v>
      </c>
      <c r="C93" s="98" t="s">
        <v>132</v>
      </c>
      <c r="D93" s="98" t="s">
        <v>456</v>
      </c>
      <c r="E93" s="98" t="s">
        <v>211</v>
      </c>
      <c r="F93" s="46" t="s">
        <v>1882</v>
      </c>
      <c r="G93" s="98" t="s">
        <v>1830</v>
      </c>
      <c r="H93" s="98" t="s">
        <v>19</v>
      </c>
      <c r="I93" s="106">
        <v>46118</v>
      </c>
      <c r="J93" s="119">
        <v>6</v>
      </c>
      <c r="K93" s="98" t="s">
        <v>216</v>
      </c>
      <c r="L93" s="123">
        <f>VLOOKUP($C93&amp;$E93,'Updated SES'!A:N,14,0)</f>
        <v>21.682040000000004</v>
      </c>
      <c r="M93" s="124">
        <f>VLOOKUP($K93,'Genre Penetration'!A:B,2,0)*VLOOKUP($C93&amp;$E93,'Updated SES'!A:I,9,0)</f>
        <v>0.32500000000000001</v>
      </c>
      <c r="N93" s="124">
        <f>VLOOKUP(K:K,'Genre Penetration'!A:C,3,0)*VLOOKUP($C93&amp;$E93,'Updated SES'!A:J,10,0)</f>
        <v>0.17499999999999999</v>
      </c>
      <c r="O93" s="124" t="e">
        <f>VLOOKUP($B93,'Language Penetration'!$B$1:$BE$14,MATCH('Compile data Working'!#REF!,'Language Penetration'!$B$1:$BE$1,0),0)</f>
        <v>#REF!</v>
      </c>
      <c r="P93" s="124" t="str">
        <f t="shared" ca="1" si="3"/>
        <v>15%</v>
      </c>
      <c r="Q93" s="123" t="e">
        <f t="shared" ca="1" si="4"/>
        <v>#REF!</v>
      </c>
      <c r="R93" s="125">
        <f>VLOOKUP(D:D,ranking!W:X,2,0)</f>
        <v>0.3</v>
      </c>
      <c r="S93" s="126" t="e">
        <f t="shared" ca="1" si="5"/>
        <v>#REF!</v>
      </c>
      <c r="T93" s="123">
        <v>3.3303569050937463</v>
      </c>
    </row>
    <row r="94" spans="1:20" x14ac:dyDescent="0.25">
      <c r="A94" s="98" t="s">
        <v>1057</v>
      </c>
      <c r="B94" s="98" t="s">
        <v>85</v>
      </c>
      <c r="C94" s="46" t="s">
        <v>123</v>
      </c>
      <c r="D94" s="46" t="s">
        <v>431</v>
      </c>
      <c r="E94" s="46" t="s">
        <v>211</v>
      </c>
      <c r="F94" s="46" t="s">
        <v>215</v>
      </c>
      <c r="G94" s="46" t="s">
        <v>2058</v>
      </c>
      <c r="H94" s="46" t="s">
        <v>2059</v>
      </c>
      <c r="I94" s="53">
        <v>46136</v>
      </c>
      <c r="J94" s="119">
        <v>6</v>
      </c>
      <c r="K94" s="46" t="s">
        <v>286</v>
      </c>
      <c r="L94" s="123">
        <f>VLOOKUP($C94&amp;$E94,'Updated SES'!A:N,14,0)</f>
        <v>55.459200000000003</v>
      </c>
      <c r="M94" s="124">
        <f>VLOOKUP($K94,'Genre Penetration'!A:B,2,0)*VLOOKUP($C94&amp;$E94,'Updated SES'!A:I,9,0)</f>
        <v>0.26704999999999995</v>
      </c>
      <c r="N94" s="124">
        <f>VLOOKUP(K:K,'Genre Penetration'!A:C,3,0)*VLOOKUP($C94&amp;$E94,'Updated SES'!A:J,10,0)</f>
        <v>0.23204999999999998</v>
      </c>
      <c r="O94" s="124" t="e">
        <f>VLOOKUP($B94,'Language Penetration'!$B$1:$BE$14,MATCH('Compile data Working'!$H34,'Language Penetration'!$B$1:$BE$1,0),0)</f>
        <v>#N/A</v>
      </c>
      <c r="P94" s="124" t="str">
        <f t="shared" ca="1" si="3"/>
        <v>13%</v>
      </c>
      <c r="Q94" s="123" t="e">
        <f t="shared" ca="1" si="4"/>
        <v>#N/A</v>
      </c>
      <c r="R94" s="125">
        <f>VLOOKUP(D:D,ranking!W:X,2,0)</f>
        <v>0.6</v>
      </c>
      <c r="S94" s="126" t="e">
        <f t="shared" ca="1" si="5"/>
        <v>#N/A</v>
      </c>
      <c r="T94" s="123">
        <v>5.2451785255142003</v>
      </c>
    </row>
    <row r="95" spans="1:20" x14ac:dyDescent="0.25">
      <c r="A95" s="98" t="s">
        <v>1057</v>
      </c>
      <c r="B95" s="98" t="s">
        <v>85</v>
      </c>
      <c r="C95" s="98" t="s">
        <v>132</v>
      </c>
      <c r="D95" s="98" t="s">
        <v>456</v>
      </c>
      <c r="E95" s="98" t="s">
        <v>219</v>
      </c>
      <c r="F95" s="46" t="s">
        <v>1882</v>
      </c>
      <c r="G95" s="98" t="s">
        <v>1515</v>
      </c>
      <c r="H95" s="119" t="s">
        <v>19</v>
      </c>
      <c r="I95" s="106">
        <v>45948</v>
      </c>
      <c r="J95" s="119">
        <v>3</v>
      </c>
      <c r="K95" s="98" t="s">
        <v>1837</v>
      </c>
      <c r="L95" s="123">
        <f>VLOOKUP($C95&amp;$E95,'Updated SES'!A:N,14,0)</f>
        <v>5.2679999999999998</v>
      </c>
      <c r="M95" s="124">
        <f>VLOOKUP($K95,'Genre Penetration'!A:B,2,0)*VLOOKUP($C95&amp;$E95,'Updated SES'!A:I,9,0)</f>
        <v>0.26400000000000001</v>
      </c>
      <c r="N95" s="124">
        <f>VLOOKUP(K:K,'Genre Penetration'!A:C,3,0)*VLOOKUP($C95&amp;$E95,'Updated SES'!A:J,10,0)</f>
        <v>0.20400000000000001</v>
      </c>
      <c r="O95" s="124" t="e">
        <f>VLOOKUP($B95,'Language Penetration'!$B$1:$BE$14,MATCH('Compile data Working'!#REF!,'Language Penetration'!$B$1:$BE$1,0),0)</f>
        <v>#REF!</v>
      </c>
      <c r="P95" s="124" t="str">
        <f t="shared" ca="1" si="3"/>
        <v>27%</v>
      </c>
      <c r="Q95" s="123" t="e">
        <f t="shared" ca="1" si="4"/>
        <v>#REF!</v>
      </c>
      <c r="R95" s="125">
        <f>VLOOKUP(D:D,ranking!W:X,2,0)</f>
        <v>0.3</v>
      </c>
      <c r="S95" s="126" t="e">
        <f t="shared" ca="1" si="5"/>
        <v>#REF!</v>
      </c>
      <c r="T95" s="123">
        <v>11.016487279535117</v>
      </c>
    </row>
    <row r="96" spans="1:20" x14ac:dyDescent="0.25">
      <c r="A96" s="98" t="s">
        <v>1057</v>
      </c>
      <c r="B96" s="98" t="s">
        <v>85</v>
      </c>
      <c r="C96" s="46" t="s">
        <v>132</v>
      </c>
      <c r="D96" s="46" t="s">
        <v>456</v>
      </c>
      <c r="E96" s="46" t="s">
        <v>219</v>
      </c>
      <c r="F96" s="46" t="s">
        <v>1882</v>
      </c>
      <c r="G96" s="46" t="s">
        <v>1981</v>
      </c>
      <c r="H96" s="98" t="s">
        <v>19</v>
      </c>
      <c r="I96" s="53">
        <v>46179</v>
      </c>
      <c r="J96" s="119">
        <v>4</v>
      </c>
      <c r="K96" s="46" t="s">
        <v>1837</v>
      </c>
      <c r="L96" s="123">
        <f>VLOOKUP($C96&amp;$E96,'Updated SES'!A:N,14,0)</f>
        <v>5.2679999999999998</v>
      </c>
      <c r="M96" s="124">
        <f>VLOOKUP($K96,'Genre Penetration'!A:B,2,0)*VLOOKUP($C96&amp;$E96,'Updated SES'!A:I,9,0)</f>
        <v>0.26400000000000001</v>
      </c>
      <c r="N96" s="124">
        <f>VLOOKUP(K:K,'Genre Penetration'!A:C,3,0)*VLOOKUP($C96&amp;$E96,'Updated SES'!A:J,10,0)</f>
        <v>0.20400000000000001</v>
      </c>
      <c r="O96" s="124">
        <f>VLOOKUP($B96,'Language Penetration'!$B$1:$BE$14,MATCH('Compile data Working'!$H68,'Language Penetration'!$B$1:$BE$1,0),0)</f>
        <v>0.2</v>
      </c>
      <c r="P96" s="124" t="str">
        <f t="shared" ca="1" si="3"/>
        <v>21%</v>
      </c>
      <c r="Q96" s="123">
        <f t="shared" ca="1" si="4"/>
        <v>0.10354780800000001</v>
      </c>
      <c r="R96" s="125">
        <f>VLOOKUP(D:D,ranking!W:X,2,0)</f>
        <v>0.3</v>
      </c>
      <c r="S96" s="126">
        <f t="shared" ca="1" si="5"/>
        <v>3.10643424E-2</v>
      </c>
      <c r="T96" s="123">
        <v>14.9217630596193</v>
      </c>
    </row>
    <row r="97" spans="1:20" x14ac:dyDescent="0.25">
      <c r="A97" s="98" t="s">
        <v>1057</v>
      </c>
      <c r="B97" s="98" t="s">
        <v>85</v>
      </c>
      <c r="C97" s="46" t="s">
        <v>1229</v>
      </c>
      <c r="D97" s="46" t="s">
        <v>433</v>
      </c>
      <c r="E97" s="46" t="s">
        <v>219</v>
      </c>
      <c r="F97" s="46" t="s">
        <v>215</v>
      </c>
      <c r="G97" s="46" t="s">
        <v>1845</v>
      </c>
      <c r="H97" s="46" t="s">
        <v>19</v>
      </c>
      <c r="I97" s="53">
        <v>46115</v>
      </c>
      <c r="J97" s="119">
        <v>5</v>
      </c>
      <c r="K97" s="46" t="s">
        <v>202</v>
      </c>
      <c r="L97" s="123">
        <f>VLOOKUP($C97&amp;$E97,'Updated SES'!A:N,14,0)</f>
        <v>78.939870000000013</v>
      </c>
      <c r="M97" s="124">
        <f>VLOOKUP($K97,'Genre Penetration'!A:B,2,0)*VLOOKUP($C97&amp;$E97,'Updated SES'!A:I,9,0)</f>
        <v>0.57599999999999996</v>
      </c>
      <c r="N97" s="124">
        <f>VLOOKUP(K:K,'Genre Penetration'!A:C,3,0)*VLOOKUP($C97&amp;$E97,'Updated SES'!A:J,10,0)</f>
        <v>5.6000000000000008E-2</v>
      </c>
      <c r="O97" s="124">
        <f>VLOOKUP($B97,'Language Penetration'!$B$1:$BE$14,MATCH('Compile data Working'!$H182,'Language Penetration'!$B$1:$BE$1,0),0)</f>
        <v>0.6</v>
      </c>
      <c r="P97" s="124" t="str">
        <f t="shared" ca="1" si="3"/>
        <v>19%</v>
      </c>
      <c r="Q97" s="123">
        <f t="shared" ca="1" si="4"/>
        <v>5.6874597537600007</v>
      </c>
      <c r="R97" s="125">
        <f>VLOOKUP(D:D,ranking!W:X,2,0)</f>
        <v>0.6</v>
      </c>
      <c r="S97" s="126">
        <f t="shared" ca="1" si="5"/>
        <v>3.4124758522560001</v>
      </c>
      <c r="T97" s="123">
        <v>2.379660102947295</v>
      </c>
    </row>
    <row r="98" spans="1:20" x14ac:dyDescent="0.25">
      <c r="A98" s="98" t="s">
        <v>1057</v>
      </c>
      <c r="B98" s="98" t="s">
        <v>85</v>
      </c>
      <c r="C98" s="46" t="s">
        <v>123</v>
      </c>
      <c r="D98" s="46" t="s">
        <v>859</v>
      </c>
      <c r="E98" s="46" t="s">
        <v>211</v>
      </c>
      <c r="F98" s="46" t="s">
        <v>213</v>
      </c>
      <c r="G98" s="46" t="s">
        <v>1955</v>
      </c>
      <c r="H98" s="46" t="s">
        <v>246</v>
      </c>
      <c r="I98" s="53">
        <v>46170</v>
      </c>
      <c r="J98" s="119">
        <v>4</v>
      </c>
      <c r="K98" s="46" t="s">
        <v>90</v>
      </c>
      <c r="L98" s="123">
        <f>VLOOKUP($C98&amp;$E98,'Updated SES'!A:N,14,0)</f>
        <v>55.459200000000003</v>
      </c>
      <c r="M98" s="124">
        <f>VLOOKUP($K98,'Genre Penetration'!A:B,2,0)*VLOOKUP($C98&amp;$E98,'Updated SES'!A:I,9,0)</f>
        <v>0.3528</v>
      </c>
      <c r="N98" s="124">
        <f>VLOOKUP(K:K,'Genre Penetration'!A:C,3,0)*VLOOKUP($C98&amp;$E98,'Updated SES'!A:J,10,0)</f>
        <v>0.14280000000000001</v>
      </c>
      <c r="O98" s="124">
        <f>VLOOKUP($B98,'Language Penetration'!$B$1:$BE$14,MATCH('Compile data Working'!$H121,'Language Penetration'!$B$1:$BE$1,0),0)</f>
        <v>0.6</v>
      </c>
      <c r="P98" s="124" t="str">
        <f t="shared" ca="1" si="3"/>
        <v>21%</v>
      </c>
      <c r="Q98" s="123">
        <f t="shared" ca="1" si="4"/>
        <v>3.4631830195200006</v>
      </c>
      <c r="R98" s="125">
        <f>VLOOKUP(D:D,ranking!W:X,2,0)</f>
        <v>0.7</v>
      </c>
      <c r="S98" s="126">
        <f t="shared" ca="1" si="5"/>
        <v>2.4242281136640003</v>
      </c>
      <c r="T98" s="123">
        <v>8.9805850772149327</v>
      </c>
    </row>
    <row r="99" spans="1:20" x14ac:dyDescent="0.25">
      <c r="A99" s="98" t="s">
        <v>1057</v>
      </c>
      <c r="B99" s="98" t="s">
        <v>85</v>
      </c>
      <c r="C99" s="98" t="s">
        <v>123</v>
      </c>
      <c r="D99" s="98" t="s">
        <v>1013</v>
      </c>
      <c r="E99" s="98" t="s">
        <v>211</v>
      </c>
      <c r="F99" s="46" t="s">
        <v>213</v>
      </c>
      <c r="G99" s="120" t="s">
        <v>1842</v>
      </c>
      <c r="H99" s="46" t="s">
        <v>28</v>
      </c>
      <c r="I99" s="53">
        <v>46157</v>
      </c>
      <c r="J99" s="119">
        <v>10</v>
      </c>
      <c r="K99" s="46" t="s">
        <v>28</v>
      </c>
      <c r="L99" s="123">
        <f>VLOOKUP($C99&amp;$E99,'Updated SES'!A:N,14,0)</f>
        <v>55.459200000000003</v>
      </c>
      <c r="M99" s="124" t="e">
        <f>VLOOKUP($K99,'Genre Penetration'!A:B,2,0)*VLOOKUP($C99&amp;$E99,'Updated SES'!A:I,9,0)</f>
        <v>#N/A</v>
      </c>
      <c r="N99" s="124" t="e">
        <f>VLOOKUP(K:K,'Genre Penetration'!A:C,3,0)*VLOOKUP($C99&amp;$E99,'Updated SES'!A:J,10,0)</f>
        <v>#N/A</v>
      </c>
      <c r="O99" s="124">
        <f>VLOOKUP($B99,'Language Penetration'!$B$1:$BE$14,MATCH('Compile data Working'!$H151,'Language Penetration'!$B$1:$BE$1,0),0)</f>
        <v>0.6</v>
      </c>
      <c r="P99" s="124" t="str">
        <f t="shared" ca="1" si="3"/>
        <v>3%</v>
      </c>
      <c r="Q99" s="123" t="e">
        <f t="shared" ca="1" si="4"/>
        <v>#N/A</v>
      </c>
      <c r="R99" s="125">
        <f>VLOOKUP(D:D,ranking!W:X,2,0)</f>
        <v>0.8</v>
      </c>
      <c r="S99" s="126" t="e">
        <f t="shared" ca="1" si="5"/>
        <v>#N/A</v>
      </c>
      <c r="T99" s="123">
        <v>4.8867646436845824</v>
      </c>
    </row>
    <row r="100" spans="1:20" x14ac:dyDescent="0.25">
      <c r="A100" s="98" t="s">
        <v>1057</v>
      </c>
      <c r="B100" s="98" t="s">
        <v>85</v>
      </c>
      <c r="C100" s="98" t="s">
        <v>150</v>
      </c>
      <c r="D100" s="98" t="s">
        <v>859</v>
      </c>
      <c r="E100" s="98" t="s">
        <v>211</v>
      </c>
      <c r="F100" s="46" t="s">
        <v>213</v>
      </c>
      <c r="G100" s="98" t="s">
        <v>1983</v>
      </c>
      <c r="H100" s="46" t="s">
        <v>1977</v>
      </c>
      <c r="I100" s="53">
        <v>46178</v>
      </c>
      <c r="J100" s="119">
        <v>2</v>
      </c>
      <c r="K100" s="46" t="s">
        <v>90</v>
      </c>
      <c r="L100" s="123">
        <f>VLOOKUP($C100&amp;$E100,'Updated SES'!A:N,14,0)</f>
        <v>60.152000000000001</v>
      </c>
      <c r="M100" s="124">
        <f>VLOOKUP($K100,'Genre Penetration'!A:B,2,0)*VLOOKUP($C100&amp;$E100,'Updated SES'!A:I,9,0)</f>
        <v>0.46799999999999997</v>
      </c>
      <c r="N100" s="124">
        <f>VLOOKUP(K:K,'Genre Penetration'!A:C,3,0)*VLOOKUP($C100&amp;$E100,'Updated SES'!A:J,10,0)</f>
        <v>9.8000000000000004E-2</v>
      </c>
      <c r="O100" s="124" t="e">
        <f>VLOOKUP($B100,'Language Penetration'!$B$1:$BE$14,MATCH('Compile data Working'!#REF!,'Language Penetration'!$B$1:$BE$1,0),0)</f>
        <v>#REF!</v>
      </c>
      <c r="P100" s="124" t="str">
        <f t="shared" ca="1" si="3"/>
        <v>32%</v>
      </c>
      <c r="Q100" s="123" t="e">
        <f t="shared" ca="1" si="4"/>
        <v>#REF!</v>
      </c>
      <c r="R100" s="125">
        <f>VLOOKUP(D:D,ranking!W:X,2,0)</f>
        <v>0.7</v>
      </c>
      <c r="S100" s="126" t="e">
        <f t="shared" ca="1" si="5"/>
        <v>#REF!</v>
      </c>
      <c r="T100" s="123">
        <v>4.3556261882065925</v>
      </c>
    </row>
    <row r="101" spans="1:20" x14ac:dyDescent="0.25">
      <c r="A101" s="98" t="s">
        <v>1057</v>
      </c>
      <c r="B101" s="98" t="s">
        <v>85</v>
      </c>
      <c r="C101" s="46" t="s">
        <v>150</v>
      </c>
      <c r="D101" s="46" t="s">
        <v>859</v>
      </c>
      <c r="E101" s="46" t="s">
        <v>211</v>
      </c>
      <c r="F101" s="46" t="s">
        <v>213</v>
      </c>
      <c r="G101" s="46" t="s">
        <v>1984</v>
      </c>
      <c r="H101" s="98" t="s">
        <v>25</v>
      </c>
      <c r="I101" s="53">
        <v>46150</v>
      </c>
      <c r="J101" s="119">
        <v>6</v>
      </c>
      <c r="K101" s="46" t="s">
        <v>216</v>
      </c>
      <c r="L101" s="123">
        <f>VLOOKUP($C101&amp;$E101,'Updated SES'!A:N,14,0)</f>
        <v>60.152000000000001</v>
      </c>
      <c r="M101" s="124">
        <f>VLOOKUP($K101,'Genre Penetration'!A:B,2,0)*VLOOKUP($C101&amp;$E101,'Updated SES'!A:I,9,0)</f>
        <v>0.32500000000000001</v>
      </c>
      <c r="N101" s="124">
        <f>VLOOKUP(K:K,'Genre Penetration'!A:C,3,0)*VLOOKUP($C101&amp;$E101,'Updated SES'!A:J,10,0)</f>
        <v>0.17499999999999999</v>
      </c>
      <c r="O101" s="124">
        <f>VLOOKUP($B101,'Language Penetration'!$B$1:$BE$14,MATCH('Compile data Working'!$H64,'Language Penetration'!$B$1:$BE$1,0),0)</f>
        <v>0.2</v>
      </c>
      <c r="P101" s="124" t="str">
        <f t="shared" ca="1" si="3"/>
        <v>13%</v>
      </c>
      <c r="Q101" s="123">
        <f t="shared" ca="1" si="4"/>
        <v>0.781976</v>
      </c>
      <c r="R101" s="125">
        <f>VLOOKUP(D:D,ranking!W:X,2,0)</f>
        <v>0.7</v>
      </c>
      <c r="S101" s="126">
        <f t="shared" ca="1" si="5"/>
        <v>0.54738319999999996</v>
      </c>
      <c r="T101" s="123">
        <v>1.3328618886000001</v>
      </c>
    </row>
    <row r="102" spans="1:20" x14ac:dyDescent="0.25">
      <c r="A102" s="98" t="s">
        <v>1057</v>
      </c>
      <c r="B102" s="98" t="s">
        <v>85</v>
      </c>
      <c r="C102" s="46" t="s">
        <v>123</v>
      </c>
      <c r="D102" s="46" t="s">
        <v>859</v>
      </c>
      <c r="E102" s="46" t="s">
        <v>211</v>
      </c>
      <c r="F102" s="46" t="s">
        <v>213</v>
      </c>
      <c r="G102" s="46" t="s">
        <v>1963</v>
      </c>
      <c r="H102" s="46" t="s">
        <v>28</v>
      </c>
      <c r="I102" s="53">
        <v>46177</v>
      </c>
      <c r="J102" s="119">
        <v>2</v>
      </c>
      <c r="K102" s="46" t="s">
        <v>130</v>
      </c>
      <c r="L102" s="123">
        <f>VLOOKUP($C102&amp;$E102,'Updated SES'!A:N,14,0)</f>
        <v>55.459200000000003</v>
      </c>
      <c r="M102" s="124">
        <f>VLOOKUP($K102,'Genre Penetration'!A:B,2,0)*VLOOKUP($C102&amp;$E102,'Updated SES'!A:I,9,0)</f>
        <v>0.27440000000000003</v>
      </c>
      <c r="N102" s="124">
        <f>VLOOKUP(K:K,'Genre Penetration'!A:C,3,0)*VLOOKUP($C102&amp;$E102,'Updated SES'!A:J,10,0)</f>
        <v>0.22440000000000002</v>
      </c>
      <c r="O102" s="124" t="e">
        <f>VLOOKUP($B102,'Language Penetration'!$B$1:$BE$14,MATCH('Compile data Working'!$H14,'Language Penetration'!$B$1:$BE$1,0),0)</f>
        <v>#N/A</v>
      </c>
      <c r="P102" s="124" t="str">
        <f t="shared" ca="1" si="3"/>
        <v>30%</v>
      </c>
      <c r="Q102" s="123" t="e">
        <f t="shared" ca="1" si="4"/>
        <v>#N/A</v>
      </c>
      <c r="R102" s="125">
        <f>VLOOKUP(D:D,ranking!W:X,2,0)</f>
        <v>0.7</v>
      </c>
      <c r="S102" s="126" t="e">
        <f t="shared" ca="1" si="5"/>
        <v>#N/A</v>
      </c>
      <c r="T102" s="123">
        <v>16.256739439348461</v>
      </c>
    </row>
    <row r="103" spans="1:20" x14ac:dyDescent="0.25">
      <c r="A103" s="98" t="s">
        <v>1057</v>
      </c>
      <c r="B103" s="98" t="s">
        <v>85</v>
      </c>
      <c r="C103" s="46" t="s">
        <v>1229</v>
      </c>
      <c r="D103" s="98" t="s">
        <v>433</v>
      </c>
      <c r="E103" s="46" t="s">
        <v>219</v>
      </c>
      <c r="F103" s="46" t="s">
        <v>215</v>
      </c>
      <c r="G103" s="53" t="s">
        <v>1960</v>
      </c>
      <c r="H103" s="46" t="s">
        <v>19</v>
      </c>
      <c r="I103" s="53">
        <v>46176</v>
      </c>
      <c r="J103" s="119">
        <v>1</v>
      </c>
      <c r="K103" s="46" t="s">
        <v>216</v>
      </c>
      <c r="L103" s="123">
        <f>VLOOKUP($C103&amp;$E103,'Updated SES'!A:N,14,0)</f>
        <v>78.939870000000013</v>
      </c>
      <c r="M103" s="124">
        <f>VLOOKUP($K103,'Genre Penetration'!A:B,2,0)*VLOOKUP($C103&amp;$E103,'Updated SES'!A:I,9,0)</f>
        <v>0.4</v>
      </c>
      <c r="N103" s="124">
        <f>VLOOKUP(K:K,'Genre Penetration'!A:C,3,0)*VLOOKUP($C103&amp;$E103,'Updated SES'!A:J,10,0)</f>
        <v>0.1</v>
      </c>
      <c r="O103" s="124">
        <f>VLOOKUP($B103,'Language Penetration'!$B$1:$BE$14,MATCH('Compile data Working'!$H95,'Language Penetration'!$B$1:$BE$1,0),0)</f>
        <v>0.6</v>
      </c>
      <c r="P103" s="124" t="str">
        <f t="shared" ca="1" si="3"/>
        <v>36%</v>
      </c>
      <c r="Q103" s="123">
        <f t="shared" ca="1" si="4"/>
        <v>8.525505960000002</v>
      </c>
      <c r="R103" s="125">
        <f>VLOOKUP(D:D,ranking!W:X,2,0)</f>
        <v>0.6</v>
      </c>
      <c r="S103" s="126">
        <f t="shared" ca="1" si="5"/>
        <v>5.1153035760000014</v>
      </c>
      <c r="T103" s="123">
        <v>11.913470904604299</v>
      </c>
    </row>
    <row r="104" spans="1:20" x14ac:dyDescent="0.25">
      <c r="A104" s="98" t="s">
        <v>1057</v>
      </c>
      <c r="B104" s="98" t="s">
        <v>85</v>
      </c>
      <c r="C104" s="98" t="s">
        <v>132</v>
      </c>
      <c r="D104" s="98" t="s">
        <v>431</v>
      </c>
      <c r="E104" s="98" t="s">
        <v>211</v>
      </c>
      <c r="F104" s="46" t="s">
        <v>215</v>
      </c>
      <c r="G104" s="46" t="s">
        <v>1982</v>
      </c>
      <c r="H104" s="98" t="s">
        <v>19</v>
      </c>
      <c r="I104" s="53">
        <v>45568</v>
      </c>
      <c r="J104" s="119">
        <v>7</v>
      </c>
      <c r="K104" s="46" t="s">
        <v>176</v>
      </c>
      <c r="L104" s="123">
        <f>VLOOKUP($C104&amp;$E104,'Updated SES'!A:N,14,0)</f>
        <v>21.682040000000004</v>
      </c>
      <c r="M104" s="124">
        <f>VLOOKUP($K104,'Genre Penetration'!A:B,2,0)*VLOOKUP($C104&amp;$E104,'Updated SES'!A:I,9,0)</f>
        <v>0.40300000000000002</v>
      </c>
      <c r="N104" s="124">
        <f>VLOOKUP(K:K,'Genre Penetration'!A:C,3,0)*VLOOKUP($C104&amp;$E104,'Updated SES'!A:J,10,0)</f>
        <v>0.13299999999999998</v>
      </c>
      <c r="O104" s="124" t="e">
        <f>VLOOKUP($B104,'Language Penetration'!$B$1:$BE$14,MATCH('Compile data Working'!#REF!,'Language Penetration'!$B$1:$BE$1,0),0)</f>
        <v>#REF!</v>
      </c>
      <c r="P104" s="124" t="str">
        <f t="shared" ca="1" si="3"/>
        <v>10%</v>
      </c>
      <c r="Q104" s="123" t="e">
        <f t="shared" ca="1" si="4"/>
        <v>#REF!</v>
      </c>
      <c r="R104" s="125">
        <f>VLOOKUP(D:D,ranking!W:X,2,0)</f>
        <v>0.6</v>
      </c>
      <c r="S104" s="126" t="e">
        <f t="shared" ca="1" si="5"/>
        <v>#REF!</v>
      </c>
      <c r="T104" s="123">
        <v>8.2524597512554223</v>
      </c>
    </row>
    <row r="105" spans="1:20" x14ac:dyDescent="0.25">
      <c r="A105" s="98" t="s">
        <v>1057</v>
      </c>
      <c r="B105" s="98" t="s">
        <v>85</v>
      </c>
      <c r="C105" s="98" t="s">
        <v>123</v>
      </c>
      <c r="D105" s="98" t="s">
        <v>859</v>
      </c>
      <c r="E105" s="98" t="s">
        <v>211</v>
      </c>
      <c r="F105" s="46" t="s">
        <v>213</v>
      </c>
      <c r="G105" s="120" t="s">
        <v>1964</v>
      </c>
      <c r="H105" s="46" t="s">
        <v>28</v>
      </c>
      <c r="I105" s="53">
        <v>46177</v>
      </c>
      <c r="J105" s="119">
        <v>6</v>
      </c>
      <c r="K105" s="46" t="s">
        <v>381</v>
      </c>
      <c r="L105" s="123">
        <f>VLOOKUP($C105&amp;$E105,'Updated SES'!A:N,14,0)</f>
        <v>55.459200000000003</v>
      </c>
      <c r="M105" s="124">
        <f>VLOOKUP($K105,'Genre Penetration'!A:B,2,0)*VLOOKUP($C105&amp;$E105,'Updated SES'!A:I,9,0)</f>
        <v>0.26950000000000002</v>
      </c>
      <c r="N105" s="124">
        <f>VLOOKUP(K:K,'Genre Penetration'!A:C,3,0)*VLOOKUP($C105&amp;$E105,'Updated SES'!A:J,10,0)</f>
        <v>0.22950000000000001</v>
      </c>
      <c r="O105" s="124" t="e">
        <f>VLOOKUP($B105,'Language Penetration'!$B$1:$BE$14,MATCH('Compile data Working'!$H188,'Language Penetration'!$B$1:$BE$1,0),0)</f>
        <v>#N/A</v>
      </c>
      <c r="P105" s="124" t="str">
        <f t="shared" ca="1" si="3"/>
        <v>14%</v>
      </c>
      <c r="Q105" s="123" t="e">
        <f t="shared" ca="1" si="4"/>
        <v>#N/A</v>
      </c>
      <c r="R105" s="125">
        <f>VLOOKUP(D:D,ranking!W:X,2,0)</f>
        <v>0.7</v>
      </c>
      <c r="S105" s="126" t="e">
        <f t="shared" ca="1" si="5"/>
        <v>#N/A</v>
      </c>
      <c r="T105" s="123">
        <v>14.367931794681425</v>
      </c>
    </row>
    <row r="106" spans="1:20" x14ac:dyDescent="0.25">
      <c r="A106" s="98" t="s">
        <v>1057</v>
      </c>
      <c r="B106" s="98" t="s">
        <v>85</v>
      </c>
      <c r="C106" s="98" t="s">
        <v>123</v>
      </c>
      <c r="D106" s="98" t="s">
        <v>431</v>
      </c>
      <c r="E106" s="98" t="s">
        <v>211</v>
      </c>
      <c r="F106" s="46" t="s">
        <v>215</v>
      </c>
      <c r="G106" s="98" t="s">
        <v>1961</v>
      </c>
      <c r="H106" s="46" t="s">
        <v>28</v>
      </c>
      <c r="I106" s="53">
        <v>46176</v>
      </c>
      <c r="J106" s="119">
        <v>10</v>
      </c>
      <c r="K106" s="46" t="s">
        <v>171</v>
      </c>
      <c r="L106" s="123">
        <f>VLOOKUP($C106&amp;$E106,'Updated SES'!A:N,14,0)</f>
        <v>55.459200000000003</v>
      </c>
      <c r="M106" s="124">
        <f>VLOOKUP($K106,'Genre Penetration'!A:B,2,0)*VLOOKUP($C106&amp;$E106,'Updated SES'!A:I,9,0)</f>
        <v>0.26950000000000002</v>
      </c>
      <c r="N106" s="124">
        <f>VLOOKUP(K:K,'Genre Penetration'!A:C,3,0)*VLOOKUP($C106&amp;$E106,'Updated SES'!A:J,10,0)</f>
        <v>0.22950000000000001</v>
      </c>
      <c r="O106" s="124" t="e">
        <f>VLOOKUP($B106,'Language Penetration'!$B$1:$BE$14,MATCH('Compile data Working'!#REF!,'Language Penetration'!$B$1:$BE$1,0),0)</f>
        <v>#REF!</v>
      </c>
      <c r="P106" s="124" t="str">
        <f t="shared" ca="1" si="3"/>
        <v>3%</v>
      </c>
      <c r="Q106" s="123" t="e">
        <f t="shared" ca="1" si="4"/>
        <v>#REF!</v>
      </c>
      <c r="R106" s="125">
        <f>VLOOKUP(D:D,ranking!W:X,2,0)</f>
        <v>0.6</v>
      </c>
      <c r="S106" s="126" t="e">
        <f t="shared" ca="1" si="5"/>
        <v>#REF!</v>
      </c>
      <c r="T106" s="123">
        <v>13.566582280417931</v>
      </c>
    </row>
    <row r="107" spans="1:20" x14ac:dyDescent="0.25">
      <c r="A107" s="98" t="s">
        <v>1057</v>
      </c>
      <c r="B107" s="98" t="s">
        <v>85</v>
      </c>
      <c r="C107" s="98" t="s">
        <v>150</v>
      </c>
      <c r="D107" s="98" t="s">
        <v>433</v>
      </c>
      <c r="E107" s="98" t="s">
        <v>219</v>
      </c>
      <c r="F107" s="46" t="s">
        <v>215</v>
      </c>
      <c r="G107" s="120" t="s">
        <v>1859</v>
      </c>
      <c r="H107" s="119" t="s">
        <v>40</v>
      </c>
      <c r="I107" s="106">
        <v>45597</v>
      </c>
      <c r="J107" s="119">
        <v>8</v>
      </c>
      <c r="K107" s="119" t="s">
        <v>173</v>
      </c>
      <c r="L107" s="123">
        <f>VLOOKUP($C107&amp;$E107,'Updated SES'!A:N,14,0)</f>
        <v>24.425800000000002</v>
      </c>
      <c r="M107" s="124">
        <f>VLOOKUP($K107,'Genre Penetration'!A:B,2,0)*VLOOKUP($C107&amp;$E107,'Updated SES'!A:I,9,0)</f>
        <v>0.37400000000000005</v>
      </c>
      <c r="N107" s="124">
        <f>VLOOKUP(K:K,'Genre Penetration'!A:C,3,0)*VLOOKUP($C107&amp;$E107,'Updated SES'!A:J,10,0)</f>
        <v>0.14400000000000002</v>
      </c>
      <c r="O107" s="124">
        <f>VLOOKUP($B107,'Language Penetration'!$B$1:$BE$14,MATCH('Compile data Working'!$H104,'Language Penetration'!$B$1:$BE$1,0),0)</f>
        <v>0.6</v>
      </c>
      <c r="P107" s="124" t="str">
        <f t="shared" ca="1" si="3"/>
        <v>8%</v>
      </c>
      <c r="Q107" s="123">
        <f t="shared" ca="1" si="4"/>
        <v>0.60732309120000005</v>
      </c>
      <c r="R107" s="125">
        <f>VLOOKUP(D:D,ranking!W:X,2,0)</f>
        <v>0.6</v>
      </c>
      <c r="S107" s="126">
        <f t="shared" ca="1" si="5"/>
        <v>0.36439385472000002</v>
      </c>
      <c r="T107" s="123">
        <v>9.1006749525084779E-2</v>
      </c>
    </row>
    <row r="108" spans="1:20" x14ac:dyDescent="0.25">
      <c r="A108" s="98" t="s">
        <v>1057</v>
      </c>
      <c r="B108" s="98" t="s">
        <v>85</v>
      </c>
      <c r="C108" s="98" t="s">
        <v>150</v>
      </c>
      <c r="D108" s="98" t="s">
        <v>431</v>
      </c>
      <c r="E108" s="98" t="s">
        <v>211</v>
      </c>
      <c r="F108" s="46" t="s">
        <v>215</v>
      </c>
      <c r="G108" s="98" t="s">
        <v>1783</v>
      </c>
      <c r="H108" s="119" t="s">
        <v>19</v>
      </c>
      <c r="I108" s="121">
        <v>45534</v>
      </c>
      <c r="J108" s="119">
        <v>5</v>
      </c>
      <c r="K108" s="119" t="s">
        <v>176</v>
      </c>
      <c r="L108" s="123">
        <f>VLOOKUP($C108&amp;$E108,'Updated SES'!A:N,14,0)</f>
        <v>60.152000000000001</v>
      </c>
      <c r="M108" s="124">
        <f>VLOOKUP($K108,'Genre Penetration'!A:B,2,0)*VLOOKUP($C108&amp;$E108,'Updated SES'!A:I,9,0)</f>
        <v>0.40300000000000002</v>
      </c>
      <c r="N108" s="124">
        <f>VLOOKUP(K:K,'Genre Penetration'!A:C,3,0)*VLOOKUP($C108&amp;$E108,'Updated SES'!A:J,10,0)</f>
        <v>0.13299999999999998</v>
      </c>
      <c r="O108" s="124" t="e">
        <f>VLOOKUP($B108,'Language Penetration'!$B$1:$BE$14,MATCH('Compile data Working'!#REF!,'Language Penetration'!$B$1:$BE$1,0),0)</f>
        <v>#REF!</v>
      </c>
      <c r="P108" s="124" t="str">
        <f t="shared" ca="1" si="3"/>
        <v>17%</v>
      </c>
      <c r="Q108" s="123" t="e">
        <f t="shared" ca="1" si="4"/>
        <v>#REF!</v>
      </c>
      <c r="R108" s="125">
        <f>VLOOKUP(D:D,ranking!W:X,2,0)</f>
        <v>0.6</v>
      </c>
      <c r="S108" s="126" t="e">
        <f t="shared" ca="1" si="5"/>
        <v>#REF!</v>
      </c>
      <c r="T108" s="123">
        <v>9.1081490029713708E-3</v>
      </c>
    </row>
    <row r="109" spans="1:20" x14ac:dyDescent="0.25">
      <c r="A109" s="98" t="s">
        <v>1057</v>
      </c>
      <c r="B109" s="98" t="s">
        <v>85</v>
      </c>
      <c r="C109" s="98" t="s">
        <v>64</v>
      </c>
      <c r="D109" s="98" t="s">
        <v>431</v>
      </c>
      <c r="E109" s="46" t="s">
        <v>211</v>
      </c>
      <c r="F109" s="46" t="s">
        <v>215</v>
      </c>
      <c r="G109" s="46" t="s">
        <v>1839</v>
      </c>
      <c r="H109" s="119" t="s">
        <v>1432</v>
      </c>
      <c r="I109" s="106">
        <v>46155</v>
      </c>
      <c r="J109" s="119">
        <v>4</v>
      </c>
      <c r="K109" s="98" t="s">
        <v>172</v>
      </c>
      <c r="L109" s="123">
        <f>VLOOKUP($C109&amp;$E109,'Updated SES'!A:N,14,0)</f>
        <v>36.498239999999996</v>
      </c>
      <c r="M109" s="124">
        <f>VLOOKUP($K109,'Genre Penetration'!A:B,2,0)*VLOOKUP($C109&amp;$E109,'Updated SES'!A:I,9,0)</f>
        <v>0.20800000000000002</v>
      </c>
      <c r="N109" s="124">
        <f>VLOOKUP(K:K,'Genre Penetration'!A:C,3,0)*VLOOKUP($C109&amp;$E109,'Updated SES'!A:J,10,0)</f>
        <v>0.28799999999999998</v>
      </c>
      <c r="O109" s="124">
        <f>VLOOKUP($B109,'Language Penetration'!$B$1:$BE$14,MATCH('Compile data Working'!$H52,'Language Penetration'!$B$1:$BE$1,0),0)</f>
        <v>0.15</v>
      </c>
      <c r="P109" s="124" t="str">
        <f t="shared" ca="1" si="3"/>
        <v>22%</v>
      </c>
      <c r="Q109" s="123">
        <f t="shared" ca="1" si="4"/>
        <v>0.59740319231999983</v>
      </c>
      <c r="R109" s="125">
        <f>VLOOKUP(D:D,ranking!W:X,2,0)</f>
        <v>0.6</v>
      </c>
      <c r="S109" s="126">
        <f t="shared" ca="1" si="5"/>
        <v>0.35844191539199988</v>
      </c>
      <c r="T109" s="123">
        <v>9.793212978707631</v>
      </c>
    </row>
    <row r="110" spans="1:20" x14ac:dyDescent="0.25">
      <c r="A110" s="98" t="s">
        <v>1057</v>
      </c>
      <c r="B110" s="98" t="s">
        <v>85</v>
      </c>
      <c r="C110" s="46" t="s">
        <v>123</v>
      </c>
      <c r="D110" s="98" t="s">
        <v>1013</v>
      </c>
      <c r="E110" s="46" t="s">
        <v>211</v>
      </c>
      <c r="F110" s="46" t="s">
        <v>213</v>
      </c>
      <c r="G110" s="53" t="s">
        <v>1970</v>
      </c>
      <c r="H110" s="46" t="s">
        <v>453</v>
      </c>
      <c r="I110" s="53">
        <v>46178</v>
      </c>
      <c r="J110" s="119">
        <v>5</v>
      </c>
      <c r="K110" s="46" t="s">
        <v>154</v>
      </c>
      <c r="L110" s="123">
        <f>VLOOKUP($C110&amp;$E110,'Updated SES'!A:N,14,0)</f>
        <v>55.459200000000003</v>
      </c>
      <c r="M110" s="124">
        <f>VLOOKUP($K110,'Genre Penetration'!A:B,2,0)*VLOOKUP($C110&amp;$E110,'Updated SES'!A:I,9,0)</f>
        <v>0.14699999999999999</v>
      </c>
      <c r="N110" s="124">
        <f>VLOOKUP(K:K,'Genre Penetration'!A:C,3,0)*VLOOKUP($C110&amp;$E110,'Updated SES'!A:J,10,0)</f>
        <v>0.35699999999999998</v>
      </c>
      <c r="O110" s="124">
        <f>VLOOKUP($B110,'Language Penetration'!$B$1:$BE$14,MATCH('Compile data Working'!$H33,'Language Penetration'!$B$1:$BE$1,0),0)</f>
        <v>0.6</v>
      </c>
      <c r="P110" s="124" t="str">
        <f t="shared" ca="1" si="3"/>
        <v>16%</v>
      </c>
      <c r="Q110" s="123">
        <f t="shared" ca="1" si="4"/>
        <v>2.6833379328000002</v>
      </c>
      <c r="R110" s="125">
        <f>VLOOKUP(D:D,ranking!W:X,2,0)</f>
        <v>0.8</v>
      </c>
      <c r="S110" s="126">
        <f t="shared" ca="1" si="5"/>
        <v>2.1466703462400001</v>
      </c>
      <c r="T110" s="123">
        <v>13.049030023648664</v>
      </c>
    </row>
    <row r="111" spans="1:20" x14ac:dyDescent="0.25">
      <c r="A111" s="98" t="s">
        <v>1057</v>
      </c>
      <c r="B111" s="98" t="s">
        <v>85</v>
      </c>
      <c r="C111" s="98" t="s">
        <v>150</v>
      </c>
      <c r="D111" s="98" t="s">
        <v>859</v>
      </c>
      <c r="E111" s="119" t="s">
        <v>211</v>
      </c>
      <c r="F111" s="46" t="s">
        <v>213</v>
      </c>
      <c r="G111" s="120" t="s">
        <v>1971</v>
      </c>
      <c r="H111" s="46" t="s">
        <v>1978</v>
      </c>
      <c r="I111" s="53">
        <v>46178</v>
      </c>
      <c r="J111" s="119">
        <v>1</v>
      </c>
      <c r="K111" s="46" t="s">
        <v>355</v>
      </c>
      <c r="L111" s="123">
        <f>VLOOKUP($C111&amp;$E111,'Updated SES'!A:N,14,0)</f>
        <v>60.152000000000001</v>
      </c>
      <c r="M111" s="124">
        <f>VLOOKUP($K111,'Genre Penetration'!A:B,2,0)*VLOOKUP($C111&amp;$E111,'Updated SES'!A:I,9,0)</f>
        <v>0.377</v>
      </c>
      <c r="N111" s="124">
        <f>VLOOKUP(K:K,'Genre Penetration'!A:C,3,0)*VLOOKUP($C111&amp;$E111,'Updated SES'!A:J,10,0)</f>
        <v>0.14699999999999999</v>
      </c>
      <c r="O111" s="124">
        <f>VLOOKUP($B111,'Language Penetration'!$B$1:$BE$14,MATCH('Compile data Working'!$H32,'Language Penetration'!$B$1:$BE$1,0),0)</f>
        <v>0.15</v>
      </c>
      <c r="P111" s="124" t="str">
        <f t="shared" ca="1" si="3"/>
        <v>38%</v>
      </c>
      <c r="Q111" s="123">
        <f t="shared" ca="1" si="4"/>
        <v>1.7966199359999999</v>
      </c>
      <c r="R111" s="125">
        <f>VLOOKUP(D:D,ranking!W:X,2,0)</f>
        <v>0.7</v>
      </c>
      <c r="S111" s="126">
        <f t="shared" ca="1" si="5"/>
        <v>1.2576339551999998</v>
      </c>
      <c r="T111" s="123">
        <v>3.5575733006478267</v>
      </c>
    </row>
    <row r="112" spans="1:20" x14ac:dyDescent="0.25">
      <c r="A112" s="98" t="s">
        <v>1057</v>
      </c>
      <c r="B112" s="98" t="s">
        <v>85</v>
      </c>
      <c r="C112" s="46" t="s">
        <v>1988</v>
      </c>
      <c r="D112" s="98" t="s">
        <v>431</v>
      </c>
      <c r="E112" s="98" t="s">
        <v>211</v>
      </c>
      <c r="F112" s="46" t="s">
        <v>215</v>
      </c>
      <c r="G112" s="119" t="s">
        <v>1793</v>
      </c>
      <c r="H112" s="98" t="s">
        <v>1058</v>
      </c>
      <c r="I112" s="106">
        <v>46094</v>
      </c>
      <c r="J112" s="119">
        <v>10</v>
      </c>
      <c r="K112" s="98" t="s">
        <v>145</v>
      </c>
      <c r="L112" s="123">
        <f>VLOOKUP($C112&amp;$E112,'Updated SES'!A:N,14,0)</f>
        <v>127.11702000000001</v>
      </c>
      <c r="M112" s="124">
        <f>VLOOKUP($K112,'Genre Penetration'!A:B,2,0)*VLOOKUP($C112&amp;$E112,'Updated SES'!A:I,9,0)</f>
        <v>0.24789999999999998</v>
      </c>
      <c r="N112" s="124">
        <f>VLOOKUP(K:K,'Genre Penetration'!A:C,3,0)*VLOOKUP($C112&amp;$E112,'Updated SES'!A:J,10,0)</f>
        <v>0.20789999999999997</v>
      </c>
      <c r="O112" s="124" t="e">
        <f>VLOOKUP($B112,'Language Penetration'!$B$1:$BE$14,MATCH('Compile data Working'!$H102,'Language Penetration'!$B$1:$BE$1,0),0)</f>
        <v>#N/A</v>
      </c>
      <c r="P112" s="124" t="str">
        <f t="shared" ca="1" si="3"/>
        <v>3%</v>
      </c>
      <c r="Q112" s="123" t="e">
        <f t="shared" ca="1" si="4"/>
        <v>#N/A</v>
      </c>
      <c r="R112" s="125">
        <f>VLOOKUP(D:D,ranking!W:X,2,0)</f>
        <v>0.6</v>
      </c>
      <c r="S112" s="126" t="e">
        <f t="shared" ca="1" si="5"/>
        <v>#N/A</v>
      </c>
      <c r="T112" s="123">
        <v>12.4764748295341</v>
      </c>
    </row>
    <row r="113" spans="1:20" x14ac:dyDescent="0.25">
      <c r="A113" s="98" t="s">
        <v>1057</v>
      </c>
      <c r="B113" s="98" t="s">
        <v>85</v>
      </c>
      <c r="C113" s="46" t="s">
        <v>1229</v>
      </c>
      <c r="D113" s="98" t="s">
        <v>433</v>
      </c>
      <c r="E113" s="46" t="s">
        <v>219</v>
      </c>
      <c r="F113" s="46" t="s">
        <v>215</v>
      </c>
      <c r="G113" s="53" t="s">
        <v>1847</v>
      </c>
      <c r="H113" s="46" t="s">
        <v>19</v>
      </c>
      <c r="I113" s="53">
        <v>46092</v>
      </c>
      <c r="J113" s="119">
        <v>8</v>
      </c>
      <c r="K113" s="46" t="s">
        <v>173</v>
      </c>
      <c r="L113" s="123">
        <f>VLOOKUP($C113&amp;$E113,'Updated SES'!A:N,14,0)</f>
        <v>78.939870000000013</v>
      </c>
      <c r="M113" s="124">
        <f>VLOOKUP($K113,'Genre Penetration'!A:B,2,0)*VLOOKUP($C113&amp;$E113,'Updated SES'!A:I,9,0)</f>
        <v>0.44000000000000006</v>
      </c>
      <c r="N113" s="124">
        <f>VLOOKUP(K:K,'Genre Penetration'!A:C,3,0)*VLOOKUP($C113&amp;$E113,'Updated SES'!A:J,10,0)</f>
        <v>9.0000000000000011E-2</v>
      </c>
      <c r="O113" s="124">
        <f>VLOOKUP($B113,'Language Penetration'!$B$1:$BE$14,MATCH('Compile data Working'!$H13,'Language Penetration'!$B$1:$BE$1,0),0)</f>
        <v>0.2</v>
      </c>
      <c r="P113" s="124" t="str">
        <f t="shared" ca="1" si="3"/>
        <v>7%</v>
      </c>
      <c r="Q113" s="123">
        <f t="shared" ca="1" si="4"/>
        <v>0.58573383540000035</v>
      </c>
      <c r="R113" s="125">
        <f>VLOOKUP(D:D,ranking!W:X,2,0)</f>
        <v>0.6</v>
      </c>
      <c r="S113" s="126">
        <f t="shared" ca="1" si="5"/>
        <v>0.3514403012400002</v>
      </c>
      <c r="T113" s="123">
        <v>0.73671796920325638</v>
      </c>
    </row>
    <row r="114" spans="1:20" x14ac:dyDescent="0.25">
      <c r="A114" s="98" t="s">
        <v>1057</v>
      </c>
      <c r="B114" s="98" t="s">
        <v>85</v>
      </c>
      <c r="C114" s="98" t="s">
        <v>150</v>
      </c>
      <c r="D114" s="98" t="s">
        <v>431</v>
      </c>
      <c r="E114" s="98" t="s">
        <v>211</v>
      </c>
      <c r="F114" s="46" t="s">
        <v>215</v>
      </c>
      <c r="G114" s="98" t="s">
        <v>1958</v>
      </c>
      <c r="H114" s="137" t="s">
        <v>19</v>
      </c>
      <c r="I114" s="106">
        <v>46164</v>
      </c>
      <c r="J114" s="119">
        <v>3</v>
      </c>
      <c r="K114" s="137" t="s">
        <v>84</v>
      </c>
      <c r="L114" s="123">
        <f>VLOOKUP($C114&amp;$E114,'Updated SES'!A:N,14,0)</f>
        <v>60.152000000000001</v>
      </c>
      <c r="M114" s="124">
        <f>VLOOKUP($K114,'Genre Penetration'!A:B,2,0)*VLOOKUP($C114&amp;$E114,'Updated SES'!A:I,9,0)</f>
        <v>0.41600000000000004</v>
      </c>
      <c r="N114" s="124">
        <f>VLOOKUP(K:K,'Genre Penetration'!A:C,3,0)*VLOOKUP($C114&amp;$E114,'Updated SES'!A:J,10,0)</f>
        <v>0.126</v>
      </c>
      <c r="O114" s="124" t="e">
        <f>VLOOKUP($B114,'Language Penetration'!$B$1:$BE$14,MATCH('Compile data Working'!#REF!,'Language Penetration'!$B$1:$BE$1,0),0)</f>
        <v>#REF!</v>
      </c>
      <c r="P114" s="124" t="str">
        <f t="shared" ca="1" si="3"/>
        <v>29%</v>
      </c>
      <c r="Q114" s="123" t="e">
        <f t="shared" ca="1" si="4"/>
        <v>#REF!</v>
      </c>
      <c r="R114" s="125">
        <f>VLOOKUP(D:D,ranking!W:X,2,0)</f>
        <v>0.6</v>
      </c>
      <c r="S114" s="126" t="e">
        <f t="shared" ca="1" si="5"/>
        <v>#REF!</v>
      </c>
      <c r="T114" s="123">
        <v>6.833925449023643</v>
      </c>
    </row>
    <row r="115" spans="1:20" x14ac:dyDescent="0.25">
      <c r="A115" s="98" t="s">
        <v>1057</v>
      </c>
      <c r="B115" s="98" t="s">
        <v>85</v>
      </c>
      <c r="C115" s="46" t="s">
        <v>64</v>
      </c>
      <c r="D115" s="98" t="s">
        <v>431</v>
      </c>
      <c r="E115" s="46" t="s">
        <v>211</v>
      </c>
      <c r="F115" s="46" t="s">
        <v>215</v>
      </c>
      <c r="G115" s="46" t="s">
        <v>1954</v>
      </c>
      <c r="H115" s="119" t="s">
        <v>1432</v>
      </c>
      <c r="I115" s="106">
        <v>46169</v>
      </c>
      <c r="J115" s="119">
        <v>8</v>
      </c>
      <c r="K115" s="46" t="s">
        <v>1957</v>
      </c>
      <c r="L115" s="123">
        <f>VLOOKUP($C115&amp;$E115,'Updated SES'!A:N,14,0)</f>
        <v>36.498239999999996</v>
      </c>
      <c r="M115" s="124" t="e">
        <f>VLOOKUP($K115,'Genre Penetration'!A:B,2,0)*VLOOKUP($C115&amp;$E115,'Updated SES'!A:I,9,0)</f>
        <v>#N/A</v>
      </c>
      <c r="N115" s="124" t="e">
        <f>VLOOKUP(K:K,'Genre Penetration'!A:C,3,0)*VLOOKUP($C115&amp;$E115,'Updated SES'!A:J,10,0)</f>
        <v>#N/A</v>
      </c>
      <c r="O115" s="124" t="e">
        <f>VLOOKUP($B115,'Language Penetration'!$B$1:$BE$14,MATCH('Compile data Working'!$H50,'Language Penetration'!$B$1:$BE$1,0),0)</f>
        <v>#N/A</v>
      </c>
      <c r="P115" s="124" t="str">
        <f t="shared" ca="1" si="3"/>
        <v>6%</v>
      </c>
      <c r="Q115" s="123" t="e">
        <f t="shared" ca="1" si="4"/>
        <v>#N/A</v>
      </c>
      <c r="R115" s="125">
        <f>VLOOKUP(D:D,ranking!W:X,2,0)</f>
        <v>0.6</v>
      </c>
      <c r="S115" s="126" t="e">
        <f t="shared" ca="1" si="5"/>
        <v>#N/A</v>
      </c>
      <c r="T115" s="123">
        <v>8.1572199722229133</v>
      </c>
    </row>
    <row r="116" spans="1:20" x14ac:dyDescent="0.25">
      <c r="A116" s="98" t="s">
        <v>1057</v>
      </c>
      <c r="B116" s="98" t="s">
        <v>85</v>
      </c>
      <c r="C116" s="98" t="s">
        <v>150</v>
      </c>
      <c r="D116" s="98" t="s">
        <v>859</v>
      </c>
      <c r="E116" s="119" t="s">
        <v>211</v>
      </c>
      <c r="F116" s="46" t="s">
        <v>213</v>
      </c>
      <c r="G116" s="98" t="s">
        <v>1956</v>
      </c>
      <c r="H116" s="98" t="s">
        <v>29</v>
      </c>
      <c r="I116" s="53">
        <v>46171</v>
      </c>
      <c r="J116" s="119">
        <v>3</v>
      </c>
      <c r="K116" s="46" t="s">
        <v>138</v>
      </c>
      <c r="L116" s="123">
        <f>VLOOKUP($C116&amp;$E116,'Updated SES'!A:N,14,0)</f>
        <v>60.152000000000001</v>
      </c>
      <c r="M116" s="124">
        <f>VLOOKUP($K116,'Genre Penetration'!A:B,2,0)*VLOOKUP($C116&amp;$E116,'Updated SES'!A:I,9,0)</f>
        <v>0.30549999999999999</v>
      </c>
      <c r="N116" s="124">
        <f>VLOOKUP(K:K,'Genre Penetration'!A:C,3,0)*VLOOKUP($C116&amp;$E116,'Updated SES'!A:J,10,0)</f>
        <v>0.1855</v>
      </c>
      <c r="O116" s="124">
        <f>VLOOKUP($B116,'Language Penetration'!$B$1:$BE$14,MATCH('Compile data Working'!$H140,'Language Penetration'!$B$1:$BE$1,0),0)</f>
        <v>0.6</v>
      </c>
      <c r="P116" s="124" t="str">
        <f t="shared" ca="1" si="3"/>
        <v>27%</v>
      </c>
      <c r="Q116" s="123">
        <f t="shared" ca="1" si="4"/>
        <v>4.7846103840000005</v>
      </c>
      <c r="R116" s="125">
        <f>VLOOKUP(D:D,ranking!W:X,2,0)</f>
        <v>0.7</v>
      </c>
      <c r="S116" s="126">
        <f t="shared" ca="1" si="5"/>
        <v>3.3492272688</v>
      </c>
      <c r="T116" s="123">
        <v>2.3046959579221347</v>
      </c>
    </row>
    <row r="117" spans="1:20" x14ac:dyDescent="0.25">
      <c r="A117" s="98" t="s">
        <v>1057</v>
      </c>
      <c r="B117" s="98" t="s">
        <v>85</v>
      </c>
      <c r="C117" s="98" t="s">
        <v>64</v>
      </c>
      <c r="D117" s="98" t="s">
        <v>432</v>
      </c>
      <c r="E117" s="46" t="s">
        <v>211</v>
      </c>
      <c r="F117" s="46" t="s">
        <v>213</v>
      </c>
      <c r="G117" s="46" t="s">
        <v>1877</v>
      </c>
      <c r="H117" s="98" t="s">
        <v>40</v>
      </c>
      <c r="I117" s="106">
        <v>46164</v>
      </c>
      <c r="J117" s="119">
        <v>9</v>
      </c>
      <c r="K117" s="98" t="s">
        <v>980</v>
      </c>
      <c r="L117" s="123">
        <f>VLOOKUP($C117&amp;$E117,'Updated SES'!A:N,14,0)</f>
        <v>36.498239999999996</v>
      </c>
      <c r="M117" s="124">
        <f>VLOOKUP($K117,'Genre Penetration'!A:B,2,0)*VLOOKUP($C117&amp;$E117,'Updated SES'!A:I,9,0)</f>
        <v>0.312</v>
      </c>
      <c r="N117" s="124">
        <f>VLOOKUP(K:K,'Genre Penetration'!A:C,3,0)*VLOOKUP($C117&amp;$E117,'Updated SES'!A:J,10,0)</f>
        <v>0.192</v>
      </c>
      <c r="O117" s="124">
        <v>0.05</v>
      </c>
      <c r="P117" s="124" t="str">
        <f t="shared" ca="1" si="3"/>
        <v>5%</v>
      </c>
      <c r="Q117" s="123">
        <f t="shared" ca="1" si="4"/>
        <v>4.5987782400000003E-2</v>
      </c>
      <c r="R117" s="125">
        <f>VLOOKUP(D:D,ranking!W:X,2,0)</f>
        <v>0.8</v>
      </c>
      <c r="S117" s="126">
        <f t="shared" ca="1" si="5"/>
        <v>3.6790225920000003E-2</v>
      </c>
      <c r="T117" s="123">
        <v>5.05379743823495</v>
      </c>
    </row>
    <row r="118" spans="1:20" x14ac:dyDescent="0.25">
      <c r="A118" s="98" t="s">
        <v>1057</v>
      </c>
      <c r="B118" s="98" t="s">
        <v>85</v>
      </c>
      <c r="C118" s="46" t="s">
        <v>1229</v>
      </c>
      <c r="D118" s="98" t="s">
        <v>433</v>
      </c>
      <c r="E118" s="46" t="s">
        <v>219</v>
      </c>
      <c r="F118" s="46" t="s">
        <v>215</v>
      </c>
      <c r="G118" s="46" t="s">
        <v>369</v>
      </c>
      <c r="H118" s="46" t="s">
        <v>19</v>
      </c>
      <c r="I118" s="53">
        <v>46095</v>
      </c>
      <c r="J118" s="119">
        <v>7</v>
      </c>
      <c r="K118" s="46" t="s">
        <v>138</v>
      </c>
      <c r="L118" s="123">
        <f>VLOOKUP($C118&amp;$E118,'Updated SES'!A:N,14,0)</f>
        <v>78.939870000000013</v>
      </c>
      <c r="M118" s="124">
        <f>VLOOKUP($K118,'Genre Penetration'!A:B,2,0)*VLOOKUP($C118&amp;$E118,'Updated SES'!A:I,9,0)</f>
        <v>0.376</v>
      </c>
      <c r="N118" s="124">
        <f>VLOOKUP(K:K,'Genre Penetration'!A:C,3,0)*VLOOKUP($C118&amp;$E118,'Updated SES'!A:J,10,0)</f>
        <v>0.10600000000000001</v>
      </c>
      <c r="O118" s="124">
        <f>VLOOKUP($B118,'Language Penetration'!$B$1:$BE$14,MATCH('Compile data Working'!$H43,'Language Penetration'!$B$1:$BE$1,0),0)</f>
        <v>0.2</v>
      </c>
      <c r="P118" s="124" t="str">
        <f t="shared" ca="1" si="3"/>
        <v>8%</v>
      </c>
      <c r="Q118" s="123">
        <f t="shared" ca="1" si="4"/>
        <v>0.60878427744000019</v>
      </c>
      <c r="R118" s="125">
        <f>VLOOKUP(D:D,ranking!W:X,2,0)</f>
        <v>0.6</v>
      </c>
      <c r="S118" s="126">
        <f t="shared" ca="1" si="5"/>
        <v>0.36527056646400008</v>
      </c>
      <c r="T118" s="123">
        <v>1.2075497517598019</v>
      </c>
    </row>
    <row r="119" spans="1:20" x14ac:dyDescent="0.25">
      <c r="A119" s="98" t="s">
        <v>1057</v>
      </c>
      <c r="B119" s="98" t="s">
        <v>85</v>
      </c>
      <c r="C119" s="46" t="s">
        <v>132</v>
      </c>
      <c r="D119" s="46" t="s">
        <v>456</v>
      </c>
      <c r="E119" s="46" t="s">
        <v>219</v>
      </c>
      <c r="F119" s="46" t="s">
        <v>1882</v>
      </c>
      <c r="G119" s="46" t="s">
        <v>369</v>
      </c>
      <c r="H119" s="98" t="s">
        <v>19</v>
      </c>
      <c r="I119" s="98" t="s">
        <v>254</v>
      </c>
      <c r="J119" s="119">
        <v>2</v>
      </c>
      <c r="K119" s="98" t="s">
        <v>124</v>
      </c>
      <c r="L119" s="123">
        <f>VLOOKUP($C119&amp;$E119,'Updated SES'!A:N,14,0)</f>
        <v>5.2679999999999998</v>
      </c>
      <c r="M119" s="124">
        <f>VLOOKUP($K119,'Genre Penetration'!A:B,2,0)*VLOOKUP($C119&amp;$E119,'Updated SES'!A:I,9,0)</f>
        <v>0.29700000000000004</v>
      </c>
      <c r="N119" s="124">
        <f>VLOOKUP(K:K,'Genre Penetration'!A:C,3,0)*VLOOKUP($C119&amp;$E119,'Updated SES'!A:J,10,0)</f>
        <v>0.18700000000000003</v>
      </c>
      <c r="O119" s="124">
        <f>VLOOKUP($B119,'Language Penetration'!$B$1:$BE$14,MATCH('Compile data Working'!$H22,'Language Penetration'!$B$1:$BE$1,0),0)</f>
        <v>0.2</v>
      </c>
      <c r="P119" s="124" t="str">
        <f t="shared" ca="1" si="3"/>
        <v>33%</v>
      </c>
      <c r="Q119" s="123">
        <f t="shared" ca="1" si="4"/>
        <v>0.16828099200000005</v>
      </c>
      <c r="R119" s="125">
        <f>VLOOKUP(D:D,ranking!W:X,2,0)</f>
        <v>0.3</v>
      </c>
      <c r="S119" s="126">
        <f t="shared" ca="1" si="5"/>
        <v>5.0484297600000012E-2</v>
      </c>
      <c r="T119" s="123">
        <v>12.230352941377584</v>
      </c>
    </row>
    <row r="120" spans="1:20" x14ac:dyDescent="0.25">
      <c r="A120" s="98" t="s">
        <v>1057</v>
      </c>
      <c r="B120" s="98" t="s">
        <v>85</v>
      </c>
      <c r="C120" s="98" t="s">
        <v>123</v>
      </c>
      <c r="D120" s="98" t="s">
        <v>431</v>
      </c>
      <c r="E120" s="98" t="s">
        <v>211</v>
      </c>
      <c r="F120" s="46" t="s">
        <v>215</v>
      </c>
      <c r="G120" s="98" t="s">
        <v>1972</v>
      </c>
      <c r="H120" s="46" t="s">
        <v>28</v>
      </c>
      <c r="I120" s="53">
        <v>46178</v>
      </c>
      <c r="J120" s="119">
        <v>1</v>
      </c>
      <c r="K120" s="46" t="s">
        <v>92</v>
      </c>
      <c r="L120" s="123">
        <f>VLOOKUP($C120&amp;$E120,'Updated SES'!A:N,14,0)</f>
        <v>55.459200000000003</v>
      </c>
      <c r="M120" s="124">
        <f>VLOOKUP($K120,'Genre Penetration'!A:B,2,0)*VLOOKUP($C120&amp;$E120,'Updated SES'!A:I,9,0)</f>
        <v>0.25969999999999999</v>
      </c>
      <c r="N120" s="124">
        <f>VLOOKUP(K:K,'Genre Penetration'!A:C,3,0)*VLOOKUP($C120&amp;$E120,'Updated SES'!A:J,10,0)</f>
        <v>0.2397</v>
      </c>
      <c r="O120" s="124" t="e">
        <f>VLOOKUP($B120,'Language Penetration'!$B$1:$BE$14,MATCH('Compile data Working'!#REF!,'Language Penetration'!$B$1:$BE$1,0),0)</f>
        <v>#REF!</v>
      </c>
      <c r="P120" s="124" t="str">
        <f t="shared" ca="1" si="3"/>
        <v>37%</v>
      </c>
      <c r="Q120" s="123" t="e">
        <f t="shared" ca="1" si="4"/>
        <v>#REF!</v>
      </c>
      <c r="R120" s="125">
        <f>VLOOKUP(D:D,ranking!W:X,2,0)</f>
        <v>0.6</v>
      </c>
      <c r="S120" s="126" t="e">
        <f t="shared" ca="1" si="5"/>
        <v>#REF!</v>
      </c>
      <c r="T120" s="123">
        <v>18.36498813640776</v>
      </c>
    </row>
    <row r="121" spans="1:20" x14ac:dyDescent="0.25">
      <c r="A121" s="98" t="s">
        <v>1057</v>
      </c>
      <c r="B121" s="98" t="s">
        <v>85</v>
      </c>
      <c r="C121" s="98" t="s">
        <v>150</v>
      </c>
      <c r="D121" s="98" t="s">
        <v>859</v>
      </c>
      <c r="E121" s="119" t="s">
        <v>211</v>
      </c>
      <c r="F121" s="46" t="s">
        <v>213</v>
      </c>
      <c r="G121" s="98" t="s">
        <v>1856</v>
      </c>
      <c r="H121" s="98" t="s">
        <v>19</v>
      </c>
      <c r="I121" s="106">
        <v>45982</v>
      </c>
      <c r="J121" s="119">
        <v>10</v>
      </c>
      <c r="K121" s="98" t="s">
        <v>173</v>
      </c>
      <c r="L121" s="123">
        <f>VLOOKUP($C121&amp;$E121,'Updated SES'!A:N,14,0)</f>
        <v>60.152000000000001</v>
      </c>
      <c r="M121" s="124">
        <f>VLOOKUP($K121,'Genre Penetration'!A:B,2,0)*VLOOKUP($C121&amp;$E121,'Updated SES'!A:I,9,0)</f>
        <v>0.35750000000000004</v>
      </c>
      <c r="N121" s="124">
        <f>VLOOKUP(K:K,'Genre Penetration'!A:C,3,0)*VLOOKUP($C121&amp;$E121,'Updated SES'!A:J,10,0)</f>
        <v>0.1575</v>
      </c>
      <c r="O121" s="124">
        <f>VLOOKUP($B121,'Language Penetration'!$B$1:$BE$14,MATCH('Compile data Working'!$H58,'Language Penetration'!$B$1:$BE$1,0),0)</f>
        <v>0.2</v>
      </c>
      <c r="P121" s="124" t="str">
        <f t="shared" ca="1" si="3"/>
        <v>3%</v>
      </c>
      <c r="Q121" s="123">
        <f t="shared" ca="1" si="4"/>
        <v>0.18586968000000001</v>
      </c>
      <c r="R121" s="125">
        <f>VLOOKUP(D:D,ranking!W:X,2,0)</f>
        <v>0.7</v>
      </c>
      <c r="S121" s="126">
        <f t="shared" ca="1" si="5"/>
        <v>0.13010877600000001</v>
      </c>
      <c r="T121" s="123">
        <v>1.5067202578641021E-2</v>
      </c>
    </row>
    <row r="122" spans="1:20" x14ac:dyDescent="0.25">
      <c r="A122" s="98" t="s">
        <v>1057</v>
      </c>
      <c r="B122" s="98" t="s">
        <v>85</v>
      </c>
      <c r="C122" s="98" t="s">
        <v>150</v>
      </c>
      <c r="D122" s="98" t="s">
        <v>859</v>
      </c>
      <c r="E122" s="46" t="s">
        <v>211</v>
      </c>
      <c r="F122" s="46" t="s">
        <v>213</v>
      </c>
      <c r="G122" s="46" t="s">
        <v>1854</v>
      </c>
      <c r="H122" s="98" t="s">
        <v>1058</v>
      </c>
      <c r="I122" s="106">
        <v>46143</v>
      </c>
      <c r="J122" s="119">
        <v>4</v>
      </c>
      <c r="K122" s="98" t="s">
        <v>170</v>
      </c>
      <c r="L122" s="123">
        <f>VLOOKUP($C122&amp;$E122,'Updated SES'!A:N,14,0)</f>
        <v>60.152000000000001</v>
      </c>
      <c r="M122" s="124">
        <f>VLOOKUP($K122,'Genre Penetration'!A:B,2,0)*VLOOKUP($C122&amp;$E122,'Updated SES'!A:I,9,0)</f>
        <v>0.377</v>
      </c>
      <c r="N122" s="124">
        <f>VLOOKUP(K:K,'Genre Penetration'!A:C,3,0)*VLOOKUP($C122&amp;$E122,'Updated SES'!A:J,10,0)</f>
        <v>0.14699999999999999</v>
      </c>
      <c r="O122" s="124" t="e">
        <f>VLOOKUP($B122,'Language Penetration'!$B$1:$BE$14,MATCH('Compile data Working'!$H177,'Language Penetration'!$B$1:$BE$1,0),0)</f>
        <v>#N/A</v>
      </c>
      <c r="P122" s="124" t="str">
        <f t="shared" ca="1" si="3"/>
        <v>24%</v>
      </c>
      <c r="Q122" s="123" t="e">
        <f t="shared" ca="1" si="4"/>
        <v>#N/A</v>
      </c>
      <c r="R122" s="125">
        <f>VLOOKUP(D:D,ranking!W:X,2,0)</f>
        <v>0.7</v>
      </c>
      <c r="S122" s="126" t="e">
        <f t="shared" ca="1" si="5"/>
        <v>#N/A</v>
      </c>
      <c r="T122" s="123">
        <v>0.55274902513785962</v>
      </c>
    </row>
    <row r="123" spans="1:20" x14ac:dyDescent="0.25">
      <c r="A123" s="98" t="s">
        <v>1057</v>
      </c>
      <c r="B123" s="98" t="s">
        <v>85</v>
      </c>
      <c r="C123" s="46" t="s">
        <v>123</v>
      </c>
      <c r="D123" s="46" t="s">
        <v>432</v>
      </c>
      <c r="E123" s="46" t="s">
        <v>211</v>
      </c>
      <c r="F123" s="46" t="s">
        <v>213</v>
      </c>
      <c r="G123" s="46" t="s">
        <v>1973</v>
      </c>
      <c r="H123" s="46" t="s">
        <v>19</v>
      </c>
      <c r="I123" s="53">
        <v>46185</v>
      </c>
      <c r="J123" s="119">
        <v>8</v>
      </c>
      <c r="K123" s="46" t="s">
        <v>149</v>
      </c>
      <c r="L123" s="123">
        <f>VLOOKUP($C123&amp;$E123,'Updated SES'!A:N,14,0)</f>
        <v>55.459200000000003</v>
      </c>
      <c r="M123" s="124">
        <f>VLOOKUP($K123,'Genre Penetration'!A:B,2,0)*VLOOKUP($C123&amp;$E123,'Updated SES'!A:I,9,0)</f>
        <v>0.2989</v>
      </c>
      <c r="N123" s="124">
        <f>VLOOKUP(K:K,'Genre Penetration'!A:C,3,0)*VLOOKUP($C123&amp;$E123,'Updated SES'!A:J,10,0)</f>
        <v>0.19890000000000002</v>
      </c>
      <c r="O123" s="124">
        <f>VLOOKUP($B123,'Language Penetration'!$B$1:$BE$14,MATCH('Compile data Working'!$H49,'Language Penetration'!$B$1:$BE$1,0),0)</f>
        <v>7.0000000000000007E-2</v>
      </c>
      <c r="P123" s="124" t="str">
        <f t="shared" ca="1" si="3"/>
        <v>8%</v>
      </c>
      <c r="Q123" s="123">
        <f t="shared" ca="1" si="4"/>
        <v>0.15460250265600003</v>
      </c>
      <c r="R123" s="125">
        <f>VLOOKUP(D:D,ranking!W:X,2,0)</f>
        <v>0.8</v>
      </c>
      <c r="S123" s="126">
        <f t="shared" ca="1" si="5"/>
        <v>0.12368200212480003</v>
      </c>
      <c r="T123" s="123">
        <v>13.987178343946542</v>
      </c>
    </row>
    <row r="124" spans="1:20" x14ac:dyDescent="0.25">
      <c r="A124" s="98" t="s">
        <v>1057</v>
      </c>
      <c r="B124" s="98" t="s">
        <v>85</v>
      </c>
      <c r="C124" s="46" t="s">
        <v>123</v>
      </c>
      <c r="D124" s="46" t="s">
        <v>859</v>
      </c>
      <c r="E124" s="46" t="s">
        <v>211</v>
      </c>
      <c r="F124" s="46" t="s">
        <v>213</v>
      </c>
      <c r="G124" s="46" t="s">
        <v>1965</v>
      </c>
      <c r="H124" s="46" t="s">
        <v>21</v>
      </c>
      <c r="I124" s="53">
        <v>46177</v>
      </c>
      <c r="J124" s="119">
        <v>9</v>
      </c>
      <c r="K124" s="46" t="s">
        <v>420</v>
      </c>
      <c r="L124" s="123">
        <f>VLOOKUP($C124&amp;$E124,'Updated SES'!A:N,14,0)</f>
        <v>55.459200000000003</v>
      </c>
      <c r="M124" s="124">
        <f>VLOOKUP($K124,'Genre Penetration'!A:B,2,0)*VLOOKUP($C124&amp;$E124,'Updated SES'!A:I,9,0)</f>
        <v>0.30380000000000001</v>
      </c>
      <c r="N124" s="124">
        <f>VLOOKUP(K:K,'Genre Penetration'!A:C,3,0)*VLOOKUP($C124&amp;$E124,'Updated SES'!A:J,10,0)</f>
        <v>0.1938</v>
      </c>
      <c r="O124" s="124" t="e">
        <f>VLOOKUP($B124,'Language Penetration'!$B$1:$BE$14,MATCH('Compile data Working'!$H180,'Language Penetration'!$B$1:$BE$1,0),0)</f>
        <v>#N/A</v>
      </c>
      <c r="P124" s="124" t="str">
        <f t="shared" ca="1" si="3"/>
        <v>4%</v>
      </c>
      <c r="Q124" s="123" t="e">
        <f t="shared" ca="1" si="4"/>
        <v>#N/A</v>
      </c>
      <c r="R124" s="125">
        <f>VLOOKUP(D:D,ranking!W:X,2,0)</f>
        <v>0.7</v>
      </c>
      <c r="S124" s="126" t="e">
        <f t="shared" ca="1" si="5"/>
        <v>#N/A</v>
      </c>
      <c r="T124" s="123">
        <v>13.088685928399855</v>
      </c>
    </row>
    <row r="125" spans="1:20" x14ac:dyDescent="0.25">
      <c r="A125" s="98" t="s">
        <v>1057</v>
      </c>
      <c r="B125" s="98" t="s">
        <v>85</v>
      </c>
      <c r="C125" s="98" t="s">
        <v>64</v>
      </c>
      <c r="D125" s="98" t="s">
        <v>431</v>
      </c>
      <c r="E125" s="46" t="s">
        <v>211</v>
      </c>
      <c r="F125" s="46" t="s">
        <v>215</v>
      </c>
      <c r="G125" s="53" t="s">
        <v>1974</v>
      </c>
      <c r="H125" s="46" t="s">
        <v>19</v>
      </c>
      <c r="I125" s="53">
        <v>46178</v>
      </c>
      <c r="J125" s="119">
        <v>5</v>
      </c>
      <c r="K125" s="46" t="s">
        <v>138</v>
      </c>
      <c r="L125" s="123">
        <f>VLOOKUP($C125&amp;$E125,'Updated SES'!A:N,14,0)</f>
        <v>36.498239999999996</v>
      </c>
      <c r="M125" s="124">
        <f>VLOOKUP($K125,'Genre Penetration'!A:B,2,0)*VLOOKUP($C125&amp;$E125,'Updated SES'!A:I,9,0)</f>
        <v>0.24440000000000001</v>
      </c>
      <c r="N125" s="124">
        <f>VLOOKUP(K:K,'Genre Penetration'!A:C,3,0)*VLOOKUP($C125&amp;$E125,'Updated SES'!A:J,10,0)</f>
        <v>0.25440000000000002</v>
      </c>
      <c r="O125" s="124" t="e">
        <f>VLOOKUP($B125,'Language Penetration'!$B$1:$BE$14,MATCH('Compile data Working'!$H194,'Language Penetration'!$B$1:$BE$1,0),0)</f>
        <v>#N/A</v>
      </c>
      <c r="P125" s="124" t="str">
        <f t="shared" ca="1" si="3"/>
        <v>20%</v>
      </c>
      <c r="Q125" s="123" t="e">
        <f t="shared" ca="1" si="4"/>
        <v>#N/A</v>
      </c>
      <c r="R125" s="125">
        <f>VLOOKUP(D:D,ranking!W:X,2,0)</f>
        <v>0.6</v>
      </c>
      <c r="S125" s="126" t="e">
        <f t="shared" ca="1" si="5"/>
        <v>#N/A</v>
      </c>
      <c r="T125" s="123">
        <v>23.304529276015344</v>
      </c>
    </row>
    <row r="126" spans="1:20" x14ac:dyDescent="0.25">
      <c r="A126" s="98" t="s">
        <v>1057</v>
      </c>
      <c r="B126" s="98" t="s">
        <v>85</v>
      </c>
      <c r="C126" s="98" t="s">
        <v>123</v>
      </c>
      <c r="D126" s="98" t="s">
        <v>431</v>
      </c>
      <c r="E126" s="119" t="s">
        <v>211</v>
      </c>
      <c r="F126" s="46" t="s">
        <v>215</v>
      </c>
      <c r="G126" s="98" t="s">
        <v>1966</v>
      </c>
      <c r="H126" s="46" t="s">
        <v>21</v>
      </c>
      <c r="I126" s="53">
        <v>46177</v>
      </c>
      <c r="J126" s="119">
        <v>4</v>
      </c>
      <c r="K126" s="46" t="s">
        <v>170</v>
      </c>
      <c r="L126" s="123">
        <f>VLOOKUP($C126&amp;$E126,'Updated SES'!A:N,14,0)</f>
        <v>55.459200000000003</v>
      </c>
      <c r="M126" s="124">
        <f>VLOOKUP($K126,'Genre Penetration'!A:B,2,0)*VLOOKUP($C126&amp;$E126,'Updated SES'!A:I,9,0)</f>
        <v>0.28419999999999995</v>
      </c>
      <c r="N126" s="124">
        <f>VLOOKUP(K:K,'Genre Penetration'!A:C,3,0)*VLOOKUP($C126&amp;$E126,'Updated SES'!A:J,10,0)</f>
        <v>0.2142</v>
      </c>
      <c r="O126" s="124" t="e">
        <f>VLOOKUP($B126,'Language Penetration'!$B$1:$BE$14,MATCH('Compile data Working'!$H99,'Language Penetration'!$B$1:$BE$1,0),0)</f>
        <v>#N/A</v>
      </c>
      <c r="P126" s="124" t="str">
        <f t="shared" ca="1" si="3"/>
        <v>20%</v>
      </c>
      <c r="Q126" s="123" t="e">
        <f t="shared" ca="1" si="4"/>
        <v>#N/A</v>
      </c>
      <c r="R126" s="125">
        <f>VLOOKUP(D:D,ranking!W:X,2,0)</f>
        <v>0.6</v>
      </c>
      <c r="S126" s="126" t="e">
        <f t="shared" ca="1" si="5"/>
        <v>#N/A</v>
      </c>
      <c r="T126" s="123">
        <v>15.461269258727992</v>
      </c>
    </row>
    <row r="127" spans="1:20" x14ac:dyDescent="0.25">
      <c r="A127" s="98" t="s">
        <v>1057</v>
      </c>
      <c r="B127" s="98" t="s">
        <v>85</v>
      </c>
      <c r="C127" s="98" t="s">
        <v>123</v>
      </c>
      <c r="D127" s="98" t="s">
        <v>431</v>
      </c>
      <c r="E127" s="98" t="s">
        <v>211</v>
      </c>
      <c r="F127" s="46" t="s">
        <v>215</v>
      </c>
      <c r="G127" s="98" t="s">
        <v>1843</v>
      </c>
      <c r="H127" s="46" t="s">
        <v>28</v>
      </c>
      <c r="I127" s="53">
        <v>46157</v>
      </c>
      <c r="J127" s="119">
        <v>2</v>
      </c>
      <c r="K127" s="46" t="s">
        <v>52</v>
      </c>
      <c r="L127" s="123">
        <f>VLOOKUP($C127&amp;$E127,'Updated SES'!A:N,14,0)</f>
        <v>55.459200000000003</v>
      </c>
      <c r="M127" s="124">
        <f>VLOOKUP($K127,'Genre Penetration'!A:B,2,0)*VLOOKUP($C127&amp;$E127,'Updated SES'!A:I,9,0)</f>
        <v>0.29399999999999998</v>
      </c>
      <c r="N127" s="124">
        <f>VLOOKUP(K:K,'Genre Penetration'!A:C,3,0)*VLOOKUP($C127&amp;$E127,'Updated SES'!A:J,10,0)</f>
        <v>0.20400000000000001</v>
      </c>
      <c r="O127" s="124" t="e">
        <f>VLOOKUP($B127,'Language Penetration'!$B$1:$BE$14,MATCH('Compile data Working'!$H42,'Language Penetration'!$B$1:$BE$1,0),0)</f>
        <v>#N/A</v>
      </c>
      <c r="P127" s="124" t="str">
        <f t="shared" ca="1" si="3"/>
        <v>35%</v>
      </c>
      <c r="Q127" s="123" t="e">
        <f t="shared" ca="1" si="4"/>
        <v>#N/A</v>
      </c>
      <c r="R127" s="125">
        <f>VLOOKUP(D:D,ranking!W:X,2,0)</f>
        <v>0.6</v>
      </c>
      <c r="S127" s="126" t="e">
        <f t="shared" ca="1" si="5"/>
        <v>#N/A</v>
      </c>
      <c r="T127" s="123">
        <v>2.7081435246489951</v>
      </c>
    </row>
    <row r="128" spans="1:20" x14ac:dyDescent="0.25">
      <c r="A128" s="98" t="s">
        <v>1057</v>
      </c>
      <c r="B128" s="98" t="s">
        <v>85</v>
      </c>
      <c r="C128" s="46" t="s">
        <v>132</v>
      </c>
      <c r="D128" s="46" t="s">
        <v>456</v>
      </c>
      <c r="E128" s="46" t="s">
        <v>219</v>
      </c>
      <c r="F128" s="46" t="s">
        <v>1882</v>
      </c>
      <c r="G128" s="46" t="s">
        <v>1853</v>
      </c>
      <c r="H128" s="98" t="s">
        <v>19</v>
      </c>
      <c r="I128" s="106">
        <v>46140</v>
      </c>
      <c r="J128" s="119">
        <v>10</v>
      </c>
      <c r="K128" s="98" t="s">
        <v>448</v>
      </c>
      <c r="L128" s="123">
        <f>VLOOKUP($C128&amp;$E128,'Updated SES'!A:N,14,0)</f>
        <v>5.2679999999999998</v>
      </c>
      <c r="M128" s="124">
        <f>VLOOKUP($K128,'Genre Penetration'!A:B,2,0)*VLOOKUP($C128&amp;$E128,'Updated SES'!A:I,9,0)</f>
        <v>0.46199999999999997</v>
      </c>
      <c r="N128" s="124">
        <f>VLOOKUP(K:K,'Genre Penetration'!A:C,3,0)*VLOOKUP($C128&amp;$E128,'Updated SES'!A:J,10,0)</f>
        <v>0.10200000000000001</v>
      </c>
      <c r="O128" s="124" t="e">
        <f>VLOOKUP($B128,'Language Penetration'!$B$1:$BE$14,MATCH('Compile data Working'!$H23,'Language Penetration'!$B$1:$BE$1,0),0)</f>
        <v>#N/A</v>
      </c>
      <c r="P128" s="124" t="str">
        <f t="shared" ca="1" si="3"/>
        <v>2%</v>
      </c>
      <c r="Q128" s="123" t="e">
        <f t="shared" ca="1" si="4"/>
        <v>#N/A</v>
      </c>
      <c r="R128" s="125">
        <f>VLOOKUP(D:D,ranking!W:X,2,0)</f>
        <v>0.3</v>
      </c>
      <c r="S128" s="126" t="e">
        <f t="shared" ca="1" si="5"/>
        <v>#N/A</v>
      </c>
      <c r="T128" s="123">
        <v>6.0835794118954318</v>
      </c>
    </row>
    <row r="129" spans="1:20" x14ac:dyDescent="0.25">
      <c r="A129" s="98" t="s">
        <v>1057</v>
      </c>
      <c r="B129" s="98" t="s">
        <v>85</v>
      </c>
      <c r="C129" s="46" t="s">
        <v>1988</v>
      </c>
      <c r="D129" s="98" t="s">
        <v>859</v>
      </c>
      <c r="E129" s="46" t="s">
        <v>211</v>
      </c>
      <c r="F129" s="46" t="s">
        <v>213</v>
      </c>
      <c r="G129" s="46" t="s">
        <v>1975</v>
      </c>
      <c r="H129" s="46" t="s">
        <v>40</v>
      </c>
      <c r="I129" s="53">
        <v>46178</v>
      </c>
      <c r="J129" s="119">
        <v>6</v>
      </c>
      <c r="K129" s="46" t="s">
        <v>173</v>
      </c>
      <c r="L129" s="123">
        <f>VLOOKUP($C129&amp;$E129,'Updated SES'!A:N,14,0)</f>
        <v>127.11702000000001</v>
      </c>
      <c r="M129" s="124">
        <f>VLOOKUP($K129,'Genre Penetration'!A:B,2,0)*VLOOKUP($C129&amp;$E129,'Updated SES'!A:I,9,0)</f>
        <v>0.36849999999999999</v>
      </c>
      <c r="N129" s="124">
        <f>VLOOKUP(K:K,'Genre Penetration'!A:C,3,0)*VLOOKUP($C129&amp;$E129,'Updated SES'!A:J,10,0)</f>
        <v>0.14849999999999999</v>
      </c>
      <c r="O129" s="124" t="e">
        <f>VLOOKUP($B129,'Language Penetration'!$B$1:$BE$14,MATCH('Compile data Working'!#REF!,'Language Penetration'!$B$1:$BE$1,0),0)</f>
        <v>#REF!</v>
      </c>
      <c r="P129" s="124" t="str">
        <f t="shared" ca="1" si="3"/>
        <v>12%</v>
      </c>
      <c r="Q129" s="123" t="e">
        <f t="shared" ca="1" si="4"/>
        <v>#REF!</v>
      </c>
      <c r="R129" s="125">
        <f>VLOOKUP(D:D,ranking!W:X,2,0)</f>
        <v>0.7</v>
      </c>
      <c r="S129" s="126" t="e">
        <f t="shared" ca="1" si="5"/>
        <v>#REF!</v>
      </c>
      <c r="T129" s="123">
        <v>12.214231775588187</v>
      </c>
    </row>
    <row r="130" spans="1:20" x14ac:dyDescent="0.25">
      <c r="A130" s="98" t="s">
        <v>1057</v>
      </c>
      <c r="B130" s="98" t="s">
        <v>85</v>
      </c>
      <c r="C130" s="98" t="s">
        <v>150</v>
      </c>
      <c r="D130" s="98" t="s">
        <v>859</v>
      </c>
      <c r="E130" s="98" t="s">
        <v>219</v>
      </c>
      <c r="F130" s="46" t="s">
        <v>213</v>
      </c>
      <c r="G130" s="98" t="s">
        <v>1985</v>
      </c>
      <c r="H130" s="98" t="s">
        <v>19</v>
      </c>
      <c r="I130" s="106">
        <v>46169</v>
      </c>
      <c r="J130" s="119">
        <v>8</v>
      </c>
      <c r="K130" s="98" t="s">
        <v>160</v>
      </c>
      <c r="L130" s="123">
        <f>VLOOKUP($C130&amp;$E130,'Updated SES'!A:N,14,0)</f>
        <v>24.425800000000002</v>
      </c>
      <c r="M130" s="124">
        <f>VLOOKUP($K130,'Genre Penetration'!A:B,2,0)*VLOOKUP($C130&amp;$E130,'Updated SES'!A:I,9,0)</f>
        <v>0.34</v>
      </c>
      <c r="N130" s="124">
        <f>VLOOKUP(K:K,'Genre Penetration'!A:C,3,0)*VLOOKUP($C130&amp;$E130,'Updated SES'!A:J,10,0)</f>
        <v>0.16</v>
      </c>
      <c r="O130" s="124" t="e">
        <f>VLOOKUP($B130,'Language Penetration'!$B$1:$BE$14,MATCH('Compile data Working'!#REF!,'Language Penetration'!$B$1:$BE$1,0),0)</f>
        <v>#REF!</v>
      </c>
      <c r="P130" s="124" t="str">
        <f t="shared" ca="1" si="3"/>
        <v>8%</v>
      </c>
      <c r="Q130" s="123" t="e">
        <f t="shared" ca="1" si="4"/>
        <v>#REF!</v>
      </c>
      <c r="R130" s="125">
        <f>VLOOKUP(D:D,ranking!W:X,2,0)</f>
        <v>0.7</v>
      </c>
      <c r="S130" s="126" t="e">
        <f t="shared" ca="1" si="5"/>
        <v>#REF!</v>
      </c>
      <c r="T130" s="123">
        <v>2.8459661513741876</v>
      </c>
    </row>
    <row r="131" spans="1:20" x14ac:dyDescent="0.25">
      <c r="A131" s="98" t="s">
        <v>1057</v>
      </c>
      <c r="B131" s="98" t="s">
        <v>85</v>
      </c>
      <c r="C131" s="98" t="s">
        <v>132</v>
      </c>
      <c r="D131" s="98" t="s">
        <v>431</v>
      </c>
      <c r="E131" s="98" t="s">
        <v>211</v>
      </c>
      <c r="F131" s="46" t="s">
        <v>215</v>
      </c>
      <c r="G131" s="120" t="s">
        <v>1852</v>
      </c>
      <c r="H131" s="98" t="s">
        <v>1222</v>
      </c>
      <c r="I131" s="106">
        <v>46143</v>
      </c>
      <c r="J131" s="119">
        <v>9</v>
      </c>
      <c r="K131" s="98" t="s">
        <v>202</v>
      </c>
      <c r="L131" s="123">
        <f>VLOOKUP($C131&amp;$E131,'Updated SES'!A:N,14,0)</f>
        <v>21.682040000000004</v>
      </c>
      <c r="M131" s="124">
        <f>VLOOKUP($K131,'Genre Penetration'!A:B,2,0)*VLOOKUP($C131&amp;$E131,'Updated SES'!A:I,9,0)</f>
        <v>0.46799999999999997</v>
      </c>
      <c r="N131" s="124">
        <f>VLOOKUP(K:K,'Genre Penetration'!A:C,3,0)*VLOOKUP($C131&amp;$E131,'Updated SES'!A:J,10,0)</f>
        <v>9.8000000000000004E-2</v>
      </c>
      <c r="O131" s="124">
        <f>VLOOKUP($B131,'Language Penetration'!$B$1:$BE$14,MATCH('Compile data Working'!$H47,'Language Penetration'!$B$1:$BE$1,0),0)</f>
        <v>7.0000000000000007E-2</v>
      </c>
      <c r="P131" s="124" t="str">
        <f t="shared" ca="1" si="3"/>
        <v>5%</v>
      </c>
      <c r="Q131" s="123">
        <f t="shared" ca="1" si="4"/>
        <v>4.2952121240000009E-2</v>
      </c>
      <c r="R131" s="125">
        <f>VLOOKUP(D:D,ranking!W:X,2,0)</f>
        <v>0.6</v>
      </c>
      <c r="S131" s="126">
        <f t="shared" ca="1" si="5"/>
        <v>2.5771272744000005E-2</v>
      </c>
      <c r="T131" s="123">
        <v>7.6954490124429862</v>
      </c>
    </row>
    <row r="132" spans="1:20" x14ac:dyDescent="0.25">
      <c r="A132" s="98" t="s">
        <v>1057</v>
      </c>
      <c r="B132" s="98" t="s">
        <v>85</v>
      </c>
      <c r="C132" s="98" t="s">
        <v>150</v>
      </c>
      <c r="D132" s="98" t="s">
        <v>859</v>
      </c>
      <c r="E132" s="98" t="s">
        <v>211</v>
      </c>
      <c r="F132" s="46" t="s">
        <v>213</v>
      </c>
      <c r="G132" s="120" t="s">
        <v>1976</v>
      </c>
      <c r="H132" s="98" t="s">
        <v>1979</v>
      </c>
      <c r="I132" s="53">
        <v>46178</v>
      </c>
      <c r="J132" s="119">
        <v>7</v>
      </c>
      <c r="K132" s="46" t="s">
        <v>216</v>
      </c>
      <c r="L132" s="123">
        <f>VLOOKUP($C132&amp;$E132,'Updated SES'!A:N,14,0)</f>
        <v>60.152000000000001</v>
      </c>
      <c r="M132" s="124">
        <f>VLOOKUP($K132,'Genre Penetration'!A:B,2,0)*VLOOKUP($C132&amp;$E132,'Updated SES'!A:I,9,0)</f>
        <v>0.32500000000000001</v>
      </c>
      <c r="N132" s="124">
        <f>VLOOKUP(K:K,'Genre Penetration'!A:C,3,0)*VLOOKUP($C132&amp;$E132,'Updated SES'!A:J,10,0)</f>
        <v>0.17499999999999999</v>
      </c>
      <c r="O132" s="124">
        <f>VLOOKUP($B132,'Language Penetration'!$B$1:$BE$14,MATCH('Compile data Working'!$H91,'Language Penetration'!$B$1:$BE$1,0),0)</f>
        <v>0.6</v>
      </c>
      <c r="P132" s="124" t="str">
        <f t="shared" ca="1" si="3"/>
        <v>9%</v>
      </c>
      <c r="Q132" s="123">
        <f t="shared" ca="1" si="4"/>
        <v>1.624104</v>
      </c>
      <c r="R132" s="125">
        <f>VLOOKUP(D:D,ranking!W:X,2,0)</f>
        <v>0.7</v>
      </c>
      <c r="S132" s="126">
        <f t="shared" ca="1" si="5"/>
        <v>1.1368727999999999</v>
      </c>
      <c r="T132" s="123">
        <v>2.4970452288229739</v>
      </c>
    </row>
    <row r="133" spans="1:20" x14ac:dyDescent="0.25">
      <c r="A133" s="98" t="s">
        <v>1057</v>
      </c>
      <c r="B133" s="98" t="s">
        <v>85</v>
      </c>
      <c r="C133" s="98" t="s">
        <v>64</v>
      </c>
      <c r="D133" s="98" t="s">
        <v>859</v>
      </c>
      <c r="E133" s="46" t="s">
        <v>211</v>
      </c>
      <c r="F133" s="46" t="s">
        <v>213</v>
      </c>
      <c r="G133" s="135" t="s">
        <v>2057</v>
      </c>
      <c r="H133" s="98" t="s">
        <v>23</v>
      </c>
      <c r="I133" s="53">
        <v>46185</v>
      </c>
      <c r="J133" s="131">
        <v>3</v>
      </c>
      <c r="K133" s="46" t="s">
        <v>78</v>
      </c>
      <c r="L133" s="123">
        <f>VLOOKUP($C133&amp;$E133,'Updated SES'!A:N,14,0)</f>
        <v>36.498239999999996</v>
      </c>
      <c r="M133" s="124">
        <f>VLOOKUP($K133,'Genre Penetration'!A:B,2,0)*VLOOKUP($C133&amp;$E133,'Updated SES'!A:I,9,0)</f>
        <v>0.24959999999999999</v>
      </c>
      <c r="N133" s="124">
        <f>VLOOKUP(K:K,'Genre Penetration'!A:C,3,0)*VLOOKUP($C133&amp;$E133,'Updated SES'!A:J,10,0)</f>
        <v>0.24959999999999999</v>
      </c>
      <c r="O133" s="124" t="e">
        <f>VLOOKUP($B133,'Language Penetration'!$B$1:$BE$14,MATCH('Compile data Working'!$H105,'Language Penetration'!$B$1:$BE$1,0),0)</f>
        <v>#N/A</v>
      </c>
      <c r="P133" s="124" t="str">
        <f t="shared" ref="P133:P196" ca="1" si="6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28%</v>
      </c>
      <c r="Q133" s="123" t="e">
        <f t="shared" ref="Q133:Q196" ca="1" si="7">IFERROR(L133*(M133+N133)*O133*P133,RANDBETWEEN(1,2)%*L133*(M133+N133)*O133)</f>
        <v>#N/A</v>
      </c>
      <c r="R133" s="125">
        <f>VLOOKUP(D:D,ranking!W:X,2,0)</f>
        <v>0.7</v>
      </c>
      <c r="S133" s="126" t="e">
        <f t="shared" ca="1" si="5"/>
        <v>#N/A</v>
      </c>
      <c r="T133" s="123">
        <v>5.7471727178725693</v>
      </c>
    </row>
    <row r="134" spans="1:20" x14ac:dyDescent="0.25">
      <c r="A134" s="98" t="s">
        <v>1057</v>
      </c>
      <c r="B134" s="98" t="s">
        <v>85</v>
      </c>
      <c r="C134" s="46" t="s">
        <v>1229</v>
      </c>
      <c r="D134" s="98" t="s">
        <v>433</v>
      </c>
      <c r="E134" s="46" t="s">
        <v>219</v>
      </c>
      <c r="F134" s="46" t="s">
        <v>215</v>
      </c>
      <c r="G134" s="134" t="s">
        <v>1878</v>
      </c>
      <c r="H134" s="46" t="s">
        <v>19</v>
      </c>
      <c r="I134" s="53">
        <v>46157</v>
      </c>
      <c r="J134" s="131">
        <v>2</v>
      </c>
      <c r="K134" s="46" t="s">
        <v>176</v>
      </c>
      <c r="L134" s="123">
        <f>VLOOKUP($C134&amp;$E134,'Updated SES'!A:N,14,0)</f>
        <v>78.939870000000013</v>
      </c>
      <c r="M134" s="124">
        <f>VLOOKUP($K134,'Genre Penetration'!A:B,2,0)*VLOOKUP($C134&amp;$E134,'Updated SES'!A:I,9,0)</f>
        <v>0.496</v>
      </c>
      <c r="N134" s="124">
        <f>VLOOKUP(K:K,'Genre Penetration'!A:C,3,0)*VLOOKUP($C134&amp;$E134,'Updated SES'!A:J,10,0)</f>
        <v>7.6000000000000012E-2</v>
      </c>
      <c r="O134" s="124" t="e">
        <f>VLOOKUP($B134,'Language Penetration'!$B$1:$BE$14,MATCH('Compile data Working'!$H38,'Language Penetration'!$B$1:$BE$1,0),0)</f>
        <v>#N/A</v>
      </c>
      <c r="P134" s="124" t="str">
        <f t="shared" ca="1" si="6"/>
        <v>31%</v>
      </c>
      <c r="Q134" s="123" t="e">
        <f t="shared" ca="1" si="7"/>
        <v>#N/A</v>
      </c>
      <c r="R134" s="125">
        <f>VLOOKUP(D:D,ranking!W:X,2,0)</f>
        <v>0.6</v>
      </c>
      <c r="S134" s="126" t="e">
        <f t="shared" ca="1" si="5"/>
        <v>#N/A</v>
      </c>
      <c r="T134" s="123">
        <v>9.0180101409262914</v>
      </c>
    </row>
    <row r="135" spans="1:20" x14ac:dyDescent="0.25">
      <c r="A135" s="98" t="s">
        <v>1781</v>
      </c>
      <c r="B135" s="98" t="s">
        <v>85</v>
      </c>
      <c r="C135" s="46" t="s">
        <v>123</v>
      </c>
      <c r="D135" s="46" t="s">
        <v>1012</v>
      </c>
      <c r="E135" s="119" t="s">
        <v>211</v>
      </c>
      <c r="F135" s="46" t="s">
        <v>215</v>
      </c>
      <c r="G135" s="134" t="s">
        <v>1879</v>
      </c>
      <c r="H135" s="46" t="s">
        <v>19</v>
      </c>
      <c r="I135" s="129">
        <v>42825</v>
      </c>
      <c r="J135" s="131"/>
      <c r="K135" s="46" t="s">
        <v>1930</v>
      </c>
      <c r="L135" s="123">
        <f>VLOOKUP($C135&amp;$E135,'Updated SES'!A:N,14,0)</f>
        <v>55.459200000000003</v>
      </c>
      <c r="M135" s="124" t="e">
        <f>VLOOKUP($K135,'Genre Penetration'!A:B,2,0)*VLOOKUP($C135&amp;$E135,'Updated SES'!A:I,9,0)</f>
        <v>#N/A</v>
      </c>
      <c r="N135" s="124" t="e">
        <f>VLOOKUP(K:K,'Genre Penetration'!A:C,3,0)*VLOOKUP($C135&amp;$E135,'Updated SES'!A:J,10,0)</f>
        <v>#N/A</v>
      </c>
      <c r="O135" s="124" t="e">
        <f>VLOOKUP($B135,'Language Penetration'!$B$1:$BE$14,MATCH('Compile data Working'!$H137,'Language Penetration'!$B$1:$BE$1,0),0)</f>
        <v>#N/A</v>
      </c>
      <c r="P135" s="124" t="str">
        <f t="shared" ca="1" si="6"/>
        <v>2%</v>
      </c>
      <c r="Q135" s="123" t="e">
        <f t="shared" ca="1" si="7"/>
        <v>#N/A</v>
      </c>
      <c r="R135" s="125">
        <f>VLOOKUP(D:D,ranking!W:X,2,0)</f>
        <v>0.6</v>
      </c>
      <c r="S135" s="126" t="e">
        <f t="shared" ref="S135:S198" ca="1" si="8">R135*Q135</f>
        <v>#N/A</v>
      </c>
      <c r="T135" s="123">
        <v>0.92191672173740902</v>
      </c>
    </row>
    <row r="136" spans="1:20" x14ac:dyDescent="0.25">
      <c r="A136" s="98" t="s">
        <v>1781</v>
      </c>
      <c r="B136" s="98" t="s">
        <v>85</v>
      </c>
      <c r="C136" s="46" t="s">
        <v>1988</v>
      </c>
      <c r="D136" s="46" t="s">
        <v>1013</v>
      </c>
      <c r="E136" s="119" t="s">
        <v>211</v>
      </c>
      <c r="F136" s="46" t="s">
        <v>213</v>
      </c>
      <c r="G136" s="134" t="s">
        <v>1880</v>
      </c>
      <c r="H136" s="46" t="s">
        <v>19</v>
      </c>
      <c r="I136" s="129">
        <v>44609</v>
      </c>
      <c r="J136" s="131"/>
      <c r="K136" s="46" t="s">
        <v>1088</v>
      </c>
      <c r="L136" s="123">
        <f>VLOOKUP($C136&amp;$E136,'Updated SES'!A:N,14,0)</f>
        <v>127.11702000000001</v>
      </c>
      <c r="M136" s="124">
        <f>VLOOKUP($K136,'Genre Penetration'!A:B,2,0)*VLOOKUP($C136&amp;$E136,'Updated SES'!A:I,9,0)</f>
        <v>0.38524999999999993</v>
      </c>
      <c r="N136" s="124">
        <f>VLOOKUP(K:K,'Genre Penetration'!A:C,3,0)*VLOOKUP($C136&amp;$E136,'Updated SES'!A:J,10,0)</f>
        <v>0.14024999999999999</v>
      </c>
      <c r="O136" s="124" t="e">
        <f>VLOOKUP($B136,'Language Penetration'!$B$1:$BE$14,MATCH('Compile data Working'!#REF!,'Language Penetration'!$B$1:$BE$1,0),0)</f>
        <v>#REF!</v>
      </c>
      <c r="P136" s="124" t="str">
        <f t="shared" ca="1" si="6"/>
        <v>2%</v>
      </c>
      <c r="Q136" s="123" t="e">
        <f t="shared" ca="1" si="7"/>
        <v>#REF!</v>
      </c>
      <c r="R136" s="125">
        <f>VLOOKUP(D:D,ranking!W:X,2,0)</f>
        <v>0.8</v>
      </c>
      <c r="S136" s="126" t="e">
        <f t="shared" ca="1" si="8"/>
        <v>#REF!</v>
      </c>
      <c r="T136" s="123">
        <v>0.73958822294653948</v>
      </c>
    </row>
    <row r="137" spans="1:20" x14ac:dyDescent="0.25">
      <c r="A137" s="98" t="s">
        <v>1781</v>
      </c>
      <c r="B137" s="98" t="s">
        <v>85</v>
      </c>
      <c r="C137" s="46" t="s">
        <v>64</v>
      </c>
      <c r="D137" s="46" t="s">
        <v>1013</v>
      </c>
      <c r="E137" s="119" t="s">
        <v>211</v>
      </c>
      <c r="F137" s="46" t="s">
        <v>213</v>
      </c>
      <c r="G137" s="130" t="s">
        <v>1881</v>
      </c>
      <c r="H137" s="46" t="s">
        <v>1928</v>
      </c>
      <c r="I137" s="129">
        <v>46050</v>
      </c>
      <c r="J137" s="131"/>
      <c r="K137" s="46" t="s">
        <v>216</v>
      </c>
      <c r="L137" s="123">
        <f>VLOOKUP($C137&amp;$E137,'Updated SES'!A:N,14,0)</f>
        <v>36.498239999999996</v>
      </c>
      <c r="M137" s="124">
        <f>VLOOKUP($K137,'Genre Penetration'!A:B,2,0)*VLOOKUP($C137&amp;$E137,'Updated SES'!A:I,9,0)</f>
        <v>0.26</v>
      </c>
      <c r="N137" s="124">
        <f>VLOOKUP(K:K,'Genre Penetration'!A:C,3,0)*VLOOKUP($C137&amp;$E137,'Updated SES'!A:J,10,0)</f>
        <v>0.24</v>
      </c>
      <c r="O137" s="124" t="e">
        <f>VLOOKUP($B137,'Language Penetration'!$B$1:$BE$14,MATCH('Compile data Working'!$H39,'Language Penetration'!$B$1:$BE$1,0),0)</f>
        <v>#N/A</v>
      </c>
      <c r="P137" s="124" t="str">
        <f t="shared" ca="1" si="6"/>
        <v>1%</v>
      </c>
      <c r="Q137" s="123" t="e">
        <f t="shared" ca="1" si="7"/>
        <v>#N/A</v>
      </c>
      <c r="R137" s="125">
        <f>VLOOKUP(D:D,ranking!W:X,2,0)</f>
        <v>0.8</v>
      </c>
      <c r="S137" s="126" t="e">
        <f t="shared" ca="1" si="8"/>
        <v>#N/A</v>
      </c>
      <c r="T137" s="123">
        <v>1.1782582814349656</v>
      </c>
    </row>
    <row r="138" spans="1:20" x14ac:dyDescent="0.25">
      <c r="A138" s="98" t="s">
        <v>1781</v>
      </c>
      <c r="B138" s="98" t="s">
        <v>85</v>
      </c>
      <c r="C138" s="46" t="s">
        <v>150</v>
      </c>
      <c r="D138" s="98" t="s">
        <v>456</v>
      </c>
      <c r="E138" s="98" t="s">
        <v>219</v>
      </c>
      <c r="F138" s="46" t="s">
        <v>1882</v>
      </c>
      <c r="G138" s="134" t="s">
        <v>1883</v>
      </c>
      <c r="H138" s="46" t="s">
        <v>1928</v>
      </c>
      <c r="I138" s="129">
        <v>45985</v>
      </c>
      <c r="J138" s="132"/>
      <c r="K138" s="46" t="s">
        <v>950</v>
      </c>
      <c r="L138" s="123">
        <f>VLOOKUP($C138&amp;$E138,'Updated SES'!A:N,14,0)</f>
        <v>24.425800000000002</v>
      </c>
      <c r="M138" s="124" t="e">
        <f>VLOOKUP($K138,'Genre Penetration'!A:B,2,0)*VLOOKUP($C138&amp;$E138,'Updated SES'!A:I,9,0)</f>
        <v>#N/A</v>
      </c>
      <c r="N138" s="124" t="e">
        <f>VLOOKUP(K:K,'Genre Penetration'!A:C,3,0)*VLOOKUP($C138&amp;$E138,'Updated SES'!A:J,10,0)</f>
        <v>#N/A</v>
      </c>
      <c r="O138" s="124" t="e">
        <f>VLOOKUP($B138,'Language Penetration'!$B$1:$BE$14,MATCH('Compile data Working'!$H18,'Language Penetration'!$B$1:$BE$1,0),0)</f>
        <v>#N/A</v>
      </c>
      <c r="P138" s="124" t="str">
        <f t="shared" ca="1" si="6"/>
        <v>2%</v>
      </c>
      <c r="Q138" s="123" t="e">
        <f t="shared" ca="1" si="7"/>
        <v>#N/A</v>
      </c>
      <c r="R138" s="125">
        <f>VLOOKUP(D:D,ranking!W:X,2,0)</f>
        <v>0.3</v>
      </c>
      <c r="S138" s="126" t="e">
        <f t="shared" ca="1" si="8"/>
        <v>#N/A</v>
      </c>
      <c r="T138" s="123">
        <v>0.99160922905767745</v>
      </c>
    </row>
    <row r="139" spans="1:20" x14ac:dyDescent="0.25">
      <c r="A139" s="98" t="s">
        <v>1781</v>
      </c>
      <c r="B139" s="98" t="s">
        <v>85</v>
      </c>
      <c r="C139" s="46" t="s">
        <v>1988</v>
      </c>
      <c r="D139" s="98" t="s">
        <v>456</v>
      </c>
      <c r="E139" s="98" t="s">
        <v>211</v>
      </c>
      <c r="F139" s="46" t="s">
        <v>1882</v>
      </c>
      <c r="G139" s="134" t="s">
        <v>1784</v>
      </c>
      <c r="H139" s="46" t="s">
        <v>19</v>
      </c>
      <c r="I139" s="129">
        <v>44025</v>
      </c>
      <c r="J139" s="132"/>
      <c r="K139" s="46" t="s">
        <v>950</v>
      </c>
      <c r="L139" s="123">
        <f>VLOOKUP($C139&amp;$E139,'Updated SES'!A:N,14,0)</f>
        <v>127.11702000000001</v>
      </c>
      <c r="M139" s="124" t="e">
        <f>VLOOKUP($K139,'Genre Penetration'!A:B,2,0)*VLOOKUP($C139&amp;$E139,'Updated SES'!A:I,9,0)</f>
        <v>#N/A</v>
      </c>
      <c r="N139" s="124" t="e">
        <f>VLOOKUP(K:K,'Genre Penetration'!A:C,3,0)*VLOOKUP($C139&amp;$E139,'Updated SES'!A:J,10,0)</f>
        <v>#N/A</v>
      </c>
      <c r="O139" s="124" t="e">
        <f>VLOOKUP($B139,'Language Penetration'!$B$1:$BE$14,MATCH('Compile data Working'!$H21,'Language Penetration'!$B$1:$BE$1,0),0)</f>
        <v>#N/A</v>
      </c>
      <c r="P139" s="124" t="str">
        <f t="shared" ca="1" si="6"/>
        <v>2%</v>
      </c>
      <c r="Q139" s="123" t="e">
        <f t="shared" ca="1" si="7"/>
        <v>#N/A</v>
      </c>
      <c r="R139" s="125">
        <f>VLOOKUP(D:D,ranking!W:X,2,0)</f>
        <v>0.3</v>
      </c>
      <c r="S139" s="126" t="e">
        <f t="shared" ca="1" si="8"/>
        <v>#N/A</v>
      </c>
      <c r="T139" s="123">
        <v>20.880304048041161</v>
      </c>
    </row>
    <row r="140" spans="1:20" x14ac:dyDescent="0.25">
      <c r="A140" s="98" t="s">
        <v>1781</v>
      </c>
      <c r="B140" s="98" t="s">
        <v>85</v>
      </c>
      <c r="C140" s="46" t="s">
        <v>879</v>
      </c>
      <c r="D140" s="46" t="s">
        <v>1838</v>
      </c>
      <c r="E140" s="98" t="s">
        <v>219</v>
      </c>
      <c r="F140" s="46" t="s">
        <v>215</v>
      </c>
      <c r="G140" s="134" t="s">
        <v>1864</v>
      </c>
      <c r="H140" s="46" t="s">
        <v>19</v>
      </c>
      <c r="I140" s="129">
        <v>46140</v>
      </c>
      <c r="J140" s="131"/>
      <c r="K140" s="46" t="s">
        <v>216</v>
      </c>
      <c r="L140" s="123">
        <f>VLOOKUP($C140&amp;$E140,'Updated SES'!A:N,14,0)</f>
        <v>78.939870000000013</v>
      </c>
      <c r="M140" s="124">
        <f>VLOOKUP($K140,'Genre Penetration'!A:B,2,0)*VLOOKUP($C140&amp;$E140,'Updated SES'!A:I,9,0)</f>
        <v>0.4</v>
      </c>
      <c r="N140" s="124">
        <f>VLOOKUP(K:K,'Genre Penetration'!A:C,3,0)*VLOOKUP($C140&amp;$E140,'Updated SES'!A:J,10,0)</f>
        <v>0.1</v>
      </c>
      <c r="O140" s="124">
        <v>0.25</v>
      </c>
      <c r="P140" s="124" t="str">
        <f t="shared" ca="1" si="6"/>
        <v>1%</v>
      </c>
      <c r="Q140" s="123">
        <f t="shared" ca="1" si="7"/>
        <v>9.8674837500000015E-2</v>
      </c>
      <c r="R140" s="125">
        <f>VLOOKUP(D:D,ranking!W:X,2,0)</f>
        <v>0.6</v>
      </c>
      <c r="S140" s="126">
        <f t="shared" ca="1" si="8"/>
        <v>5.9204902500000003E-2</v>
      </c>
      <c r="T140" s="123">
        <v>3.3138595610382238</v>
      </c>
    </row>
    <row r="141" spans="1:20" x14ac:dyDescent="0.25">
      <c r="A141" s="98" t="s">
        <v>1781</v>
      </c>
      <c r="B141" s="98" t="s">
        <v>85</v>
      </c>
      <c r="C141" s="46" t="s">
        <v>1988</v>
      </c>
      <c r="D141" s="98" t="s">
        <v>456</v>
      </c>
      <c r="E141" s="98" t="s">
        <v>211</v>
      </c>
      <c r="F141" s="46" t="s">
        <v>1882</v>
      </c>
      <c r="G141" s="134" t="s">
        <v>1884</v>
      </c>
      <c r="H141" s="46" t="s">
        <v>1928</v>
      </c>
      <c r="I141" s="129">
        <v>46048</v>
      </c>
      <c r="J141" s="131"/>
      <c r="K141" s="46" t="s">
        <v>970</v>
      </c>
      <c r="L141" s="123">
        <f>VLOOKUP($C141&amp;$E141,'Updated SES'!A:N,14,0)</f>
        <v>127.11702000000001</v>
      </c>
      <c r="M141" s="124">
        <f>VLOOKUP($K141,'Genre Penetration'!A:B,2,0)*VLOOKUP($C141&amp;$E141,'Updated SES'!A:I,9,0)</f>
        <v>0.33499999999999996</v>
      </c>
      <c r="N141" s="124">
        <f>VLOOKUP(K:K,'Genre Penetration'!A:C,3,0)*VLOOKUP($C141&amp;$E141,'Updated SES'!A:J,10,0)</f>
        <v>0.16499999999999998</v>
      </c>
      <c r="O141" s="124">
        <f>VLOOKUP($B141,'Language Penetration'!$B$1:$BE$14,MATCH('Compile data Working'!$H5,'Language Penetration'!$B$1:$BE$1,0),0)</f>
        <v>0.2</v>
      </c>
      <c r="P141" s="124" t="str">
        <f t="shared" ca="1" si="6"/>
        <v>1%</v>
      </c>
      <c r="Q141" s="123">
        <f t="shared" ca="1" si="7"/>
        <v>0.12711702</v>
      </c>
      <c r="R141" s="125">
        <f>VLOOKUP(D:D,ranking!W:X,2,0)</f>
        <v>0.3</v>
      </c>
      <c r="S141" s="126">
        <f t="shared" ca="1" si="8"/>
        <v>3.8135105999999995E-2</v>
      </c>
      <c r="T141" s="123">
        <v>12.842277343751901</v>
      </c>
    </row>
    <row r="142" spans="1:20" x14ac:dyDescent="0.25">
      <c r="A142" s="98" t="s">
        <v>1781</v>
      </c>
      <c r="B142" s="98" t="s">
        <v>85</v>
      </c>
      <c r="C142" s="46" t="s">
        <v>879</v>
      </c>
      <c r="D142" s="46" t="s">
        <v>220</v>
      </c>
      <c r="E142" s="98" t="s">
        <v>219</v>
      </c>
      <c r="F142" s="46" t="s">
        <v>213</v>
      </c>
      <c r="G142" s="134" t="s">
        <v>1885</v>
      </c>
      <c r="H142" s="46" t="s">
        <v>19</v>
      </c>
      <c r="I142" s="129">
        <v>44455</v>
      </c>
      <c r="J142" s="131"/>
      <c r="K142" s="46" t="s">
        <v>1931</v>
      </c>
      <c r="L142" s="123">
        <f>VLOOKUP($C142&amp;$E142,'Updated SES'!A:N,14,0)</f>
        <v>78.939870000000013</v>
      </c>
      <c r="M142" s="124" t="e">
        <f>VLOOKUP($K142,'Genre Penetration'!A:B,2,0)*VLOOKUP($C142&amp;$E142,'Updated SES'!A:I,9,0)</f>
        <v>#N/A</v>
      </c>
      <c r="N142" s="124" t="e">
        <f>VLOOKUP(K:K,'Genre Penetration'!A:C,3,0)*VLOOKUP($C142&amp;$E142,'Updated SES'!A:J,10,0)</f>
        <v>#N/A</v>
      </c>
      <c r="O142" s="124" t="e">
        <f>VLOOKUP($B142,'Language Penetration'!$B$1:$BE$14,MATCH('Compile data Working'!#REF!,'Language Penetration'!$B$1:$BE$1,0),0)</f>
        <v>#REF!</v>
      </c>
      <c r="P142" s="124" t="str">
        <f t="shared" ca="1" si="6"/>
        <v>1%</v>
      </c>
      <c r="Q142" s="123" t="e">
        <f t="shared" ca="1" si="7"/>
        <v>#N/A</v>
      </c>
      <c r="R142" s="125" t="e">
        <f>VLOOKUP(D:D,ranking!W:X,2,0)</f>
        <v>#N/A</v>
      </c>
      <c r="S142" s="126" t="e">
        <f t="shared" ca="1" si="8"/>
        <v>#N/A</v>
      </c>
      <c r="T142" s="123">
        <v>1.4528090246763692</v>
      </c>
    </row>
    <row r="143" spans="1:20" x14ac:dyDescent="0.25">
      <c r="A143" s="98" t="s">
        <v>1781</v>
      </c>
      <c r="B143" s="98" t="s">
        <v>85</v>
      </c>
      <c r="C143" s="46" t="s">
        <v>1988</v>
      </c>
      <c r="D143" s="46" t="s">
        <v>1012</v>
      </c>
      <c r="E143" s="119" t="s">
        <v>211</v>
      </c>
      <c r="F143" s="46" t="s">
        <v>215</v>
      </c>
      <c r="G143" s="134" t="s">
        <v>1886</v>
      </c>
      <c r="H143" s="46" t="s">
        <v>1929</v>
      </c>
      <c r="I143" s="129">
        <v>45303</v>
      </c>
      <c r="J143" s="131"/>
      <c r="K143" s="46" t="s">
        <v>1933</v>
      </c>
      <c r="L143" s="123">
        <f>VLOOKUP($C143&amp;$E143,'Updated SES'!A:N,14,0)</f>
        <v>127.11702000000001</v>
      </c>
      <c r="M143" s="124" t="e">
        <f>VLOOKUP($K143,'Genre Penetration'!A:B,2,0)*VLOOKUP($C143&amp;$E143,'Updated SES'!A:I,9,0)</f>
        <v>#N/A</v>
      </c>
      <c r="N143" s="124" t="e">
        <f>VLOOKUP(K:K,'Genre Penetration'!A:C,3,0)*VLOOKUP($C143&amp;$E143,'Updated SES'!A:J,10,0)</f>
        <v>#N/A</v>
      </c>
      <c r="O143" s="124">
        <f>VLOOKUP($B143,'Language Penetration'!$B$1:$BE$14,MATCH('Compile data Working'!$H181,'Language Penetration'!$B$1:$BE$1,0),0)</f>
        <v>0.6</v>
      </c>
      <c r="P143" s="124" t="str">
        <f t="shared" ca="1" si="6"/>
        <v>1%</v>
      </c>
      <c r="Q143" s="123" t="e">
        <f t="shared" ca="1" si="7"/>
        <v>#N/A</v>
      </c>
      <c r="R143" s="125">
        <f>VLOOKUP(D:D,ranking!W:X,2,0)</f>
        <v>0.6</v>
      </c>
      <c r="S143" s="126" t="e">
        <f t="shared" ca="1" si="8"/>
        <v>#N/A</v>
      </c>
      <c r="T143" s="123">
        <v>1.1492253615495418</v>
      </c>
    </row>
    <row r="144" spans="1:20" x14ac:dyDescent="0.25">
      <c r="A144" s="98" t="s">
        <v>1781</v>
      </c>
      <c r="B144" s="98" t="s">
        <v>85</v>
      </c>
      <c r="C144" s="46" t="s">
        <v>64</v>
      </c>
      <c r="D144" s="46" t="s">
        <v>1012</v>
      </c>
      <c r="E144" s="119" t="s">
        <v>211</v>
      </c>
      <c r="F144" s="46" t="s">
        <v>215</v>
      </c>
      <c r="G144" s="134" t="s">
        <v>1841</v>
      </c>
      <c r="H144" s="46" t="s">
        <v>19</v>
      </c>
      <c r="I144" s="129">
        <v>43125</v>
      </c>
      <c r="J144" s="131"/>
      <c r="K144" s="46" t="s">
        <v>966</v>
      </c>
      <c r="L144" s="123">
        <f>VLOOKUP($C144&amp;$E144,'Updated SES'!A:N,14,0)</f>
        <v>36.498239999999996</v>
      </c>
      <c r="M144" s="124">
        <f>VLOOKUP($K144,'Genre Penetration'!A:B,2,0)*VLOOKUP($C144&amp;$E144,'Updated SES'!A:I,9,0)</f>
        <v>0.26</v>
      </c>
      <c r="N144" s="124">
        <f>VLOOKUP(K:K,'Genre Penetration'!A:C,3,0)*VLOOKUP($C144&amp;$E144,'Updated SES'!A:J,10,0)</f>
        <v>0.24</v>
      </c>
      <c r="O144" s="124" t="e">
        <f>VLOOKUP($B144,'Language Penetration'!$B$1:$BE$14,MATCH('Compile data Working'!$H83,'Language Penetration'!$B$1:$BE$1,0),0)</f>
        <v>#N/A</v>
      </c>
      <c r="P144" s="124" t="str">
        <f t="shared" ca="1" si="6"/>
        <v>2%</v>
      </c>
      <c r="Q144" s="123" t="e">
        <f t="shared" ca="1" si="7"/>
        <v>#N/A</v>
      </c>
      <c r="R144" s="125">
        <f>VLOOKUP(D:D,ranking!W:X,2,0)</f>
        <v>0.6</v>
      </c>
      <c r="S144" s="126" t="e">
        <f t="shared" ca="1" si="8"/>
        <v>#N/A</v>
      </c>
      <c r="T144" s="123">
        <v>1.7222687686135532</v>
      </c>
    </row>
    <row r="145" spans="1:20" x14ac:dyDescent="0.25">
      <c r="A145" s="98" t="s">
        <v>1781</v>
      </c>
      <c r="B145" s="98" t="s">
        <v>85</v>
      </c>
      <c r="C145" s="46" t="s">
        <v>1988</v>
      </c>
      <c r="D145" s="46" t="s">
        <v>1013</v>
      </c>
      <c r="E145" s="119" t="s">
        <v>211</v>
      </c>
      <c r="F145" s="46" t="s">
        <v>213</v>
      </c>
      <c r="G145" s="134" t="s">
        <v>1887</v>
      </c>
      <c r="H145" s="46" t="s">
        <v>19</v>
      </c>
      <c r="I145" s="129">
        <v>44785</v>
      </c>
      <c r="J145" s="131"/>
      <c r="K145" s="46" t="s">
        <v>1934</v>
      </c>
      <c r="L145" s="123">
        <f>VLOOKUP($C145&amp;$E145,'Updated SES'!A:N,14,0)</f>
        <v>127.11702000000001</v>
      </c>
      <c r="M145" s="124" t="e">
        <f>VLOOKUP($K145,'Genre Penetration'!A:B,2,0)*VLOOKUP($C145&amp;$E145,'Updated SES'!A:I,9,0)</f>
        <v>#N/A</v>
      </c>
      <c r="N145" s="124" t="e">
        <f>VLOOKUP(K:K,'Genre Penetration'!A:C,3,0)*VLOOKUP($C145&amp;$E145,'Updated SES'!A:J,10,0)</f>
        <v>#N/A</v>
      </c>
      <c r="O145" s="124">
        <f>VLOOKUP($B145,'Language Penetration'!$B$1:$BE$14,MATCH('Compile data Working'!$H17,'Language Penetration'!$B$1:$BE$1,0),0)</f>
        <v>0.6</v>
      </c>
      <c r="P145" s="124" t="str">
        <f t="shared" ca="1" si="6"/>
        <v>2%</v>
      </c>
      <c r="Q145" s="123" t="e">
        <f t="shared" ca="1" si="7"/>
        <v>#N/A</v>
      </c>
      <c r="R145" s="125">
        <f>VLOOKUP(D:D,ranking!W:X,2,0)</f>
        <v>0.8</v>
      </c>
      <c r="S145" s="126" t="e">
        <f t="shared" ca="1" si="8"/>
        <v>#N/A</v>
      </c>
      <c r="T145" s="123">
        <v>1.1736949557335383</v>
      </c>
    </row>
    <row r="146" spans="1:20" x14ac:dyDescent="0.25">
      <c r="A146" s="98" t="s">
        <v>1781</v>
      </c>
      <c r="B146" s="98" t="s">
        <v>85</v>
      </c>
      <c r="C146" s="46" t="s">
        <v>879</v>
      </c>
      <c r="D146" s="46" t="s">
        <v>1838</v>
      </c>
      <c r="E146" s="98" t="s">
        <v>219</v>
      </c>
      <c r="F146" s="46" t="s">
        <v>215</v>
      </c>
      <c r="G146" s="134" t="s">
        <v>1888</v>
      </c>
      <c r="H146" s="46" t="s">
        <v>19</v>
      </c>
      <c r="I146" s="129">
        <v>44428</v>
      </c>
      <c r="J146" s="131"/>
      <c r="K146" s="46" t="s">
        <v>1076</v>
      </c>
      <c r="L146" s="123">
        <f>VLOOKUP($C146&amp;$E146,'Updated SES'!A:N,14,0)</f>
        <v>78.939870000000013</v>
      </c>
      <c r="M146" s="124">
        <f>VLOOKUP($K146,'Genre Penetration'!A:B,2,0)*VLOOKUP($C146&amp;$E146,'Updated SES'!A:I,9,0)</f>
        <v>0.44000000000000006</v>
      </c>
      <c r="N146" s="124">
        <f>VLOOKUP(K:K,'Genre Penetration'!A:C,3,0)*VLOOKUP($C146&amp;$E146,'Updated SES'!A:J,10,0)</f>
        <v>9.0000000000000011E-2</v>
      </c>
      <c r="O146" s="124" t="e">
        <f>VLOOKUP($B146,'Language Penetration'!$B$1:$BE$14,MATCH('Compile data Working'!#REF!,'Language Penetration'!$B$1:$BE$1,0),0)</f>
        <v>#REF!</v>
      </c>
      <c r="P146" s="124" t="str">
        <f t="shared" ca="1" si="6"/>
        <v>1%</v>
      </c>
      <c r="Q146" s="123" t="e">
        <f t="shared" ca="1" si="7"/>
        <v>#REF!</v>
      </c>
      <c r="R146" s="125">
        <f>VLOOKUP(D:D,ranking!W:X,2,0)</f>
        <v>0.6</v>
      </c>
      <c r="S146" s="126" t="e">
        <f t="shared" ca="1" si="8"/>
        <v>#REF!</v>
      </c>
      <c r="T146" s="123">
        <v>0.98434275250997438</v>
      </c>
    </row>
    <row r="147" spans="1:20" x14ac:dyDescent="0.25">
      <c r="A147" s="98" t="s">
        <v>1781</v>
      </c>
      <c r="B147" s="98" t="s">
        <v>85</v>
      </c>
      <c r="C147" s="46" t="s">
        <v>1988</v>
      </c>
      <c r="D147" s="98" t="s">
        <v>456</v>
      </c>
      <c r="E147" s="98" t="s">
        <v>211</v>
      </c>
      <c r="F147" s="46" t="s">
        <v>1882</v>
      </c>
      <c r="G147" s="134" t="s">
        <v>1889</v>
      </c>
      <c r="H147" s="46" t="s">
        <v>1928</v>
      </c>
      <c r="I147" s="129">
        <v>45313</v>
      </c>
      <c r="J147" s="131"/>
      <c r="K147" s="46" t="s">
        <v>950</v>
      </c>
      <c r="L147" s="123">
        <f>VLOOKUP($C147&amp;$E147,'Updated SES'!A:N,14,0)</f>
        <v>127.11702000000001</v>
      </c>
      <c r="M147" s="124" t="e">
        <f>VLOOKUP($K147,'Genre Penetration'!A:B,2,0)*VLOOKUP($C147&amp;$E147,'Updated SES'!A:I,9,0)</f>
        <v>#N/A</v>
      </c>
      <c r="N147" s="124" t="e">
        <f>VLOOKUP(K:K,'Genre Penetration'!A:C,3,0)*VLOOKUP($C147&amp;$E147,'Updated SES'!A:J,10,0)</f>
        <v>#N/A</v>
      </c>
      <c r="O147" s="124" t="e">
        <f>VLOOKUP($B147,'Language Penetration'!$B$1:$BE$14,MATCH('Compile data Working'!$H78,'Language Penetration'!$B$1:$BE$1,0),0)</f>
        <v>#N/A</v>
      </c>
      <c r="P147" s="124" t="str">
        <f t="shared" ca="1" si="6"/>
        <v>2%</v>
      </c>
      <c r="Q147" s="123" t="e">
        <f t="shared" ca="1" si="7"/>
        <v>#N/A</v>
      </c>
      <c r="R147" s="125">
        <f>VLOOKUP(D:D,ranking!W:X,2,0)</f>
        <v>0.3</v>
      </c>
      <c r="S147" s="126" t="e">
        <f t="shared" ca="1" si="8"/>
        <v>#N/A</v>
      </c>
      <c r="T147" s="123">
        <v>4.309485659789809</v>
      </c>
    </row>
    <row r="148" spans="1:20" x14ac:dyDescent="0.25">
      <c r="A148" s="98" t="s">
        <v>1781</v>
      </c>
      <c r="B148" s="98" t="s">
        <v>85</v>
      </c>
      <c r="C148" s="46" t="s">
        <v>1988</v>
      </c>
      <c r="D148" s="46" t="s">
        <v>1012</v>
      </c>
      <c r="E148" s="119" t="s">
        <v>211</v>
      </c>
      <c r="F148" s="46" t="s">
        <v>215</v>
      </c>
      <c r="G148" s="134" t="s">
        <v>1890</v>
      </c>
      <c r="H148" s="46" t="s">
        <v>19</v>
      </c>
      <c r="I148" s="129">
        <v>43588</v>
      </c>
      <c r="J148" s="131"/>
      <c r="K148" s="46" t="s">
        <v>1935</v>
      </c>
      <c r="L148" s="123">
        <f>VLOOKUP($C148&amp;$E148,'Updated SES'!A:N,14,0)</f>
        <v>127.11702000000001</v>
      </c>
      <c r="M148" s="124" t="e">
        <f>VLOOKUP($K148,'Genre Penetration'!A:B,2,0)*VLOOKUP($C148&amp;$E148,'Updated SES'!A:I,9,0)</f>
        <v>#N/A</v>
      </c>
      <c r="N148" s="124" t="e">
        <f>VLOOKUP(K:K,'Genre Penetration'!A:C,3,0)*VLOOKUP($C148&amp;$E148,'Updated SES'!A:J,10,0)</f>
        <v>#N/A</v>
      </c>
      <c r="O148" s="124">
        <f>VLOOKUP($B148,'Language Penetration'!$B$1:$BE$14,MATCH('Compile data Working'!$H142,'Language Penetration'!$B$1:$BE$1,0),0)</f>
        <v>0.6</v>
      </c>
      <c r="P148" s="124" t="str">
        <f t="shared" ca="1" si="6"/>
        <v>2%</v>
      </c>
      <c r="Q148" s="123" t="e">
        <f t="shared" ca="1" si="7"/>
        <v>#N/A</v>
      </c>
      <c r="R148" s="125">
        <f>VLOOKUP(D:D,ranking!W:X,2,0)</f>
        <v>0.6</v>
      </c>
      <c r="S148" s="126" t="e">
        <f t="shared" ca="1" si="8"/>
        <v>#N/A</v>
      </c>
      <c r="T148" s="123">
        <v>1.604865675314084</v>
      </c>
    </row>
    <row r="149" spans="1:20" x14ac:dyDescent="0.25">
      <c r="A149" s="98" t="s">
        <v>1781</v>
      </c>
      <c r="B149" s="98" t="s">
        <v>85</v>
      </c>
      <c r="C149" s="46" t="s">
        <v>1988</v>
      </c>
      <c r="D149" s="98" t="s">
        <v>456</v>
      </c>
      <c r="E149" s="98" t="s">
        <v>211</v>
      </c>
      <c r="F149" s="46" t="s">
        <v>1882</v>
      </c>
      <c r="G149" s="130" t="s">
        <v>1832</v>
      </c>
      <c r="H149" s="46" t="s">
        <v>1928</v>
      </c>
      <c r="I149" s="129">
        <v>45781</v>
      </c>
      <c r="J149" s="133"/>
      <c r="K149" s="46" t="s">
        <v>1936</v>
      </c>
      <c r="L149" s="123">
        <f>VLOOKUP($C149&amp;$E149,'Updated SES'!A:N,14,0)</f>
        <v>127.11702000000001</v>
      </c>
      <c r="M149" s="124" t="e">
        <f>VLOOKUP($K149,'Genre Penetration'!A:B,2,0)*VLOOKUP($C149&amp;$E149,'Updated SES'!A:I,9,0)</f>
        <v>#N/A</v>
      </c>
      <c r="N149" s="124" t="e">
        <f>VLOOKUP(K:K,'Genre Penetration'!A:C,3,0)*VLOOKUP($C149&amp;$E149,'Updated SES'!A:J,10,0)</f>
        <v>#N/A</v>
      </c>
      <c r="O149" s="124">
        <f>VLOOKUP($B149,'Language Penetration'!$B$1:$BE$14,MATCH('Compile data Working'!$H189,'Language Penetration'!$B$1:$BE$1,0),0)</f>
        <v>0.6</v>
      </c>
      <c r="P149" s="124" t="str">
        <f t="shared" ca="1" si="6"/>
        <v>2%</v>
      </c>
      <c r="Q149" s="123" t="e">
        <f t="shared" ca="1" si="7"/>
        <v>#N/A</v>
      </c>
      <c r="R149" s="125">
        <f>VLOOKUP(D:D,ranking!W:X,2,0)</f>
        <v>0.3</v>
      </c>
      <c r="S149" s="126" t="e">
        <f t="shared" ca="1" si="8"/>
        <v>#N/A</v>
      </c>
      <c r="T149" s="123">
        <v>7.9302585585357729E-2</v>
      </c>
    </row>
    <row r="150" spans="1:20" x14ac:dyDescent="0.25">
      <c r="A150" s="98" t="s">
        <v>1781</v>
      </c>
      <c r="B150" s="98" t="s">
        <v>85</v>
      </c>
      <c r="C150" s="46" t="s">
        <v>1988</v>
      </c>
      <c r="D150" s="98" t="s">
        <v>456</v>
      </c>
      <c r="E150" s="98" t="s">
        <v>211</v>
      </c>
      <c r="F150" s="46" t="s">
        <v>1882</v>
      </c>
      <c r="G150" s="134" t="s">
        <v>1891</v>
      </c>
      <c r="H150" s="46" t="s">
        <v>23</v>
      </c>
      <c r="I150" s="129">
        <v>45499</v>
      </c>
      <c r="J150" s="132"/>
      <c r="K150" s="46" t="s">
        <v>1937</v>
      </c>
      <c r="L150" s="123">
        <f>VLOOKUP($C150&amp;$E150,'Updated SES'!A:N,14,0)</f>
        <v>127.11702000000001</v>
      </c>
      <c r="M150" s="124" t="e">
        <f>VLOOKUP($K150,'Genre Penetration'!A:B,2,0)*VLOOKUP($C150&amp;$E150,'Updated SES'!A:I,9,0)</f>
        <v>#N/A</v>
      </c>
      <c r="N150" s="124" t="e">
        <f>VLOOKUP(K:K,'Genre Penetration'!A:C,3,0)*VLOOKUP($C150&amp;$E150,'Updated SES'!A:J,10,0)</f>
        <v>#N/A</v>
      </c>
      <c r="O150" s="124" t="e">
        <f>VLOOKUP($B150,'Language Penetration'!$B$1:$BE$14,MATCH('Compile data Working'!#REF!,'Language Penetration'!$B$1:$BE$1,0),0)</f>
        <v>#REF!</v>
      </c>
      <c r="P150" s="124" t="str">
        <f t="shared" ca="1" si="6"/>
        <v>1%</v>
      </c>
      <c r="Q150" s="123" t="e">
        <f t="shared" ca="1" si="7"/>
        <v>#N/A</v>
      </c>
      <c r="R150" s="125">
        <f>VLOOKUP(D:D,ranking!W:X,2,0)</f>
        <v>0.3</v>
      </c>
      <c r="S150" s="126" t="e">
        <f t="shared" ca="1" si="8"/>
        <v>#N/A</v>
      </c>
      <c r="T150" s="123">
        <v>8.6000846908065895</v>
      </c>
    </row>
    <row r="151" spans="1:20" x14ac:dyDescent="0.25">
      <c r="A151" s="98" t="s">
        <v>1781</v>
      </c>
      <c r="B151" s="98" t="s">
        <v>85</v>
      </c>
      <c r="C151" s="46" t="s">
        <v>123</v>
      </c>
      <c r="D151" s="46" t="s">
        <v>1013</v>
      </c>
      <c r="E151" s="119" t="s">
        <v>211</v>
      </c>
      <c r="F151" s="46" t="s">
        <v>213</v>
      </c>
      <c r="G151" s="134" t="s">
        <v>1865</v>
      </c>
      <c r="H151" s="46" t="s">
        <v>19</v>
      </c>
      <c r="I151" s="129" t="s">
        <v>254</v>
      </c>
      <c r="J151" s="132"/>
      <c r="K151" s="46" t="s">
        <v>1938</v>
      </c>
      <c r="L151" s="123">
        <f>VLOOKUP($C151&amp;$E151,'Updated SES'!A:N,14,0)</f>
        <v>55.459200000000003</v>
      </c>
      <c r="M151" s="124" t="e">
        <f>VLOOKUP($K151,'Genre Penetration'!A:B,2,0)*VLOOKUP($C151&amp;$E151,'Updated SES'!A:I,9,0)</f>
        <v>#N/A</v>
      </c>
      <c r="N151" s="124" t="e">
        <f>VLOOKUP(K:K,'Genre Penetration'!A:C,3,0)*VLOOKUP($C151&amp;$E151,'Updated SES'!A:J,10,0)</f>
        <v>#N/A</v>
      </c>
      <c r="O151" s="124" t="e">
        <f>VLOOKUP($B151,'Language Penetration'!$B$1:$BE$14,MATCH('Compile data Working'!$H63,'Language Penetration'!$B$1:$BE$1,0),0)</f>
        <v>#N/A</v>
      </c>
      <c r="P151" s="124" t="str">
        <f t="shared" ca="1" si="6"/>
        <v>2%</v>
      </c>
      <c r="Q151" s="123" t="e">
        <f t="shared" ca="1" si="7"/>
        <v>#N/A</v>
      </c>
      <c r="R151" s="125">
        <f>VLOOKUP(D:D,ranking!W:X,2,0)</f>
        <v>0.8</v>
      </c>
      <c r="S151" s="126" t="e">
        <f t="shared" ca="1" si="8"/>
        <v>#N/A</v>
      </c>
      <c r="T151" s="123">
        <v>0.86673742613863713</v>
      </c>
    </row>
    <row r="152" spans="1:20" x14ac:dyDescent="0.25">
      <c r="A152" s="98" t="s">
        <v>1781</v>
      </c>
      <c r="B152" s="98" t="s">
        <v>85</v>
      </c>
      <c r="C152" s="46" t="s">
        <v>1988</v>
      </c>
      <c r="D152" s="98" t="s">
        <v>456</v>
      </c>
      <c r="E152" s="98" t="s">
        <v>211</v>
      </c>
      <c r="F152" s="46" t="s">
        <v>1882</v>
      </c>
      <c r="G152" s="134" t="s">
        <v>1785</v>
      </c>
      <c r="H152" s="46" t="s">
        <v>19</v>
      </c>
      <c r="I152" s="129">
        <v>46049</v>
      </c>
      <c r="J152" s="132"/>
      <c r="K152" s="46" t="s">
        <v>216</v>
      </c>
      <c r="L152" s="123">
        <f>VLOOKUP($C152&amp;$E152,'Updated SES'!A:N,14,0)</f>
        <v>127.11702000000001</v>
      </c>
      <c r="M152" s="124">
        <f>VLOOKUP($K152,'Genre Penetration'!A:B,2,0)*VLOOKUP($C152&amp;$E152,'Updated SES'!A:I,9,0)</f>
        <v>0.33499999999999996</v>
      </c>
      <c r="N152" s="124">
        <f>VLOOKUP(K:K,'Genre Penetration'!A:C,3,0)*VLOOKUP($C152&amp;$E152,'Updated SES'!A:J,10,0)</f>
        <v>0.16499999999999998</v>
      </c>
      <c r="O152" s="124">
        <f>VLOOKUP($B152,'Language Penetration'!$B$1:$BE$14,MATCH('Compile data Working'!$H66,'Language Penetration'!$B$1:$BE$1,0),0)</f>
        <v>0.2</v>
      </c>
      <c r="P152" s="124" t="str">
        <f t="shared" ca="1" si="6"/>
        <v>1%</v>
      </c>
      <c r="Q152" s="123">
        <f t="shared" ca="1" si="7"/>
        <v>0.12711702</v>
      </c>
      <c r="R152" s="125">
        <f>VLOOKUP(D:D,ranking!W:X,2,0)</f>
        <v>0.3</v>
      </c>
      <c r="S152" s="126">
        <f t="shared" ca="1" si="8"/>
        <v>3.8135105999999995E-2</v>
      </c>
      <c r="T152" s="123">
        <v>6.4746143680203279</v>
      </c>
    </row>
    <row r="153" spans="1:20" x14ac:dyDescent="0.25">
      <c r="A153" s="98" t="s">
        <v>1781</v>
      </c>
      <c r="B153" s="98" t="s">
        <v>85</v>
      </c>
      <c r="C153" s="46" t="s">
        <v>150</v>
      </c>
      <c r="D153" s="98" t="s">
        <v>456</v>
      </c>
      <c r="E153" s="98" t="s">
        <v>219</v>
      </c>
      <c r="F153" s="46" t="s">
        <v>1882</v>
      </c>
      <c r="G153" s="134" t="s">
        <v>1892</v>
      </c>
      <c r="H153" s="46" t="s">
        <v>19</v>
      </c>
      <c r="I153" s="129">
        <v>43217</v>
      </c>
      <c r="J153" s="132"/>
      <c r="K153" s="46" t="s">
        <v>970</v>
      </c>
      <c r="L153" s="123">
        <f>VLOOKUP($C153&amp;$E153,'Updated SES'!A:N,14,0)</f>
        <v>24.425800000000002</v>
      </c>
      <c r="M153" s="124">
        <f>VLOOKUP($K153,'Genre Penetration'!A:B,2,0)*VLOOKUP($C153&amp;$E153,'Updated SES'!A:I,9,0)</f>
        <v>0.34</v>
      </c>
      <c r="N153" s="124">
        <f>VLOOKUP(K:K,'Genre Penetration'!A:C,3,0)*VLOOKUP($C153&amp;$E153,'Updated SES'!A:J,10,0)</f>
        <v>0.16</v>
      </c>
      <c r="O153" s="124">
        <f>VLOOKUP($B153,'Language Penetration'!$B$1:$BE$14,MATCH('Compile data Working'!$H74,'Language Penetration'!$B$1:$BE$1,0),0)</f>
        <v>0.6</v>
      </c>
      <c r="P153" s="124" t="str">
        <f t="shared" ca="1" si="6"/>
        <v>1%</v>
      </c>
      <c r="Q153" s="123">
        <f t="shared" ca="1" si="7"/>
        <v>7.3277400000000006E-2</v>
      </c>
      <c r="R153" s="125">
        <f>VLOOKUP(D:D,ranking!W:X,2,0)</f>
        <v>0.3</v>
      </c>
      <c r="S153" s="126">
        <f t="shared" ca="1" si="8"/>
        <v>2.1983220000000001E-2</v>
      </c>
      <c r="T153" s="123">
        <v>1.0039510310888566</v>
      </c>
    </row>
    <row r="154" spans="1:20" x14ac:dyDescent="0.25">
      <c r="A154" s="98" t="s">
        <v>1781</v>
      </c>
      <c r="B154" s="98" t="s">
        <v>85</v>
      </c>
      <c r="C154" s="46" t="s">
        <v>64</v>
      </c>
      <c r="D154" s="46" t="s">
        <v>1012</v>
      </c>
      <c r="E154" s="119" t="s">
        <v>211</v>
      </c>
      <c r="F154" s="46" t="s">
        <v>215</v>
      </c>
      <c r="G154" s="130" t="s">
        <v>1893</v>
      </c>
      <c r="H154" s="46" t="s">
        <v>19</v>
      </c>
      <c r="I154" s="129">
        <v>46099</v>
      </c>
      <c r="J154" s="132"/>
      <c r="K154" s="46" t="s">
        <v>1939</v>
      </c>
      <c r="L154" s="123">
        <f>VLOOKUP($C154&amp;$E154,'Updated SES'!A:N,14,0)</f>
        <v>36.498239999999996</v>
      </c>
      <c r="M154" s="124" t="e">
        <f>VLOOKUP($K154,'Genre Penetration'!A:B,2,0)*VLOOKUP($C154&amp;$E154,'Updated SES'!A:I,9,0)</f>
        <v>#N/A</v>
      </c>
      <c r="N154" s="124" t="e">
        <f>VLOOKUP(K:K,'Genre Penetration'!A:C,3,0)*VLOOKUP($C154&amp;$E154,'Updated SES'!A:J,10,0)</f>
        <v>#N/A</v>
      </c>
      <c r="O154" s="124">
        <f>VLOOKUP($B154,'Language Penetration'!$B$1:$BE$14,MATCH('Compile data Working'!$H79,'Language Penetration'!$B$1:$BE$1,0),0)</f>
        <v>0.6</v>
      </c>
      <c r="P154" s="124" t="str">
        <f t="shared" ca="1" si="6"/>
        <v>1%</v>
      </c>
      <c r="Q154" s="123" t="e">
        <f t="shared" ca="1" si="7"/>
        <v>#N/A</v>
      </c>
      <c r="R154" s="125">
        <f>VLOOKUP(D:D,ranking!W:X,2,0)</f>
        <v>0.6</v>
      </c>
      <c r="S154" s="126" t="e">
        <f t="shared" ca="1" si="8"/>
        <v>#N/A</v>
      </c>
      <c r="T154" s="123">
        <v>4.3312632987253181</v>
      </c>
    </row>
    <row r="155" spans="1:20" x14ac:dyDescent="0.25">
      <c r="A155" s="98" t="s">
        <v>1781</v>
      </c>
      <c r="B155" s="98" t="s">
        <v>85</v>
      </c>
      <c r="C155" s="46" t="s">
        <v>1988</v>
      </c>
      <c r="D155" s="98" t="s">
        <v>456</v>
      </c>
      <c r="E155" s="98" t="s">
        <v>211</v>
      </c>
      <c r="F155" s="46" t="s">
        <v>1882</v>
      </c>
      <c r="G155" s="134" t="s">
        <v>427</v>
      </c>
      <c r="H155" s="46" t="s">
        <v>19</v>
      </c>
      <c r="I155" s="129">
        <v>45258</v>
      </c>
      <c r="J155" s="132"/>
      <c r="K155" s="46" t="s">
        <v>950</v>
      </c>
      <c r="L155" s="123">
        <f>VLOOKUP($C155&amp;$E155,'Updated SES'!A:N,14,0)</f>
        <v>127.11702000000001</v>
      </c>
      <c r="M155" s="124" t="e">
        <f>VLOOKUP($K155,'Genre Penetration'!A:B,2,0)*VLOOKUP($C155&amp;$E155,'Updated SES'!A:I,9,0)</f>
        <v>#N/A</v>
      </c>
      <c r="N155" s="124" t="e">
        <f>VLOOKUP(K:K,'Genre Penetration'!A:C,3,0)*VLOOKUP($C155&amp;$E155,'Updated SES'!A:J,10,0)</f>
        <v>#N/A</v>
      </c>
      <c r="O155" s="124" t="e">
        <f>VLOOKUP($B155,'Language Penetration'!$B$1:$BE$14,MATCH('Compile data Working'!$H81,'Language Penetration'!$B$1:$BE$1,0),0)</f>
        <v>#N/A</v>
      </c>
      <c r="P155" s="124" t="str">
        <f t="shared" ca="1" si="6"/>
        <v>2%</v>
      </c>
      <c r="Q155" s="123" t="e">
        <f t="shared" ca="1" si="7"/>
        <v>#N/A</v>
      </c>
      <c r="R155" s="125">
        <f>VLOOKUP(D:D,ranking!W:X,2,0)</f>
        <v>0.3</v>
      </c>
      <c r="S155" s="126" t="e">
        <f t="shared" ca="1" si="8"/>
        <v>#N/A</v>
      </c>
      <c r="T155" s="123">
        <v>0.92513669389118869</v>
      </c>
    </row>
    <row r="156" spans="1:20" x14ac:dyDescent="0.25">
      <c r="A156" s="98" t="s">
        <v>1781</v>
      </c>
      <c r="B156" s="98" t="s">
        <v>85</v>
      </c>
      <c r="C156" s="46" t="s">
        <v>150</v>
      </c>
      <c r="D156" s="46" t="s">
        <v>1013</v>
      </c>
      <c r="E156" s="119" t="s">
        <v>211</v>
      </c>
      <c r="F156" s="46" t="s">
        <v>213</v>
      </c>
      <c r="G156" s="134" t="s">
        <v>1894</v>
      </c>
      <c r="H156" s="46" t="s">
        <v>19</v>
      </c>
      <c r="I156" s="129">
        <v>45485</v>
      </c>
      <c r="J156" s="132"/>
      <c r="K156" s="46" t="s">
        <v>1082</v>
      </c>
      <c r="L156" s="123">
        <f>VLOOKUP($C156&amp;$E156,'Updated SES'!A:N,14,0)</f>
        <v>60.152000000000001</v>
      </c>
      <c r="M156" s="124">
        <f>VLOOKUP($K156,'Genre Penetration'!A:B,2,0)*VLOOKUP($C156&amp;$E156,'Updated SES'!A:I,9,0)</f>
        <v>0.35750000000000004</v>
      </c>
      <c r="N156" s="124">
        <f>VLOOKUP(K:K,'Genre Penetration'!A:C,3,0)*VLOOKUP($C156&amp;$E156,'Updated SES'!A:J,10,0)</f>
        <v>0.1575</v>
      </c>
      <c r="O156" s="124" t="e">
        <f>VLOOKUP($B156,'Language Penetration'!$B$1:$BE$14,MATCH('Compile data Working'!$H85,'Language Penetration'!$B$1:$BE$1,0),0)</f>
        <v>#N/A</v>
      </c>
      <c r="P156" s="124" t="str">
        <f t="shared" ca="1" si="6"/>
        <v>2%</v>
      </c>
      <c r="Q156" s="123" t="e">
        <f t="shared" ca="1" si="7"/>
        <v>#N/A</v>
      </c>
      <c r="R156" s="125">
        <f>VLOOKUP(D:D,ranking!W:X,2,0)</f>
        <v>0.8</v>
      </c>
      <c r="S156" s="126" t="e">
        <f t="shared" ca="1" si="8"/>
        <v>#N/A</v>
      </c>
      <c r="T156" s="123">
        <v>0.85137785484444284</v>
      </c>
    </row>
    <row r="157" spans="1:20" x14ac:dyDescent="0.25">
      <c r="A157" s="98" t="s">
        <v>1781</v>
      </c>
      <c r="B157" s="98" t="s">
        <v>85</v>
      </c>
      <c r="C157" s="46" t="s">
        <v>150</v>
      </c>
      <c r="D157" s="98" t="s">
        <v>456</v>
      </c>
      <c r="E157" s="98" t="s">
        <v>219</v>
      </c>
      <c r="F157" s="46" t="s">
        <v>1882</v>
      </c>
      <c r="G157" s="134" t="s">
        <v>1895</v>
      </c>
      <c r="H157" s="46" t="s">
        <v>1928</v>
      </c>
      <c r="I157" s="129">
        <v>45376</v>
      </c>
      <c r="J157" s="132"/>
      <c r="K157" s="46" t="s">
        <v>950</v>
      </c>
      <c r="L157" s="123">
        <f>VLOOKUP($C157&amp;$E157,'Updated SES'!A:N,14,0)</f>
        <v>24.425800000000002</v>
      </c>
      <c r="M157" s="124" t="e">
        <f>VLOOKUP($K157,'Genre Penetration'!A:B,2,0)*VLOOKUP($C157&amp;$E157,'Updated SES'!A:I,9,0)</f>
        <v>#N/A</v>
      </c>
      <c r="N157" s="124" t="e">
        <f>VLOOKUP(K:K,'Genre Penetration'!A:C,3,0)*VLOOKUP($C157&amp;$E157,'Updated SES'!A:J,10,0)</f>
        <v>#N/A</v>
      </c>
      <c r="O157" s="124">
        <f>VLOOKUP($B157,'Language Penetration'!$B$1:$BE$14,MATCH('Compile data Working'!$H88,'Language Penetration'!$B$1:$BE$1,0),0)</f>
        <v>0.6</v>
      </c>
      <c r="P157" s="124" t="str">
        <f t="shared" ca="1" si="6"/>
        <v>2%</v>
      </c>
      <c r="Q157" s="123" t="e">
        <f t="shared" ca="1" si="7"/>
        <v>#N/A</v>
      </c>
      <c r="R157" s="125">
        <f>VLOOKUP(D:D,ranking!W:X,2,0)</f>
        <v>0.3</v>
      </c>
      <c r="S157" s="126" t="e">
        <f t="shared" ca="1" si="8"/>
        <v>#N/A</v>
      </c>
      <c r="T157" s="123">
        <v>1.044303910433388</v>
      </c>
    </row>
    <row r="158" spans="1:20" x14ac:dyDescent="0.25">
      <c r="A158" s="98" t="s">
        <v>1781</v>
      </c>
      <c r="B158" s="98" t="s">
        <v>85</v>
      </c>
      <c r="C158" s="46" t="s">
        <v>1988</v>
      </c>
      <c r="D158" s="98" t="s">
        <v>456</v>
      </c>
      <c r="E158" s="98" t="s">
        <v>211</v>
      </c>
      <c r="F158" s="46" t="s">
        <v>1882</v>
      </c>
      <c r="G158" s="134" t="s">
        <v>1786</v>
      </c>
      <c r="H158" s="46" t="s">
        <v>19</v>
      </c>
      <c r="I158" s="129">
        <v>36710</v>
      </c>
      <c r="J158" s="132"/>
      <c r="K158" s="46" t="s">
        <v>950</v>
      </c>
      <c r="L158" s="123">
        <f>VLOOKUP($C158&amp;$E158,'Updated SES'!A:N,14,0)</f>
        <v>127.11702000000001</v>
      </c>
      <c r="M158" s="124" t="e">
        <f>VLOOKUP($K158,'Genre Penetration'!A:B,2,0)*VLOOKUP($C158&amp;$E158,'Updated SES'!A:I,9,0)</f>
        <v>#N/A</v>
      </c>
      <c r="N158" s="124" t="e">
        <f>VLOOKUP(K:K,'Genre Penetration'!A:C,3,0)*VLOOKUP($C158&amp;$E158,'Updated SES'!A:J,10,0)</f>
        <v>#N/A</v>
      </c>
      <c r="O158" s="124">
        <f>VLOOKUP($B158,'Language Penetration'!$B$1:$BE$14,MATCH('Compile data Working'!$H90,'Language Penetration'!$B$1:$BE$1,0),0)</f>
        <v>0.6</v>
      </c>
      <c r="P158" s="124" t="str">
        <f t="shared" ca="1" si="6"/>
        <v>2%</v>
      </c>
      <c r="Q158" s="123" t="e">
        <f t="shared" ca="1" si="7"/>
        <v>#N/A</v>
      </c>
      <c r="R158" s="125">
        <f>VLOOKUP(D:D,ranking!W:X,2,0)</f>
        <v>0.3</v>
      </c>
      <c r="S158" s="126" t="e">
        <f t="shared" ca="1" si="8"/>
        <v>#N/A</v>
      </c>
      <c r="T158" s="123">
        <v>10.824522711537323</v>
      </c>
    </row>
    <row r="159" spans="1:20" x14ac:dyDescent="0.25">
      <c r="A159" s="98" t="s">
        <v>1781</v>
      </c>
      <c r="B159" s="98" t="s">
        <v>85</v>
      </c>
      <c r="C159" s="46" t="s">
        <v>123</v>
      </c>
      <c r="D159" s="46" t="s">
        <v>1013</v>
      </c>
      <c r="E159" s="119" t="s">
        <v>211</v>
      </c>
      <c r="F159" s="46" t="s">
        <v>213</v>
      </c>
      <c r="G159" s="46" t="s">
        <v>1896</v>
      </c>
      <c r="H159" s="46" t="s">
        <v>19</v>
      </c>
      <c r="I159" s="129">
        <v>45408</v>
      </c>
      <c r="J159" s="132"/>
      <c r="K159" s="46" t="s">
        <v>962</v>
      </c>
      <c r="L159" s="123">
        <f>VLOOKUP($C159&amp;$E159,'Updated SES'!A:N,14,0)</f>
        <v>55.459200000000003</v>
      </c>
      <c r="M159" s="124">
        <f>VLOOKUP($K159,'Genre Penetration'!A:B,2,0)*VLOOKUP($C159&amp;$E159,'Updated SES'!A:I,9,0)</f>
        <v>0.26950000000000002</v>
      </c>
      <c r="N159" s="124">
        <f>VLOOKUP(K:K,'Genre Penetration'!A:C,3,0)*VLOOKUP($C159&amp;$E159,'Updated SES'!A:J,10,0)</f>
        <v>0.22950000000000001</v>
      </c>
      <c r="O159" s="124" t="e">
        <f>VLOOKUP($B159,'Language Penetration'!$B$1:$BE$14,MATCH('Compile data Working'!#REF!,'Language Penetration'!$B$1:$BE$1,0),0)</f>
        <v>#REF!</v>
      </c>
      <c r="P159" s="124" t="str">
        <f t="shared" ca="1" si="6"/>
        <v>1%</v>
      </c>
      <c r="Q159" s="123" t="e">
        <f t="shared" ca="1" si="7"/>
        <v>#REF!</v>
      </c>
      <c r="R159" s="125">
        <f>VLOOKUP(D:D,ranking!W:X,2,0)</f>
        <v>0.8</v>
      </c>
      <c r="S159" s="126" t="e">
        <f t="shared" ca="1" si="8"/>
        <v>#REF!</v>
      </c>
      <c r="T159" s="123">
        <v>0.58356391695697951</v>
      </c>
    </row>
    <row r="160" spans="1:20" x14ac:dyDescent="0.25">
      <c r="A160" s="98" t="s">
        <v>1781</v>
      </c>
      <c r="B160" s="98" t="s">
        <v>85</v>
      </c>
      <c r="C160" s="46" t="s">
        <v>1988</v>
      </c>
      <c r="D160" s="98" t="s">
        <v>456</v>
      </c>
      <c r="E160" s="98" t="s">
        <v>211</v>
      </c>
      <c r="F160" s="46" t="s">
        <v>1882</v>
      </c>
      <c r="G160" s="134" t="s">
        <v>1833</v>
      </c>
      <c r="H160" s="46" t="s">
        <v>29</v>
      </c>
      <c r="I160" s="129" t="s">
        <v>254</v>
      </c>
      <c r="J160" s="131"/>
      <c r="K160" s="46" t="s">
        <v>970</v>
      </c>
      <c r="L160" s="123">
        <f>VLOOKUP($C160&amp;$E160,'Updated SES'!A:N,14,0)</f>
        <v>127.11702000000001</v>
      </c>
      <c r="M160" s="124">
        <f>VLOOKUP($K160,'Genre Penetration'!A:B,2,0)*VLOOKUP($C160&amp;$E160,'Updated SES'!A:I,9,0)</f>
        <v>0.33499999999999996</v>
      </c>
      <c r="N160" s="124">
        <f>VLOOKUP(K:K,'Genre Penetration'!A:C,3,0)*VLOOKUP($C160&amp;$E160,'Updated SES'!A:J,10,0)</f>
        <v>0.16499999999999998</v>
      </c>
      <c r="O160" s="124" t="e">
        <f>VLOOKUP($B160,'Language Penetration'!$B$1:$BE$14,MATCH('Compile data Working'!$H51,'Language Penetration'!$B$1:$BE$1,0),0)</f>
        <v>#N/A</v>
      </c>
      <c r="P160" s="124" t="str">
        <f t="shared" ca="1" si="6"/>
        <v>2%</v>
      </c>
      <c r="Q160" s="123" t="e">
        <f t="shared" ca="1" si="7"/>
        <v>#N/A</v>
      </c>
      <c r="R160" s="125">
        <f>VLOOKUP(D:D,ranking!W:X,2,0)</f>
        <v>0.3</v>
      </c>
      <c r="S160" s="126" t="e">
        <f t="shared" ca="1" si="8"/>
        <v>#N/A</v>
      </c>
      <c r="T160" s="123">
        <v>0.36968403987602466</v>
      </c>
    </row>
    <row r="161" spans="1:20" x14ac:dyDescent="0.25">
      <c r="A161" s="98" t="s">
        <v>1781</v>
      </c>
      <c r="B161" s="98" t="s">
        <v>85</v>
      </c>
      <c r="C161" s="46" t="s">
        <v>1988</v>
      </c>
      <c r="D161" s="98" t="s">
        <v>456</v>
      </c>
      <c r="E161" s="98" t="s">
        <v>211</v>
      </c>
      <c r="F161" s="46" t="s">
        <v>1882</v>
      </c>
      <c r="G161" s="130" t="s">
        <v>1836</v>
      </c>
      <c r="H161" s="46" t="s">
        <v>19</v>
      </c>
      <c r="I161" s="129">
        <v>45983</v>
      </c>
      <c r="J161" s="132"/>
      <c r="K161" s="46" t="s">
        <v>1936</v>
      </c>
      <c r="L161" s="123">
        <f>VLOOKUP($C161&amp;$E161,'Updated SES'!A:N,14,0)</f>
        <v>127.11702000000001</v>
      </c>
      <c r="M161" s="124" t="e">
        <f>VLOOKUP($K161,'Genre Penetration'!A:B,2,0)*VLOOKUP($C161&amp;$E161,'Updated SES'!A:I,9,0)</f>
        <v>#N/A</v>
      </c>
      <c r="N161" s="124" t="e">
        <f>VLOOKUP(K:K,'Genre Penetration'!A:C,3,0)*VLOOKUP($C161&amp;$E161,'Updated SES'!A:J,10,0)</f>
        <v>#N/A</v>
      </c>
      <c r="O161" s="124">
        <f>VLOOKUP($B161,'Language Penetration'!$B$1:$BE$14,MATCH('Compile data Working'!$H93,'Language Penetration'!$B$1:$BE$1,0),0)</f>
        <v>0.6</v>
      </c>
      <c r="P161" s="124" t="str">
        <f t="shared" ca="1" si="6"/>
        <v>2%</v>
      </c>
      <c r="Q161" s="123" t="e">
        <f t="shared" ca="1" si="7"/>
        <v>#N/A</v>
      </c>
      <c r="R161" s="125">
        <f>VLOOKUP(D:D,ranking!W:X,2,0)</f>
        <v>0.3</v>
      </c>
      <c r="S161" s="126" t="e">
        <f t="shared" ca="1" si="8"/>
        <v>#N/A</v>
      </c>
      <c r="T161" s="123">
        <v>24.995687045204104</v>
      </c>
    </row>
    <row r="162" spans="1:20" x14ac:dyDescent="0.25">
      <c r="A162" s="98" t="s">
        <v>1781</v>
      </c>
      <c r="B162" s="98" t="s">
        <v>85</v>
      </c>
      <c r="C162" s="46" t="s">
        <v>150</v>
      </c>
      <c r="D162" s="98" t="s">
        <v>456</v>
      </c>
      <c r="E162" s="98" t="s">
        <v>219</v>
      </c>
      <c r="F162" s="46" t="s">
        <v>1882</v>
      </c>
      <c r="G162" s="134" t="s">
        <v>1897</v>
      </c>
      <c r="H162" s="46" t="s">
        <v>19</v>
      </c>
      <c r="I162" s="129">
        <v>46034</v>
      </c>
      <c r="J162" s="132"/>
      <c r="K162" s="46" t="s">
        <v>950</v>
      </c>
      <c r="L162" s="123">
        <f>VLOOKUP($C162&amp;$E162,'Updated SES'!A:N,14,0)</f>
        <v>24.425800000000002</v>
      </c>
      <c r="M162" s="124" t="e">
        <f>VLOOKUP($K162,'Genre Penetration'!A:B,2,0)*VLOOKUP($C162&amp;$E162,'Updated SES'!A:I,9,0)</f>
        <v>#N/A</v>
      </c>
      <c r="N162" s="124" t="e">
        <f>VLOOKUP(K:K,'Genre Penetration'!A:C,3,0)*VLOOKUP($C162&amp;$E162,'Updated SES'!A:J,10,0)</f>
        <v>#N/A</v>
      </c>
      <c r="O162" s="124">
        <f>VLOOKUP($B162,'Language Penetration'!$B$1:$BE$14,MATCH('Compile data Working'!$H60,'Language Penetration'!$B$1:$BE$1,0),0)</f>
        <v>0.6</v>
      </c>
      <c r="P162" s="124" t="str">
        <f t="shared" ca="1" si="6"/>
        <v>1%</v>
      </c>
      <c r="Q162" s="123" t="e">
        <f t="shared" ca="1" si="7"/>
        <v>#N/A</v>
      </c>
      <c r="R162" s="125">
        <f>VLOOKUP(D:D,ranking!W:X,2,0)</f>
        <v>0.3</v>
      </c>
      <c r="S162" s="126" t="e">
        <f t="shared" ca="1" si="8"/>
        <v>#N/A</v>
      </c>
      <c r="T162" s="123">
        <v>0.97286322788761825</v>
      </c>
    </row>
    <row r="163" spans="1:20" x14ac:dyDescent="0.25">
      <c r="A163" s="98" t="s">
        <v>1781</v>
      </c>
      <c r="B163" s="98" t="s">
        <v>85</v>
      </c>
      <c r="C163" s="46" t="s">
        <v>879</v>
      </c>
      <c r="D163" s="46" t="s">
        <v>1838</v>
      </c>
      <c r="E163" s="98" t="s">
        <v>219</v>
      </c>
      <c r="F163" s="46" t="s">
        <v>215</v>
      </c>
      <c r="G163" s="134" t="s">
        <v>1898</v>
      </c>
      <c r="H163" s="46" t="s">
        <v>19</v>
      </c>
      <c r="I163" s="129">
        <v>44868</v>
      </c>
      <c r="J163" s="132"/>
      <c r="K163" s="46" t="s">
        <v>1940</v>
      </c>
      <c r="L163" s="123">
        <f>VLOOKUP($C163&amp;$E163,'Updated SES'!A:N,14,0)</f>
        <v>78.939870000000013</v>
      </c>
      <c r="M163" s="124" t="e">
        <f>VLOOKUP($K163,'Genre Penetration'!A:B,2,0)*VLOOKUP($C163&amp;$E163,'Updated SES'!A:I,9,0)</f>
        <v>#N/A</v>
      </c>
      <c r="N163" s="124" t="e">
        <f>VLOOKUP(K:K,'Genre Penetration'!A:C,3,0)*VLOOKUP($C163&amp;$E163,'Updated SES'!A:J,10,0)</f>
        <v>#N/A</v>
      </c>
      <c r="O163" s="124">
        <f>VLOOKUP($B163,'Language Penetration'!$B$1:$BE$14,MATCH('Compile data Working'!$H82,'Language Penetration'!$B$1:$BE$1,0),0)</f>
        <v>0.6</v>
      </c>
      <c r="P163" s="124" t="str">
        <f t="shared" ca="1" si="6"/>
        <v>1%</v>
      </c>
      <c r="Q163" s="123" t="e">
        <f t="shared" ca="1" si="7"/>
        <v>#N/A</v>
      </c>
      <c r="R163" s="125">
        <f>VLOOKUP(D:D,ranking!W:X,2,0)</f>
        <v>0.6</v>
      </c>
      <c r="S163" s="126" t="e">
        <f t="shared" ca="1" si="8"/>
        <v>#N/A</v>
      </c>
      <c r="T163" s="123">
        <v>0.95392961875341897</v>
      </c>
    </row>
    <row r="164" spans="1:20" x14ac:dyDescent="0.25">
      <c r="A164" s="98" t="s">
        <v>1781</v>
      </c>
      <c r="B164" s="98" t="s">
        <v>85</v>
      </c>
      <c r="C164" s="46" t="s">
        <v>64</v>
      </c>
      <c r="D164" s="46" t="s">
        <v>1012</v>
      </c>
      <c r="E164" s="119" t="s">
        <v>211</v>
      </c>
      <c r="F164" s="46" t="s">
        <v>215</v>
      </c>
      <c r="G164" s="134" t="s">
        <v>1899</v>
      </c>
      <c r="H164" s="46" t="s">
        <v>19</v>
      </c>
      <c r="I164" s="129">
        <v>46115</v>
      </c>
      <c r="J164" s="132"/>
      <c r="K164" s="46" t="s">
        <v>216</v>
      </c>
      <c r="L164" s="123">
        <f>VLOOKUP($C164&amp;$E164,'Updated SES'!A:N,14,0)</f>
        <v>36.498239999999996</v>
      </c>
      <c r="M164" s="124">
        <f>VLOOKUP($K164,'Genre Penetration'!A:B,2,0)*VLOOKUP($C164&amp;$E164,'Updated SES'!A:I,9,0)</f>
        <v>0.26</v>
      </c>
      <c r="N164" s="124">
        <f>VLOOKUP(K:K,'Genre Penetration'!A:C,3,0)*VLOOKUP($C164&amp;$E164,'Updated SES'!A:J,10,0)</f>
        <v>0.24</v>
      </c>
      <c r="O164" s="124" t="e">
        <f>VLOOKUP($B164,'Language Penetration'!$B$1:$BE$14,MATCH('Compile data Working'!#REF!,'Language Penetration'!$B$1:$BE$1,0),0)</f>
        <v>#REF!</v>
      </c>
      <c r="P164" s="124" t="str">
        <f t="shared" ca="1" si="6"/>
        <v>2%</v>
      </c>
      <c r="Q164" s="123" t="e">
        <f t="shared" ca="1" si="7"/>
        <v>#REF!</v>
      </c>
      <c r="R164" s="125">
        <f>VLOOKUP(D:D,ranking!W:X,2,0)</f>
        <v>0.6</v>
      </c>
      <c r="S164" s="126" t="e">
        <f t="shared" ca="1" si="8"/>
        <v>#REF!</v>
      </c>
      <c r="T164" s="123">
        <v>3.107270260775834</v>
      </c>
    </row>
    <row r="165" spans="1:20" x14ac:dyDescent="0.25">
      <c r="A165" s="98" t="s">
        <v>1781</v>
      </c>
      <c r="B165" s="98" t="s">
        <v>85</v>
      </c>
      <c r="C165" s="46" t="s">
        <v>64</v>
      </c>
      <c r="D165" s="46" t="s">
        <v>1013</v>
      </c>
      <c r="E165" s="119" t="s">
        <v>211</v>
      </c>
      <c r="F165" s="46" t="s">
        <v>213</v>
      </c>
      <c r="G165" s="134" t="s">
        <v>1900</v>
      </c>
      <c r="H165" s="46" t="s">
        <v>19</v>
      </c>
      <c r="I165" s="129" t="s">
        <v>254</v>
      </c>
      <c r="J165" s="131"/>
      <c r="K165" s="46" t="s">
        <v>970</v>
      </c>
      <c r="L165" s="123">
        <f>VLOOKUP($C165&amp;$E165,'Updated SES'!A:N,14,0)</f>
        <v>36.498239999999996</v>
      </c>
      <c r="M165" s="124">
        <f>VLOOKUP($K165,'Genre Penetration'!A:B,2,0)*VLOOKUP($C165&amp;$E165,'Updated SES'!A:I,9,0)</f>
        <v>0.26</v>
      </c>
      <c r="N165" s="124">
        <f>VLOOKUP(K:K,'Genre Penetration'!A:C,3,0)*VLOOKUP($C165&amp;$E165,'Updated SES'!A:J,10,0)</f>
        <v>0.24</v>
      </c>
      <c r="O165" s="124" t="e">
        <f>VLOOKUP($B165,'Language Penetration'!$B$1:$BE$14,MATCH('Compile data Working'!#REF!,'Language Penetration'!$B$1:$BE$1,0),0)</f>
        <v>#REF!</v>
      </c>
      <c r="P165" s="124" t="str">
        <f t="shared" ca="1" si="6"/>
        <v>2%</v>
      </c>
      <c r="Q165" s="123" t="e">
        <f t="shared" ca="1" si="7"/>
        <v>#REF!</v>
      </c>
      <c r="R165" s="125">
        <f>VLOOKUP(D:D,ranking!W:X,2,0)</f>
        <v>0.8</v>
      </c>
      <c r="S165" s="126" t="e">
        <f t="shared" ca="1" si="8"/>
        <v>#REF!</v>
      </c>
      <c r="T165" s="123">
        <v>1.0002396044824093</v>
      </c>
    </row>
    <row r="166" spans="1:20" x14ac:dyDescent="0.25">
      <c r="A166" s="98" t="s">
        <v>1781</v>
      </c>
      <c r="B166" s="98" t="s">
        <v>85</v>
      </c>
      <c r="C166" s="46" t="s">
        <v>1988</v>
      </c>
      <c r="D166" s="98" t="s">
        <v>456</v>
      </c>
      <c r="E166" s="98" t="s">
        <v>211</v>
      </c>
      <c r="F166" s="46" t="s">
        <v>1882</v>
      </c>
      <c r="G166" s="134" t="s">
        <v>1834</v>
      </c>
      <c r="H166" s="46" t="s">
        <v>19</v>
      </c>
      <c r="I166" s="129">
        <v>44145</v>
      </c>
      <c r="J166" s="132"/>
      <c r="K166" s="46" t="s">
        <v>216</v>
      </c>
      <c r="L166" s="123">
        <f>VLOOKUP($C166&amp;$E166,'Updated SES'!A:N,14,0)</f>
        <v>127.11702000000001</v>
      </c>
      <c r="M166" s="124">
        <f>VLOOKUP($K166,'Genre Penetration'!A:B,2,0)*VLOOKUP($C166&amp;$E166,'Updated SES'!A:I,9,0)</f>
        <v>0.33499999999999996</v>
      </c>
      <c r="N166" s="124">
        <f>VLOOKUP(K:K,'Genre Penetration'!A:C,3,0)*VLOOKUP($C166&amp;$E166,'Updated SES'!A:J,10,0)</f>
        <v>0.16499999999999998</v>
      </c>
      <c r="O166" s="124">
        <f>VLOOKUP($B166,'Language Penetration'!$B$1:$BE$14,MATCH('Compile data Working'!$H101,'Language Penetration'!$B$1:$BE$1,0),0)</f>
        <v>0.1</v>
      </c>
      <c r="P166" s="124" t="str">
        <f t="shared" ca="1" si="6"/>
        <v>1%</v>
      </c>
      <c r="Q166" s="123">
        <f t="shared" ca="1" si="7"/>
        <v>6.3558509999999999E-2</v>
      </c>
      <c r="R166" s="125">
        <f>VLOOKUP(D:D,ranking!W:X,2,0)</f>
        <v>0.3</v>
      </c>
      <c r="S166" s="126">
        <f t="shared" ca="1" si="8"/>
        <v>1.9067552999999998E-2</v>
      </c>
      <c r="T166" s="123">
        <v>3.5167133437945974</v>
      </c>
    </row>
    <row r="167" spans="1:20" x14ac:dyDescent="0.25">
      <c r="A167" s="98" t="s">
        <v>1781</v>
      </c>
      <c r="B167" s="98" t="s">
        <v>85</v>
      </c>
      <c r="C167" s="46" t="s">
        <v>64</v>
      </c>
      <c r="D167" s="46" t="s">
        <v>1013</v>
      </c>
      <c r="E167" s="119" t="s">
        <v>211</v>
      </c>
      <c r="F167" s="46" t="s">
        <v>213</v>
      </c>
      <c r="G167" s="134" t="s">
        <v>1866</v>
      </c>
      <c r="H167" s="46" t="s">
        <v>23</v>
      </c>
      <c r="I167" s="129">
        <v>46136</v>
      </c>
      <c r="J167" s="131"/>
      <c r="K167" s="46" t="s">
        <v>124</v>
      </c>
      <c r="L167" s="123">
        <f>VLOOKUP($C167&amp;$E167,'Updated SES'!A:N,14,0)</f>
        <v>36.498239999999996</v>
      </c>
      <c r="M167" s="124">
        <f>VLOOKUP($K167,'Genre Penetration'!A:B,2,0)*VLOOKUP($C167&amp;$E167,'Updated SES'!A:I,9,0)</f>
        <v>0.23400000000000001</v>
      </c>
      <c r="N167" s="124">
        <f>VLOOKUP(K:K,'Genre Penetration'!A:C,3,0)*VLOOKUP($C167&amp;$E167,'Updated SES'!A:J,10,0)</f>
        <v>0.26400000000000001</v>
      </c>
      <c r="O167" s="124" t="e">
        <f>VLOOKUP($B167,'Language Penetration'!$B$1:$BE$14,MATCH('Compile data Working'!$H106,'Language Penetration'!$B$1:$BE$1,0),0)</f>
        <v>#N/A</v>
      </c>
      <c r="P167" s="124" t="str">
        <f t="shared" ca="1" si="6"/>
        <v>2%</v>
      </c>
      <c r="Q167" s="123" t="e">
        <f t="shared" ca="1" si="7"/>
        <v>#N/A</v>
      </c>
      <c r="R167" s="125">
        <f>VLOOKUP(D:D,ranking!W:X,2,0)</f>
        <v>0.8</v>
      </c>
      <c r="S167" s="126" t="e">
        <f t="shared" ca="1" si="8"/>
        <v>#N/A</v>
      </c>
      <c r="T167" s="123">
        <v>1.5861584305879735</v>
      </c>
    </row>
    <row r="168" spans="1:20" x14ac:dyDescent="0.25">
      <c r="A168" s="98" t="s">
        <v>1781</v>
      </c>
      <c r="B168" s="98" t="s">
        <v>85</v>
      </c>
      <c r="C168" s="46" t="s">
        <v>123</v>
      </c>
      <c r="D168" s="46" t="s">
        <v>1013</v>
      </c>
      <c r="E168" s="119" t="s">
        <v>211</v>
      </c>
      <c r="F168" s="46" t="s">
        <v>213</v>
      </c>
      <c r="G168" s="134" t="s">
        <v>1867</v>
      </c>
      <c r="H168" s="46" t="s">
        <v>19</v>
      </c>
      <c r="I168" s="129">
        <v>46108</v>
      </c>
      <c r="J168" s="131"/>
      <c r="K168" s="46" t="s">
        <v>1076</v>
      </c>
      <c r="L168" s="123">
        <f>VLOOKUP($C168&amp;$E168,'Updated SES'!A:N,14,0)</f>
        <v>55.459200000000003</v>
      </c>
      <c r="M168" s="124">
        <f>VLOOKUP($K168,'Genre Penetration'!A:B,2,0)*VLOOKUP($C168&amp;$E168,'Updated SES'!A:I,9,0)</f>
        <v>0.26950000000000002</v>
      </c>
      <c r="N168" s="124">
        <f>VLOOKUP(K:K,'Genre Penetration'!A:C,3,0)*VLOOKUP($C168&amp;$E168,'Updated SES'!A:J,10,0)</f>
        <v>0.22950000000000001</v>
      </c>
      <c r="O168" s="124" t="e">
        <f>VLOOKUP($B168,'Language Penetration'!$B$1:$BE$14,MATCH('Compile data Working'!$H107,'Language Penetration'!$B$1:$BE$1,0),0)</f>
        <v>#N/A</v>
      </c>
      <c r="P168" s="124" t="str">
        <f t="shared" ca="1" si="6"/>
        <v>2%</v>
      </c>
      <c r="Q168" s="123" t="e">
        <f t="shared" ca="1" si="7"/>
        <v>#N/A</v>
      </c>
      <c r="R168" s="125">
        <f>VLOOKUP(D:D,ranking!W:X,2,0)</f>
        <v>0.8</v>
      </c>
      <c r="S168" s="126" t="e">
        <f t="shared" ca="1" si="8"/>
        <v>#N/A</v>
      </c>
      <c r="T168" s="123">
        <v>0.57984071709184581</v>
      </c>
    </row>
    <row r="169" spans="1:20" x14ac:dyDescent="0.25">
      <c r="A169" s="98" t="s">
        <v>1781</v>
      </c>
      <c r="B169" s="98" t="s">
        <v>85</v>
      </c>
      <c r="C169" s="46" t="s">
        <v>1988</v>
      </c>
      <c r="D169" s="46" t="s">
        <v>1013</v>
      </c>
      <c r="E169" s="119" t="s">
        <v>211</v>
      </c>
      <c r="F169" s="46" t="s">
        <v>213</v>
      </c>
      <c r="G169" s="134" t="s">
        <v>1835</v>
      </c>
      <c r="H169" s="46" t="s">
        <v>19</v>
      </c>
      <c r="I169" s="129">
        <v>46023</v>
      </c>
      <c r="J169" s="131"/>
      <c r="K169" s="46" t="s">
        <v>1087</v>
      </c>
      <c r="L169" s="123">
        <f>VLOOKUP($C169&amp;$E169,'Updated SES'!A:N,14,0)</f>
        <v>127.11702000000001</v>
      </c>
      <c r="M169" s="124">
        <f>VLOOKUP($K169,'Genre Penetration'!A:B,2,0)*VLOOKUP($C169&amp;$E169,'Updated SES'!A:I,9,0)</f>
        <v>0.35509999999999997</v>
      </c>
      <c r="N169" s="124">
        <f>VLOOKUP(K:K,'Genre Penetration'!A:C,3,0)*VLOOKUP($C169&amp;$E169,'Updated SES'!A:J,10,0)</f>
        <v>0.15509999999999996</v>
      </c>
      <c r="O169" s="124">
        <f>VLOOKUP($B169,'Language Penetration'!$B$1:$BE$14,MATCH('Compile data Working'!$H108,'Language Penetration'!$B$1:$BE$1,0),0)</f>
        <v>0.6</v>
      </c>
      <c r="P169" s="124" t="str">
        <f t="shared" ca="1" si="6"/>
        <v>2%</v>
      </c>
      <c r="Q169" s="123">
        <f t="shared" ca="1" si="7"/>
        <v>0.77826124324800006</v>
      </c>
      <c r="R169" s="125">
        <f>VLOOKUP(D:D,ranking!W:X,2,0)</f>
        <v>0.8</v>
      </c>
      <c r="S169" s="126">
        <f t="shared" ca="1" si="8"/>
        <v>0.62260899459840013</v>
      </c>
      <c r="T169" s="123">
        <v>0.68750539081827078</v>
      </c>
    </row>
    <row r="170" spans="1:20" x14ac:dyDescent="0.25">
      <c r="A170" s="98" t="s">
        <v>1781</v>
      </c>
      <c r="B170" s="98" t="s">
        <v>85</v>
      </c>
      <c r="C170" s="46" t="s">
        <v>879</v>
      </c>
      <c r="D170" s="46" t="s">
        <v>1838</v>
      </c>
      <c r="E170" s="98" t="s">
        <v>219</v>
      </c>
      <c r="F170" s="46" t="s">
        <v>215</v>
      </c>
      <c r="G170" s="134" t="s">
        <v>1868</v>
      </c>
      <c r="H170" s="46" t="s">
        <v>19</v>
      </c>
      <c r="I170" s="129">
        <v>44518</v>
      </c>
      <c r="J170" s="133"/>
      <c r="K170" s="46" t="s">
        <v>1076</v>
      </c>
      <c r="L170" s="123">
        <f>VLOOKUP($C170&amp;$E170,'Updated SES'!A:N,14,0)</f>
        <v>78.939870000000013</v>
      </c>
      <c r="M170" s="124">
        <f>VLOOKUP($K170,'Genre Penetration'!A:B,2,0)*VLOOKUP($C170&amp;$E170,'Updated SES'!A:I,9,0)</f>
        <v>0.44000000000000006</v>
      </c>
      <c r="N170" s="124">
        <f>VLOOKUP(K:K,'Genre Penetration'!A:C,3,0)*VLOOKUP($C170&amp;$E170,'Updated SES'!A:J,10,0)</f>
        <v>9.0000000000000011E-2</v>
      </c>
      <c r="O170" s="124" t="e">
        <f>VLOOKUP($B170,'Language Penetration'!$B$1:$BE$14,MATCH('Compile data Working'!$H109,'Language Penetration'!$B$1:$BE$1,0),0)</f>
        <v>#N/A</v>
      </c>
      <c r="P170" s="124" t="str">
        <f t="shared" ca="1" si="6"/>
        <v>1%</v>
      </c>
      <c r="Q170" s="123" t="e">
        <f t="shared" ca="1" si="7"/>
        <v>#N/A</v>
      </c>
      <c r="R170" s="125">
        <f>VLOOKUP(D:D,ranking!W:X,2,0)</f>
        <v>0.6</v>
      </c>
      <c r="S170" s="126" t="e">
        <f t="shared" ca="1" si="8"/>
        <v>#N/A</v>
      </c>
      <c r="T170" s="123">
        <v>0.99648044465361063</v>
      </c>
    </row>
    <row r="171" spans="1:20" x14ac:dyDescent="0.25">
      <c r="A171" s="98" t="s">
        <v>1781</v>
      </c>
      <c r="B171" s="98" t="s">
        <v>85</v>
      </c>
      <c r="C171" s="46" t="s">
        <v>1988</v>
      </c>
      <c r="D171" s="98" t="s">
        <v>456</v>
      </c>
      <c r="E171" s="98" t="s">
        <v>211</v>
      </c>
      <c r="F171" s="46" t="s">
        <v>1882</v>
      </c>
      <c r="G171" s="134" t="s">
        <v>1901</v>
      </c>
      <c r="H171" s="46" t="s">
        <v>29</v>
      </c>
      <c r="I171" s="129">
        <v>46027</v>
      </c>
      <c r="J171" s="133"/>
      <c r="K171" s="46" t="s">
        <v>1083</v>
      </c>
      <c r="L171" s="123">
        <f>VLOOKUP($C171&amp;$E171,'Updated SES'!A:N,14,0)</f>
        <v>127.11702000000001</v>
      </c>
      <c r="M171" s="124">
        <f>VLOOKUP($K171,'Genre Penetration'!A:B,2,0)*VLOOKUP($C171&amp;$E171,'Updated SES'!A:I,9,0)</f>
        <v>0.33499999999999996</v>
      </c>
      <c r="N171" s="124">
        <f>VLOOKUP(K:K,'Genre Penetration'!A:C,3,0)*VLOOKUP($C171&amp;$E171,'Updated SES'!A:J,10,0)</f>
        <v>0.16499999999999998</v>
      </c>
      <c r="O171" s="124" t="e">
        <f>VLOOKUP($B171,'Language Penetration'!$B$1:$BE$14,MATCH('Compile data Working'!$H110,'Language Penetration'!$B$1:$BE$1,0),0)</f>
        <v>#N/A</v>
      </c>
      <c r="P171" s="124" t="str">
        <f t="shared" ca="1" si="6"/>
        <v>1%</v>
      </c>
      <c r="Q171" s="123" t="e">
        <f t="shared" ca="1" si="7"/>
        <v>#N/A</v>
      </c>
      <c r="R171" s="125">
        <f>VLOOKUP(D:D,ranking!W:X,2,0)</f>
        <v>0.3</v>
      </c>
      <c r="S171" s="126" t="e">
        <f t="shared" ca="1" si="8"/>
        <v>#N/A</v>
      </c>
      <c r="T171" s="123">
        <v>4.2990164363614909</v>
      </c>
    </row>
    <row r="172" spans="1:20" x14ac:dyDescent="0.25">
      <c r="A172" s="98" t="s">
        <v>1781</v>
      </c>
      <c r="B172" s="98" t="s">
        <v>85</v>
      </c>
      <c r="C172" s="46" t="s">
        <v>64</v>
      </c>
      <c r="D172" s="46" t="s">
        <v>1012</v>
      </c>
      <c r="E172" s="119" t="s">
        <v>211</v>
      </c>
      <c r="F172" s="46" t="s">
        <v>215</v>
      </c>
      <c r="G172" s="134" t="s">
        <v>1902</v>
      </c>
      <c r="H172" s="46" t="s">
        <v>19</v>
      </c>
      <c r="I172" s="129">
        <v>44694</v>
      </c>
      <c r="J172" s="133"/>
      <c r="K172" s="46" t="s">
        <v>1941</v>
      </c>
      <c r="L172" s="123">
        <f>VLOOKUP($C172&amp;$E172,'Updated SES'!A:N,14,0)</f>
        <v>36.498239999999996</v>
      </c>
      <c r="M172" s="124" t="e">
        <f>VLOOKUP($K172,'Genre Penetration'!A:B,2,0)*VLOOKUP($C172&amp;$E172,'Updated SES'!A:I,9,0)</f>
        <v>#N/A</v>
      </c>
      <c r="N172" s="124" t="e">
        <f>VLOOKUP(K:K,'Genre Penetration'!A:C,3,0)*VLOOKUP($C172&amp;$E172,'Updated SES'!A:J,10,0)</f>
        <v>#N/A</v>
      </c>
      <c r="O172" s="124">
        <f>VLOOKUP($B172,'Language Penetration'!$B$1:$BE$14,MATCH('Compile data Working'!$H116,'Language Penetration'!$B$1:$BE$1,0),0)</f>
        <v>0.12</v>
      </c>
      <c r="P172" s="124" t="str">
        <f t="shared" ca="1" si="6"/>
        <v>1%</v>
      </c>
      <c r="Q172" s="123" t="e">
        <f t="shared" ca="1" si="7"/>
        <v>#N/A</v>
      </c>
      <c r="R172" s="125">
        <f>VLOOKUP(D:D,ranking!W:X,2,0)</f>
        <v>0.6</v>
      </c>
      <c r="S172" s="126" t="e">
        <f t="shared" ca="1" si="8"/>
        <v>#N/A</v>
      </c>
      <c r="T172" s="123">
        <v>1.0350343170190022</v>
      </c>
    </row>
    <row r="173" spans="1:20" x14ac:dyDescent="0.25">
      <c r="A173" s="98" t="s">
        <v>1781</v>
      </c>
      <c r="B173" s="98" t="s">
        <v>85</v>
      </c>
      <c r="C173" s="46" t="s">
        <v>123</v>
      </c>
      <c r="D173" s="46" t="s">
        <v>1013</v>
      </c>
      <c r="E173" s="119" t="s">
        <v>211</v>
      </c>
      <c r="F173" s="46" t="s">
        <v>213</v>
      </c>
      <c r="G173" s="134" t="s">
        <v>1903</v>
      </c>
      <c r="H173" s="46" t="s">
        <v>26</v>
      </c>
      <c r="I173" s="129">
        <v>46150</v>
      </c>
      <c r="J173" s="133"/>
      <c r="K173" s="46" t="s">
        <v>1932</v>
      </c>
      <c r="L173" s="123">
        <f>VLOOKUP($C173&amp;$E173,'Updated SES'!A:N,14,0)</f>
        <v>55.459200000000003</v>
      </c>
      <c r="M173" s="124" t="e">
        <f>VLOOKUP($K173,'Genre Penetration'!A:B,2,0)*VLOOKUP($C173&amp;$E173,'Updated SES'!A:I,9,0)</f>
        <v>#N/A</v>
      </c>
      <c r="N173" s="124" t="e">
        <f>VLOOKUP(K:K,'Genre Penetration'!A:C,3,0)*VLOOKUP($C173&amp;$E173,'Updated SES'!A:J,10,0)</f>
        <v>#N/A</v>
      </c>
      <c r="O173" s="124" t="e">
        <f>VLOOKUP($B173,'Language Penetration'!$B$1:$BE$14,MATCH('Compile data Working'!$H115,'Language Penetration'!$B$1:$BE$1,0),0)</f>
        <v>#N/A</v>
      </c>
      <c r="P173" s="124" t="str">
        <f t="shared" ca="1" si="6"/>
        <v>2%</v>
      </c>
      <c r="Q173" s="123" t="e">
        <f t="shared" ca="1" si="7"/>
        <v>#N/A</v>
      </c>
      <c r="R173" s="125">
        <f>VLOOKUP(D:D,ranking!W:X,2,0)</f>
        <v>0.8</v>
      </c>
      <c r="S173" s="126" t="e">
        <f t="shared" ca="1" si="8"/>
        <v>#N/A</v>
      </c>
      <c r="T173" s="123">
        <v>1.5737605273997481</v>
      </c>
    </row>
    <row r="174" spans="1:20" x14ac:dyDescent="0.25">
      <c r="A174" s="98" t="s">
        <v>1781</v>
      </c>
      <c r="B174" s="98" t="s">
        <v>85</v>
      </c>
      <c r="C174" s="46" t="s">
        <v>150</v>
      </c>
      <c r="D174" s="46" t="s">
        <v>1013</v>
      </c>
      <c r="E174" s="119" t="s">
        <v>211</v>
      </c>
      <c r="F174" s="46" t="s">
        <v>213</v>
      </c>
      <c r="G174" s="134" t="s">
        <v>1904</v>
      </c>
      <c r="H174" s="46" t="s">
        <v>19</v>
      </c>
      <c r="I174" s="129">
        <v>45695</v>
      </c>
      <c r="J174" s="133"/>
      <c r="K174" s="46" t="s">
        <v>216</v>
      </c>
      <c r="L174" s="123">
        <f>VLOOKUP($C174&amp;$E174,'Updated SES'!A:N,14,0)</f>
        <v>60.152000000000001</v>
      </c>
      <c r="M174" s="124">
        <f>VLOOKUP($K174,'Genre Penetration'!A:B,2,0)*VLOOKUP($C174&amp;$E174,'Updated SES'!A:I,9,0)</f>
        <v>0.32500000000000001</v>
      </c>
      <c r="N174" s="124">
        <f>VLOOKUP(K:K,'Genre Penetration'!A:C,3,0)*VLOOKUP($C174&amp;$E174,'Updated SES'!A:J,10,0)</f>
        <v>0.17499999999999999</v>
      </c>
      <c r="O174" s="124" t="e">
        <f>VLOOKUP($B174,'Language Penetration'!$B$1:$BE$14,MATCH('Compile data Working'!$H120,'Language Penetration'!$B$1:$BE$1,0),0)</f>
        <v>#N/A</v>
      </c>
      <c r="P174" s="124" t="str">
        <f t="shared" ca="1" si="6"/>
        <v>2%</v>
      </c>
      <c r="Q174" s="123" t="e">
        <f t="shared" ca="1" si="7"/>
        <v>#N/A</v>
      </c>
      <c r="R174" s="125">
        <f>VLOOKUP(D:D,ranking!W:X,2,0)</f>
        <v>0.8</v>
      </c>
      <c r="S174" s="126" t="e">
        <f t="shared" ca="1" si="8"/>
        <v>#N/A</v>
      </c>
      <c r="T174" s="123">
        <v>0.95378323811998234</v>
      </c>
    </row>
    <row r="175" spans="1:20" x14ac:dyDescent="0.25">
      <c r="A175" s="98" t="s">
        <v>1781</v>
      </c>
      <c r="B175" s="98" t="s">
        <v>85</v>
      </c>
      <c r="C175" s="46" t="s">
        <v>879</v>
      </c>
      <c r="D175" s="46" t="s">
        <v>1838</v>
      </c>
      <c r="E175" s="98" t="s">
        <v>219</v>
      </c>
      <c r="F175" s="46" t="s">
        <v>215</v>
      </c>
      <c r="G175" s="134" t="s">
        <v>1905</v>
      </c>
      <c r="H175" s="46" t="s">
        <v>19</v>
      </c>
      <c r="I175" s="129" t="s">
        <v>254</v>
      </c>
      <c r="J175" s="133"/>
      <c r="K175" s="46" t="s">
        <v>1940</v>
      </c>
      <c r="L175" s="123">
        <f>VLOOKUP($C175&amp;$E175,'Updated SES'!A:N,14,0)</f>
        <v>78.939870000000013</v>
      </c>
      <c r="M175" s="124" t="e">
        <f>VLOOKUP($K175,'Genre Penetration'!A:B,2,0)*VLOOKUP($C175&amp;$E175,'Updated SES'!A:I,9,0)</f>
        <v>#N/A</v>
      </c>
      <c r="N175" s="124" t="e">
        <f>VLOOKUP(K:K,'Genre Penetration'!A:C,3,0)*VLOOKUP($C175&amp;$E175,'Updated SES'!A:J,10,0)</f>
        <v>#N/A</v>
      </c>
      <c r="O175" s="124" t="e">
        <f>VLOOKUP($B175,'Language Penetration'!$B$1:$BE$14,MATCH('Compile data Working'!#REF!,'Language Penetration'!$B$1:$BE$1,0),0)</f>
        <v>#REF!</v>
      </c>
      <c r="P175" s="124" t="str">
        <f t="shared" ca="1" si="6"/>
        <v>2%</v>
      </c>
      <c r="Q175" s="123" t="e">
        <f t="shared" ca="1" si="7"/>
        <v>#N/A</v>
      </c>
      <c r="R175" s="125">
        <f>VLOOKUP(D:D,ranking!W:X,2,0)</f>
        <v>0.6</v>
      </c>
      <c r="S175" s="126" t="e">
        <f t="shared" ca="1" si="8"/>
        <v>#N/A</v>
      </c>
      <c r="T175" s="123">
        <v>0.13554643350803774</v>
      </c>
    </row>
    <row r="176" spans="1:20" x14ac:dyDescent="0.25">
      <c r="A176" s="98" t="s">
        <v>1781</v>
      </c>
      <c r="B176" s="98" t="s">
        <v>85</v>
      </c>
      <c r="C176" s="46" t="s">
        <v>1988</v>
      </c>
      <c r="D176" s="98" t="s">
        <v>456</v>
      </c>
      <c r="E176" s="98" t="s">
        <v>211</v>
      </c>
      <c r="F176" s="46" t="s">
        <v>1882</v>
      </c>
      <c r="G176" s="134" t="s">
        <v>1906</v>
      </c>
      <c r="H176" s="46" t="s">
        <v>19</v>
      </c>
      <c r="I176" s="129">
        <v>46018</v>
      </c>
      <c r="J176" s="133"/>
      <c r="K176" s="46" t="s">
        <v>1942</v>
      </c>
      <c r="L176" s="123">
        <f>VLOOKUP($C176&amp;$E176,'Updated SES'!A:N,14,0)</f>
        <v>127.11702000000001</v>
      </c>
      <c r="M176" s="124" t="e">
        <f>VLOOKUP($K176,'Genre Penetration'!A:B,2,0)*VLOOKUP($C176&amp;$E176,'Updated SES'!A:I,9,0)</f>
        <v>#N/A</v>
      </c>
      <c r="N176" s="124" t="e">
        <f>VLOOKUP(K:K,'Genre Penetration'!A:C,3,0)*VLOOKUP($C176&amp;$E176,'Updated SES'!A:J,10,0)</f>
        <v>#N/A</v>
      </c>
      <c r="O176" s="124">
        <f>VLOOKUP($B176,'Language Penetration'!$B$1:$BE$14,MATCH('Compile data Working'!$H118,'Language Penetration'!$B$1:$BE$1,0),0)</f>
        <v>0.6</v>
      </c>
      <c r="P176" s="124" t="str">
        <f t="shared" ca="1" si="6"/>
        <v>2%</v>
      </c>
      <c r="Q176" s="123" t="e">
        <f t="shared" ca="1" si="7"/>
        <v>#N/A</v>
      </c>
      <c r="R176" s="125">
        <f>VLOOKUP(D:D,ranking!W:X,2,0)</f>
        <v>0.3</v>
      </c>
      <c r="S176" s="126" t="e">
        <f t="shared" ca="1" si="8"/>
        <v>#N/A</v>
      </c>
      <c r="T176" s="123">
        <v>23.044410272643901</v>
      </c>
    </row>
    <row r="177" spans="1:20" x14ac:dyDescent="0.25">
      <c r="A177" s="98" t="s">
        <v>1781</v>
      </c>
      <c r="B177" s="98" t="s">
        <v>85</v>
      </c>
      <c r="C177" s="46" t="s">
        <v>1988</v>
      </c>
      <c r="D177" s="98" t="s">
        <v>456</v>
      </c>
      <c r="E177" s="98" t="s">
        <v>211</v>
      </c>
      <c r="F177" s="46" t="s">
        <v>1882</v>
      </c>
      <c r="G177" s="134" t="s">
        <v>1787</v>
      </c>
      <c r="H177" s="46" t="s">
        <v>1928</v>
      </c>
      <c r="I177" s="129">
        <v>44065</v>
      </c>
      <c r="J177" s="133"/>
      <c r="K177" s="46" t="s">
        <v>1943</v>
      </c>
      <c r="L177" s="123">
        <f>VLOOKUP($C177&amp;$E177,'Updated SES'!A:N,14,0)</f>
        <v>127.11702000000001</v>
      </c>
      <c r="M177" s="124" t="e">
        <f>VLOOKUP($K177,'Genre Penetration'!A:B,2,0)*VLOOKUP($C177&amp;$E177,'Updated SES'!A:I,9,0)</f>
        <v>#N/A</v>
      </c>
      <c r="N177" s="124" t="e">
        <f>VLOOKUP(K:K,'Genre Penetration'!A:C,3,0)*VLOOKUP($C177&amp;$E177,'Updated SES'!A:J,10,0)</f>
        <v>#N/A</v>
      </c>
      <c r="O177" s="124" t="e">
        <f>VLOOKUP($B177,'Language Penetration'!$B$1:$BE$14,MATCH('Compile data Working'!$H122,'Language Penetration'!$B$1:$BE$1,0),0)</f>
        <v>#N/A</v>
      </c>
      <c r="P177" s="124" t="str">
        <f t="shared" ca="1" si="6"/>
        <v>2%</v>
      </c>
      <c r="Q177" s="123" t="e">
        <f t="shared" ca="1" si="7"/>
        <v>#N/A</v>
      </c>
      <c r="R177" s="125">
        <f>VLOOKUP(D:D,ranking!W:X,2,0)</f>
        <v>0.3</v>
      </c>
      <c r="S177" s="126" t="e">
        <f t="shared" ca="1" si="8"/>
        <v>#N/A</v>
      </c>
      <c r="T177" s="123">
        <v>1.273015181811191E-2</v>
      </c>
    </row>
    <row r="178" spans="1:20" x14ac:dyDescent="0.25">
      <c r="A178" s="98" t="s">
        <v>1781</v>
      </c>
      <c r="B178" s="98" t="s">
        <v>85</v>
      </c>
      <c r="C178" s="46" t="s">
        <v>1988</v>
      </c>
      <c r="D178" s="98" t="s">
        <v>456</v>
      </c>
      <c r="E178" s="98" t="s">
        <v>211</v>
      </c>
      <c r="F178" s="46" t="s">
        <v>1882</v>
      </c>
      <c r="G178" s="134" t="s">
        <v>1869</v>
      </c>
      <c r="H178" s="46" t="s">
        <v>19</v>
      </c>
      <c r="I178" s="129">
        <v>46132</v>
      </c>
      <c r="J178" s="133"/>
      <c r="K178" s="46" t="s">
        <v>970</v>
      </c>
      <c r="L178" s="123">
        <f>VLOOKUP($C178&amp;$E178,'Updated SES'!A:N,14,0)</f>
        <v>127.11702000000001</v>
      </c>
      <c r="M178" s="124">
        <f>VLOOKUP($K178,'Genre Penetration'!A:B,2,0)*VLOOKUP($C178&amp;$E178,'Updated SES'!A:I,9,0)</f>
        <v>0.33499999999999996</v>
      </c>
      <c r="N178" s="124">
        <f>VLOOKUP(K:K,'Genre Penetration'!A:C,3,0)*VLOOKUP($C178&amp;$E178,'Updated SES'!A:J,10,0)</f>
        <v>0.16499999999999998</v>
      </c>
      <c r="O178" s="124" t="e">
        <f>VLOOKUP($B178,'Language Penetration'!$B$1:$BE$14,MATCH('Compile data Working'!$H124,'Language Penetration'!$B$1:$BE$1,0),0)</f>
        <v>#N/A</v>
      </c>
      <c r="P178" s="124" t="str">
        <f t="shared" ca="1" si="6"/>
        <v>2%</v>
      </c>
      <c r="Q178" s="123" t="e">
        <f t="shared" ca="1" si="7"/>
        <v>#N/A</v>
      </c>
      <c r="R178" s="125">
        <f>VLOOKUP(D:D,ranking!W:X,2,0)</f>
        <v>0.3</v>
      </c>
      <c r="S178" s="126" t="e">
        <f t="shared" ca="1" si="8"/>
        <v>#N/A</v>
      </c>
      <c r="T178" s="123">
        <v>6.652783397376</v>
      </c>
    </row>
    <row r="179" spans="1:20" x14ac:dyDescent="0.25">
      <c r="A179" s="98" t="s">
        <v>1781</v>
      </c>
      <c r="B179" s="98" t="s">
        <v>85</v>
      </c>
      <c r="C179" s="46" t="s">
        <v>879</v>
      </c>
      <c r="D179" s="46" t="s">
        <v>220</v>
      </c>
      <c r="E179" s="98" t="s">
        <v>219</v>
      </c>
      <c r="F179" s="46" t="s">
        <v>213</v>
      </c>
      <c r="G179" s="134" t="s">
        <v>1907</v>
      </c>
      <c r="H179" s="46" t="s">
        <v>19</v>
      </c>
      <c r="I179" s="129">
        <v>45380</v>
      </c>
      <c r="J179" s="133"/>
      <c r="K179" s="46" t="s">
        <v>1944</v>
      </c>
      <c r="L179" s="123">
        <f>VLOOKUP($C179&amp;$E179,'Updated SES'!A:N,14,0)</f>
        <v>78.939870000000013</v>
      </c>
      <c r="M179" s="124" t="e">
        <f>VLOOKUP($K179,'Genre Penetration'!A:B,2,0)*VLOOKUP($C179&amp;$E179,'Updated SES'!A:I,9,0)</f>
        <v>#N/A</v>
      </c>
      <c r="N179" s="124" t="e">
        <f>VLOOKUP(K:K,'Genre Penetration'!A:C,3,0)*VLOOKUP($C179&amp;$E179,'Updated SES'!A:J,10,0)</f>
        <v>#N/A</v>
      </c>
      <c r="O179" s="124">
        <f>VLOOKUP($B179,'Language Penetration'!$B$1:$BE$14,MATCH('Compile data Working'!$H128,'Language Penetration'!$B$1:$BE$1,0),0)</f>
        <v>0.6</v>
      </c>
      <c r="P179" s="124" t="str">
        <f t="shared" ca="1" si="6"/>
        <v>1%</v>
      </c>
      <c r="Q179" s="123" t="e">
        <f t="shared" ca="1" si="7"/>
        <v>#N/A</v>
      </c>
      <c r="R179" s="125" t="e">
        <f>VLOOKUP(D:D,ranking!W:X,2,0)</f>
        <v>#N/A</v>
      </c>
      <c r="S179" s="126" t="e">
        <f t="shared" ca="1" si="8"/>
        <v>#N/A</v>
      </c>
      <c r="T179" s="123">
        <v>1.5173068480787446</v>
      </c>
    </row>
    <row r="180" spans="1:20" x14ac:dyDescent="0.25">
      <c r="A180" s="98" t="s">
        <v>1781</v>
      </c>
      <c r="B180" s="98" t="s">
        <v>85</v>
      </c>
      <c r="C180" s="46" t="s">
        <v>1988</v>
      </c>
      <c r="D180" s="98" t="s">
        <v>456</v>
      </c>
      <c r="E180" s="98" t="s">
        <v>211</v>
      </c>
      <c r="F180" s="46" t="s">
        <v>1882</v>
      </c>
      <c r="G180" s="134" t="s">
        <v>1870</v>
      </c>
      <c r="H180" s="46" t="s">
        <v>1928</v>
      </c>
      <c r="I180" s="129">
        <v>45229</v>
      </c>
      <c r="J180" s="133"/>
      <c r="K180" s="46" t="s">
        <v>950</v>
      </c>
      <c r="L180" s="123">
        <f>VLOOKUP($C180&amp;$E180,'Updated SES'!A:N,14,0)</f>
        <v>127.11702000000001</v>
      </c>
      <c r="M180" s="124" t="e">
        <f>VLOOKUP($K180,'Genre Penetration'!A:B,2,0)*VLOOKUP($C180&amp;$E180,'Updated SES'!A:I,9,0)</f>
        <v>#N/A</v>
      </c>
      <c r="N180" s="124" t="e">
        <f>VLOOKUP(K:K,'Genre Penetration'!A:C,3,0)*VLOOKUP($C180&amp;$E180,'Updated SES'!A:J,10,0)</f>
        <v>#N/A</v>
      </c>
      <c r="O180" s="124" t="e">
        <f>VLOOKUP($B180,'Language Penetration'!$B$1:$BE$14,MATCH('Compile data Working'!#REF!,'Language Penetration'!$B$1:$BE$1,0),0)</f>
        <v>#REF!</v>
      </c>
      <c r="P180" s="124" t="str">
        <f t="shared" ca="1" si="6"/>
        <v>2%</v>
      </c>
      <c r="Q180" s="123" t="e">
        <f t="shared" ca="1" si="7"/>
        <v>#N/A</v>
      </c>
      <c r="R180" s="125">
        <f>VLOOKUP(D:D,ranking!W:X,2,0)</f>
        <v>0.3</v>
      </c>
      <c r="S180" s="126" t="e">
        <f t="shared" ca="1" si="8"/>
        <v>#N/A</v>
      </c>
      <c r="T180" s="123">
        <v>6.0656436607896005</v>
      </c>
    </row>
    <row r="181" spans="1:20" x14ac:dyDescent="0.25">
      <c r="A181" s="98" t="s">
        <v>1781</v>
      </c>
      <c r="B181" s="98" t="s">
        <v>85</v>
      </c>
      <c r="C181" s="46" t="s">
        <v>1988</v>
      </c>
      <c r="D181" s="46" t="s">
        <v>1013</v>
      </c>
      <c r="E181" s="119" t="s">
        <v>211</v>
      </c>
      <c r="F181" s="46" t="s">
        <v>213</v>
      </c>
      <c r="G181" s="134" t="s">
        <v>1908</v>
      </c>
      <c r="H181" s="46" t="s">
        <v>19</v>
      </c>
      <c r="I181" s="129">
        <v>46136</v>
      </c>
      <c r="J181" s="133"/>
      <c r="K181" s="46" t="s">
        <v>168</v>
      </c>
      <c r="L181" s="123">
        <f>VLOOKUP($C181&amp;$E181,'Updated SES'!A:N,14,0)</f>
        <v>127.11702000000001</v>
      </c>
      <c r="M181" s="124">
        <f>VLOOKUP($K181,'Genre Penetration'!A:B,2,0)*VLOOKUP($C181&amp;$E181,'Updated SES'!A:I,9,0)</f>
        <v>0.42879999999999996</v>
      </c>
      <c r="N181" s="124">
        <f>VLOOKUP(K:K,'Genre Penetration'!A:C,3,0)*VLOOKUP($C181&amp;$E181,'Updated SES'!A:J,10,0)</f>
        <v>0.11879999999999998</v>
      </c>
      <c r="O181" s="124">
        <f>VLOOKUP($B181,'Language Penetration'!$B$1:$BE$14,MATCH('Compile data Working'!$H130,'Language Penetration'!$B$1:$BE$1,0),0)</f>
        <v>0.6</v>
      </c>
      <c r="P181" s="124" t="str">
        <f t="shared" ca="1" si="6"/>
        <v>1%</v>
      </c>
      <c r="Q181" s="123">
        <f t="shared" ca="1" si="7"/>
        <v>0.41765568091199995</v>
      </c>
      <c r="R181" s="125">
        <f>VLOOKUP(D:D,ranking!W:X,2,0)</f>
        <v>0.8</v>
      </c>
      <c r="S181" s="126">
        <f t="shared" ca="1" si="8"/>
        <v>0.33412454472959996</v>
      </c>
      <c r="T181" s="123">
        <v>1.3071771188413455</v>
      </c>
    </row>
    <row r="182" spans="1:20" x14ac:dyDescent="0.25">
      <c r="A182" s="98" t="s">
        <v>1781</v>
      </c>
      <c r="B182" s="98" t="s">
        <v>85</v>
      </c>
      <c r="C182" s="46" t="s">
        <v>1988</v>
      </c>
      <c r="D182" s="46" t="s">
        <v>1013</v>
      </c>
      <c r="E182" s="119" t="s">
        <v>211</v>
      </c>
      <c r="F182" s="46" t="s">
        <v>213</v>
      </c>
      <c r="G182" s="134" t="s">
        <v>1871</v>
      </c>
      <c r="H182" s="46" t="s">
        <v>19</v>
      </c>
      <c r="I182" s="129">
        <v>45860</v>
      </c>
      <c r="J182" s="133"/>
      <c r="K182" s="46" t="s">
        <v>216</v>
      </c>
      <c r="L182" s="123">
        <f>VLOOKUP($C182&amp;$E182,'Updated SES'!A:N,14,0)</f>
        <v>127.11702000000001</v>
      </c>
      <c r="M182" s="124">
        <f>VLOOKUP($K182,'Genre Penetration'!A:B,2,0)*VLOOKUP($C182&amp;$E182,'Updated SES'!A:I,9,0)</f>
        <v>0.33499999999999996</v>
      </c>
      <c r="N182" s="124">
        <f>VLOOKUP(K:K,'Genre Penetration'!A:C,3,0)*VLOOKUP($C182&amp;$E182,'Updated SES'!A:J,10,0)</f>
        <v>0.16499999999999998</v>
      </c>
      <c r="O182" s="124" t="e">
        <f>VLOOKUP($B182,'Language Penetration'!$B$1:$BE$14,MATCH('Compile data Working'!#REF!,'Language Penetration'!$B$1:$BE$1,0),0)</f>
        <v>#REF!</v>
      </c>
      <c r="P182" s="124" t="str">
        <f t="shared" ca="1" si="6"/>
        <v>1%</v>
      </c>
      <c r="Q182" s="123" t="e">
        <f t="shared" ca="1" si="7"/>
        <v>#REF!</v>
      </c>
      <c r="R182" s="125">
        <f>VLOOKUP(D:D,ranking!W:X,2,0)</f>
        <v>0.8</v>
      </c>
      <c r="S182" s="126" t="e">
        <f t="shared" ca="1" si="8"/>
        <v>#REF!</v>
      </c>
      <c r="T182" s="123">
        <v>0.7907432906176679</v>
      </c>
    </row>
    <row r="183" spans="1:20" x14ac:dyDescent="0.25">
      <c r="A183" s="98" t="s">
        <v>1781</v>
      </c>
      <c r="B183" s="98" t="s">
        <v>85</v>
      </c>
      <c r="C183" s="46" t="s">
        <v>1988</v>
      </c>
      <c r="D183" s="98" t="s">
        <v>456</v>
      </c>
      <c r="E183" s="98" t="s">
        <v>211</v>
      </c>
      <c r="F183" s="46" t="s">
        <v>1882</v>
      </c>
      <c r="G183" s="130" t="s">
        <v>1909</v>
      </c>
      <c r="H183" s="46" t="s">
        <v>19</v>
      </c>
      <c r="I183" s="129">
        <v>44123</v>
      </c>
      <c r="J183" s="133"/>
      <c r="K183" s="46" t="s">
        <v>950</v>
      </c>
      <c r="L183" s="123">
        <f>VLOOKUP($C183&amp;$E183,'Updated SES'!A:N,14,0)</f>
        <v>127.11702000000001</v>
      </c>
      <c r="M183" s="124" t="e">
        <f>VLOOKUP($K183,'Genre Penetration'!A:B,2,0)*VLOOKUP($C183&amp;$E183,'Updated SES'!A:I,9,0)</f>
        <v>#N/A</v>
      </c>
      <c r="N183" s="124" t="e">
        <f>VLOOKUP(K:K,'Genre Penetration'!A:C,3,0)*VLOOKUP($C183&amp;$E183,'Updated SES'!A:J,10,0)</f>
        <v>#N/A</v>
      </c>
      <c r="O183" s="124" t="e">
        <f>VLOOKUP($B183,'Language Penetration'!$B$1:$BE$14,MATCH('Compile data Working'!#REF!,'Language Penetration'!$B$1:$BE$1,0),0)</f>
        <v>#REF!</v>
      </c>
      <c r="P183" s="124" t="str">
        <f t="shared" ca="1" si="6"/>
        <v>2%</v>
      </c>
      <c r="Q183" s="123" t="e">
        <f t="shared" ca="1" si="7"/>
        <v>#N/A</v>
      </c>
      <c r="R183" s="125">
        <f>VLOOKUP(D:D,ranking!W:X,2,0)</f>
        <v>0.3</v>
      </c>
      <c r="S183" s="126" t="e">
        <f t="shared" ca="1" si="8"/>
        <v>#N/A</v>
      </c>
      <c r="T183" s="123">
        <v>1.16704407270528</v>
      </c>
    </row>
    <row r="184" spans="1:20" x14ac:dyDescent="0.25">
      <c r="A184" s="98" t="s">
        <v>1781</v>
      </c>
      <c r="B184" s="98" t="s">
        <v>85</v>
      </c>
      <c r="C184" s="46" t="s">
        <v>150</v>
      </c>
      <c r="D184" s="98" t="s">
        <v>456</v>
      </c>
      <c r="E184" s="98" t="s">
        <v>219</v>
      </c>
      <c r="F184" s="46" t="s">
        <v>1882</v>
      </c>
      <c r="G184" s="134" t="s">
        <v>1794</v>
      </c>
      <c r="H184" s="46" t="s">
        <v>29</v>
      </c>
      <c r="I184" s="129">
        <v>46097</v>
      </c>
      <c r="J184" s="133"/>
      <c r="K184" s="46" t="s">
        <v>1945</v>
      </c>
      <c r="L184" s="123">
        <f>VLOOKUP($C184&amp;$E184,'Updated SES'!A:N,14,0)</f>
        <v>24.425800000000002</v>
      </c>
      <c r="M184" s="124" t="e">
        <f>VLOOKUP($K184,'Genre Penetration'!A:B,2,0)*VLOOKUP($C184&amp;$E184,'Updated SES'!A:I,9,0)</f>
        <v>#N/A</v>
      </c>
      <c r="N184" s="124" t="e">
        <f>VLOOKUP(K:K,'Genre Penetration'!A:C,3,0)*VLOOKUP($C184&amp;$E184,'Updated SES'!A:J,10,0)</f>
        <v>#N/A</v>
      </c>
      <c r="O184" s="124" t="e">
        <f>VLOOKUP($B184,'Language Penetration'!$B$1:$BE$14,MATCH('Compile data Working'!#REF!,'Language Penetration'!$B$1:$BE$1,0),0)</f>
        <v>#REF!</v>
      </c>
      <c r="P184" s="124" t="str">
        <f t="shared" ca="1" si="6"/>
        <v>1%</v>
      </c>
      <c r="Q184" s="123" t="e">
        <f t="shared" ca="1" si="7"/>
        <v>#N/A</v>
      </c>
      <c r="R184" s="125">
        <f>VLOOKUP(D:D,ranking!W:X,2,0)</f>
        <v>0.3</v>
      </c>
      <c r="S184" s="126" t="e">
        <f t="shared" ca="1" si="8"/>
        <v>#N/A</v>
      </c>
      <c r="T184" s="123">
        <v>0.76413697167756212</v>
      </c>
    </row>
    <row r="185" spans="1:20" x14ac:dyDescent="0.25">
      <c r="A185" s="98" t="s">
        <v>1781</v>
      </c>
      <c r="B185" s="98" t="s">
        <v>85</v>
      </c>
      <c r="C185" s="46" t="s">
        <v>49</v>
      </c>
      <c r="D185" s="46" t="s">
        <v>1012</v>
      </c>
      <c r="E185" s="119" t="s">
        <v>211</v>
      </c>
      <c r="F185" s="46" t="s">
        <v>215</v>
      </c>
      <c r="G185" s="130" t="s">
        <v>1910</v>
      </c>
      <c r="H185" s="46" t="s">
        <v>23</v>
      </c>
      <c r="I185" s="129">
        <v>46080</v>
      </c>
      <c r="J185" s="133"/>
      <c r="K185" s="46" t="s">
        <v>1946</v>
      </c>
      <c r="L185" s="123">
        <f>VLOOKUP($C185&amp;$E185,'Updated SES'!A:N,14,0)</f>
        <v>12.626640000000002</v>
      </c>
      <c r="M185" s="124" t="e">
        <f>VLOOKUP($K185,'Genre Penetration'!A:B,2,0)*VLOOKUP($C185&amp;$E185,'Updated SES'!A:I,9,0)</f>
        <v>#N/A</v>
      </c>
      <c r="N185" s="124" t="e">
        <f>VLOOKUP(K:K,'Genre Penetration'!A:C,3,0)*VLOOKUP($C185&amp;$E185,'Updated SES'!A:J,10,0)</f>
        <v>#N/A</v>
      </c>
      <c r="O185" s="124" t="e">
        <f>VLOOKUP($B185,'Language Penetration'!$B$1:$BE$14,MATCH('Compile data Working'!#REF!,'Language Penetration'!$B$1:$BE$1,0),0)</f>
        <v>#REF!</v>
      </c>
      <c r="P185" s="124" t="str">
        <f t="shared" ca="1" si="6"/>
        <v>1%</v>
      </c>
      <c r="Q185" s="123" t="e">
        <f t="shared" ca="1" si="7"/>
        <v>#N/A</v>
      </c>
      <c r="R185" s="125">
        <f>VLOOKUP(D:D,ranking!W:X,2,0)</f>
        <v>0.6</v>
      </c>
      <c r="S185" s="126" t="e">
        <f t="shared" ca="1" si="8"/>
        <v>#N/A</v>
      </c>
      <c r="T185" s="123">
        <v>1.2164313748500337</v>
      </c>
    </row>
    <row r="186" spans="1:20" x14ac:dyDescent="0.25">
      <c r="A186" s="98" t="s">
        <v>1781</v>
      </c>
      <c r="B186" s="98" t="s">
        <v>85</v>
      </c>
      <c r="C186" s="46" t="s">
        <v>150</v>
      </c>
      <c r="D186" s="98" t="s">
        <v>456</v>
      </c>
      <c r="E186" s="98" t="s">
        <v>219</v>
      </c>
      <c r="F186" s="46" t="s">
        <v>1882</v>
      </c>
      <c r="G186" s="134" t="s">
        <v>1911</v>
      </c>
      <c r="H186" s="46" t="s">
        <v>29</v>
      </c>
      <c r="I186" s="129">
        <v>45558</v>
      </c>
      <c r="J186" s="133"/>
      <c r="K186" s="46" t="s">
        <v>216</v>
      </c>
      <c r="L186" s="123">
        <f>VLOOKUP($C186&amp;$E186,'Updated SES'!A:N,14,0)</f>
        <v>24.425800000000002</v>
      </c>
      <c r="M186" s="124">
        <f>VLOOKUP($K186,'Genre Penetration'!A:B,2,0)*VLOOKUP($C186&amp;$E186,'Updated SES'!A:I,9,0)</f>
        <v>0.34</v>
      </c>
      <c r="N186" s="124">
        <f>VLOOKUP(K:K,'Genre Penetration'!A:C,3,0)*VLOOKUP($C186&amp;$E186,'Updated SES'!A:J,10,0)</f>
        <v>0.16</v>
      </c>
      <c r="O186" s="124">
        <f>VLOOKUP($B186,'Language Penetration'!$B$1:$BE$14,MATCH('Compile data Working'!$H135,'Language Penetration'!$B$1:$BE$1,0),0)</f>
        <v>0.6</v>
      </c>
      <c r="P186" s="124" t="str">
        <f t="shared" ca="1" si="6"/>
        <v>1%</v>
      </c>
      <c r="Q186" s="123">
        <f t="shared" ca="1" si="7"/>
        <v>7.3277400000000006E-2</v>
      </c>
      <c r="R186" s="125">
        <f>VLOOKUP(D:D,ranking!W:X,2,0)</f>
        <v>0.3</v>
      </c>
      <c r="S186" s="126">
        <f t="shared" ca="1" si="8"/>
        <v>2.1983220000000001E-2</v>
      </c>
      <c r="T186" s="123">
        <v>1.0078485576236649</v>
      </c>
    </row>
    <row r="187" spans="1:20" x14ac:dyDescent="0.25">
      <c r="A187" s="98" t="s">
        <v>1781</v>
      </c>
      <c r="B187" s="98" t="s">
        <v>85</v>
      </c>
      <c r="C187" s="46" t="s">
        <v>123</v>
      </c>
      <c r="D187" s="46" t="s">
        <v>1012</v>
      </c>
      <c r="E187" s="119" t="s">
        <v>211</v>
      </c>
      <c r="F187" s="46" t="s">
        <v>215</v>
      </c>
      <c r="G187" s="134" t="s">
        <v>1872</v>
      </c>
      <c r="H187" s="46" t="s">
        <v>19</v>
      </c>
      <c r="I187" s="129">
        <v>44309</v>
      </c>
      <c r="J187" s="133"/>
      <c r="K187" s="46" t="s">
        <v>1947</v>
      </c>
      <c r="L187" s="123">
        <f>VLOOKUP($C187&amp;$E187,'Updated SES'!A:N,14,0)</f>
        <v>55.459200000000003</v>
      </c>
      <c r="M187" s="124" t="e">
        <f>VLOOKUP($K187,'Genre Penetration'!A:B,2,0)*VLOOKUP($C187&amp;$E187,'Updated SES'!A:I,9,0)</f>
        <v>#N/A</v>
      </c>
      <c r="N187" s="124" t="e">
        <f>VLOOKUP(K:K,'Genre Penetration'!A:C,3,0)*VLOOKUP($C187&amp;$E187,'Updated SES'!A:J,10,0)</f>
        <v>#N/A</v>
      </c>
      <c r="O187" s="124">
        <f>VLOOKUP($B187,'Language Penetration'!$B$1:$BE$14,MATCH('Compile data Working'!$H144,'Language Penetration'!$B$1:$BE$1,0),0)</f>
        <v>0.6</v>
      </c>
      <c r="P187" s="124" t="str">
        <f t="shared" ca="1" si="6"/>
        <v>1%</v>
      </c>
      <c r="Q187" s="123" t="e">
        <f t="shared" ca="1" si="7"/>
        <v>#N/A</v>
      </c>
      <c r="R187" s="125">
        <f>VLOOKUP(D:D,ranking!W:X,2,0)</f>
        <v>0.6</v>
      </c>
      <c r="S187" s="126" t="e">
        <f t="shared" ca="1" si="8"/>
        <v>#N/A</v>
      </c>
      <c r="T187" s="123">
        <v>0.95791564942213148</v>
      </c>
    </row>
    <row r="188" spans="1:20" x14ac:dyDescent="0.25">
      <c r="A188" s="98" t="s">
        <v>1781</v>
      </c>
      <c r="B188" s="98" t="s">
        <v>85</v>
      </c>
      <c r="C188" s="46" t="s">
        <v>1988</v>
      </c>
      <c r="D188" s="98" t="s">
        <v>456</v>
      </c>
      <c r="E188" s="98" t="s">
        <v>211</v>
      </c>
      <c r="F188" s="46" t="s">
        <v>1882</v>
      </c>
      <c r="G188" s="134" t="s">
        <v>1912</v>
      </c>
      <c r="H188" s="46" t="s">
        <v>1928</v>
      </c>
      <c r="I188" s="129">
        <v>44949</v>
      </c>
      <c r="J188" s="133"/>
      <c r="K188" s="46" t="s">
        <v>950</v>
      </c>
      <c r="L188" s="123">
        <f>VLOOKUP($C188&amp;$E188,'Updated SES'!A:N,14,0)</f>
        <v>127.11702000000001</v>
      </c>
      <c r="M188" s="124" t="e">
        <f>VLOOKUP($K188,'Genre Penetration'!A:B,2,0)*VLOOKUP($C188&amp;$E188,'Updated SES'!A:I,9,0)</f>
        <v>#N/A</v>
      </c>
      <c r="N188" s="124" t="e">
        <f>VLOOKUP(K:K,'Genre Penetration'!A:C,3,0)*VLOOKUP($C188&amp;$E188,'Updated SES'!A:J,10,0)</f>
        <v>#N/A</v>
      </c>
      <c r="O188" s="124">
        <f>VLOOKUP($B188,'Language Penetration'!$B$1:$BE$14,MATCH('Compile data Working'!$H150,'Language Penetration'!$B$1:$BE$1,0),0)</f>
        <v>0.15</v>
      </c>
      <c r="P188" s="124" t="str">
        <f t="shared" ca="1" si="6"/>
        <v>2%</v>
      </c>
      <c r="Q188" s="123" t="e">
        <f t="shared" ca="1" si="7"/>
        <v>#N/A</v>
      </c>
      <c r="R188" s="125">
        <f>VLOOKUP(D:D,ranking!W:X,2,0)</f>
        <v>0.3</v>
      </c>
      <c r="S188" s="126" t="e">
        <f t="shared" ca="1" si="8"/>
        <v>#N/A</v>
      </c>
      <c r="T188" s="123">
        <v>8.7320423332145278</v>
      </c>
    </row>
    <row r="189" spans="1:20" x14ac:dyDescent="0.25">
      <c r="A189" s="98" t="s">
        <v>1781</v>
      </c>
      <c r="B189" s="98" t="s">
        <v>85</v>
      </c>
      <c r="C189" s="46" t="s">
        <v>1988</v>
      </c>
      <c r="D189" s="46" t="s">
        <v>1013</v>
      </c>
      <c r="E189" s="119" t="s">
        <v>211</v>
      </c>
      <c r="F189" s="46" t="s">
        <v>213</v>
      </c>
      <c r="G189" s="134" t="s">
        <v>1913</v>
      </c>
      <c r="H189" s="46" t="s">
        <v>19</v>
      </c>
      <c r="I189" s="129">
        <v>45170</v>
      </c>
      <c r="J189" s="133"/>
      <c r="K189" s="46" t="s">
        <v>1944</v>
      </c>
      <c r="L189" s="123">
        <f>VLOOKUP($C189&amp;$E189,'Updated SES'!A:N,14,0)</f>
        <v>127.11702000000001</v>
      </c>
      <c r="M189" s="124" t="e">
        <f>VLOOKUP($K189,'Genre Penetration'!A:B,2,0)*VLOOKUP($C189&amp;$E189,'Updated SES'!A:I,9,0)</f>
        <v>#N/A</v>
      </c>
      <c r="N189" s="124" t="e">
        <f>VLOOKUP(K:K,'Genre Penetration'!A:C,3,0)*VLOOKUP($C189&amp;$E189,'Updated SES'!A:J,10,0)</f>
        <v>#N/A</v>
      </c>
      <c r="O189" s="124">
        <f>VLOOKUP($B189,'Language Penetration'!$B$1:$BE$14,MATCH('Compile data Working'!$H153,'Language Penetration'!$B$1:$BE$1,0),0)</f>
        <v>0.6</v>
      </c>
      <c r="P189" s="124" t="str">
        <f t="shared" ca="1" si="6"/>
        <v>2%</v>
      </c>
      <c r="Q189" s="123" t="e">
        <f t="shared" ca="1" si="7"/>
        <v>#N/A</v>
      </c>
      <c r="R189" s="125">
        <f>VLOOKUP(D:D,ranking!W:X,2,0)</f>
        <v>0.8</v>
      </c>
      <c r="S189" s="126" t="e">
        <f t="shared" ca="1" si="8"/>
        <v>#N/A</v>
      </c>
      <c r="T189" s="123">
        <v>0.97881470079403976</v>
      </c>
    </row>
    <row r="190" spans="1:20" x14ac:dyDescent="0.25">
      <c r="A190" s="98" t="s">
        <v>1781</v>
      </c>
      <c r="B190" s="98" t="s">
        <v>85</v>
      </c>
      <c r="C190" s="46" t="s">
        <v>1988</v>
      </c>
      <c r="D190" s="46" t="s">
        <v>1013</v>
      </c>
      <c r="E190" s="119" t="s">
        <v>211</v>
      </c>
      <c r="F190" s="46" t="s">
        <v>213</v>
      </c>
      <c r="G190" s="134" t="s">
        <v>1914</v>
      </c>
      <c r="H190" s="46" t="s">
        <v>19</v>
      </c>
      <c r="I190" s="129">
        <v>45819</v>
      </c>
      <c r="J190" s="133"/>
      <c r="K190" s="46" t="s">
        <v>191</v>
      </c>
      <c r="L190" s="123">
        <f>VLOOKUP($C190&amp;$E190,'Updated SES'!A:N,14,0)</f>
        <v>127.11702000000001</v>
      </c>
      <c r="M190" s="124">
        <f>VLOOKUP($K190,'Genre Penetration'!A:B,2,0)*VLOOKUP($C190&amp;$E190,'Updated SES'!A:I,9,0)</f>
        <v>0.33499999999999996</v>
      </c>
      <c r="N190" s="124">
        <f>VLOOKUP(K:K,'Genre Penetration'!A:C,3,0)*VLOOKUP($C190&amp;$E190,'Updated SES'!A:J,10,0)</f>
        <v>0.16499999999999998</v>
      </c>
      <c r="O190" s="124" t="e">
        <f>VLOOKUP($B190,'Language Penetration'!$B$1:$BE$14,MATCH('Compile data Working'!#REF!,'Language Penetration'!$B$1:$BE$1,0),0)</f>
        <v>#REF!</v>
      </c>
      <c r="P190" s="124" t="str">
        <f t="shared" ca="1" si="6"/>
        <v>1%</v>
      </c>
      <c r="Q190" s="123" t="e">
        <f t="shared" ca="1" si="7"/>
        <v>#REF!</v>
      </c>
      <c r="R190" s="125">
        <f>VLOOKUP(D:D,ranking!W:X,2,0)</f>
        <v>0.8</v>
      </c>
      <c r="S190" s="126" t="e">
        <f t="shared" ca="1" si="8"/>
        <v>#REF!</v>
      </c>
      <c r="T190" s="123">
        <v>0.7750782585496151</v>
      </c>
    </row>
    <row r="191" spans="1:20" x14ac:dyDescent="0.25">
      <c r="A191" s="98" t="s">
        <v>1781</v>
      </c>
      <c r="B191" s="98" t="s">
        <v>85</v>
      </c>
      <c r="C191" s="46" t="s">
        <v>64</v>
      </c>
      <c r="D191" s="46" t="s">
        <v>1013</v>
      </c>
      <c r="E191" s="119" t="s">
        <v>211</v>
      </c>
      <c r="F191" s="46" t="s">
        <v>213</v>
      </c>
      <c r="G191" s="134" t="s">
        <v>1873</v>
      </c>
      <c r="H191" s="46" t="s">
        <v>19</v>
      </c>
      <c r="I191" s="129">
        <v>44155</v>
      </c>
      <c r="J191" s="133"/>
      <c r="K191" s="46" t="s">
        <v>1948</v>
      </c>
      <c r="L191" s="123">
        <f>VLOOKUP($C191&amp;$E191,'Updated SES'!A:N,14,0)</f>
        <v>36.498239999999996</v>
      </c>
      <c r="M191" s="124" t="e">
        <f>VLOOKUP($K191,'Genre Penetration'!A:B,2,0)*VLOOKUP($C191&amp;$E191,'Updated SES'!A:I,9,0)</f>
        <v>#N/A</v>
      </c>
      <c r="N191" s="124" t="e">
        <f>VLOOKUP(K:K,'Genre Penetration'!A:C,3,0)*VLOOKUP($C191&amp;$E191,'Updated SES'!A:J,10,0)</f>
        <v>#N/A</v>
      </c>
      <c r="O191" s="124">
        <f>VLOOKUP($B191,'Language Penetration'!$B$1:$BE$14,MATCH('Compile data Working'!$H146,'Language Penetration'!$B$1:$BE$1,0),0)</f>
        <v>0.6</v>
      </c>
      <c r="P191" s="124" t="str">
        <f t="shared" ca="1" si="6"/>
        <v>1%</v>
      </c>
      <c r="Q191" s="123" t="e">
        <f t="shared" ca="1" si="7"/>
        <v>#N/A</v>
      </c>
      <c r="R191" s="125">
        <f>VLOOKUP(D:D,ranking!W:X,2,0)</f>
        <v>0.8</v>
      </c>
      <c r="S191" s="126" t="e">
        <f t="shared" ca="1" si="8"/>
        <v>#N/A</v>
      </c>
      <c r="T191" s="123">
        <v>0.88181424567776656</v>
      </c>
    </row>
    <row r="192" spans="1:20" x14ac:dyDescent="0.25">
      <c r="A192" s="98" t="s">
        <v>1781</v>
      </c>
      <c r="B192" s="98" t="s">
        <v>85</v>
      </c>
      <c r="C192" s="46" t="s">
        <v>1988</v>
      </c>
      <c r="D192" s="46" t="s">
        <v>1013</v>
      </c>
      <c r="E192" s="119" t="s">
        <v>211</v>
      </c>
      <c r="F192" s="46" t="s">
        <v>213</v>
      </c>
      <c r="G192" s="134" t="s">
        <v>1915</v>
      </c>
      <c r="H192" s="46" t="s">
        <v>19</v>
      </c>
      <c r="I192" s="129">
        <v>46129</v>
      </c>
      <c r="J192" s="133"/>
      <c r="K192" s="46" t="s">
        <v>1949</v>
      </c>
      <c r="L192" s="123">
        <f>VLOOKUP($C192&amp;$E192,'Updated SES'!A:N,14,0)</f>
        <v>127.11702000000001</v>
      </c>
      <c r="M192" s="124" t="e">
        <f>VLOOKUP($K192,'Genre Penetration'!A:B,2,0)*VLOOKUP($C192&amp;$E192,'Updated SES'!A:I,9,0)</f>
        <v>#N/A</v>
      </c>
      <c r="N192" s="124" t="e">
        <f>VLOOKUP(K:K,'Genre Penetration'!A:C,3,0)*VLOOKUP($C192&amp;$E192,'Updated SES'!A:J,10,0)</f>
        <v>#N/A</v>
      </c>
      <c r="O192" s="124">
        <f>VLOOKUP($B192,'Language Penetration'!$B$1:$BE$14,MATCH('Compile data Working'!$H155,'Language Penetration'!$B$1:$BE$1,0),0)</f>
        <v>0.6</v>
      </c>
      <c r="P192" s="124" t="str">
        <f t="shared" ca="1" si="6"/>
        <v>2%</v>
      </c>
      <c r="Q192" s="123" t="e">
        <f t="shared" ca="1" si="7"/>
        <v>#N/A</v>
      </c>
      <c r="R192" s="125">
        <f>VLOOKUP(D:D,ranking!W:X,2,0)</f>
        <v>0.8</v>
      </c>
      <c r="S192" s="126" t="e">
        <f t="shared" ca="1" si="8"/>
        <v>#N/A</v>
      </c>
      <c r="T192" s="123">
        <v>0.67011069257644917</v>
      </c>
    </row>
    <row r="193" spans="1:20" x14ac:dyDescent="0.25">
      <c r="A193" s="98" t="s">
        <v>1781</v>
      </c>
      <c r="B193" s="98" t="s">
        <v>85</v>
      </c>
      <c r="C193" s="46" t="s">
        <v>1988</v>
      </c>
      <c r="D193" s="98" t="s">
        <v>456</v>
      </c>
      <c r="E193" s="98" t="s">
        <v>211</v>
      </c>
      <c r="F193" s="46" t="s">
        <v>1882</v>
      </c>
      <c r="G193" s="134" t="s">
        <v>1916</v>
      </c>
      <c r="H193" s="46" t="s">
        <v>29</v>
      </c>
      <c r="I193" s="129">
        <v>45317</v>
      </c>
      <c r="J193" s="133"/>
      <c r="K193" s="46" t="s">
        <v>216</v>
      </c>
      <c r="L193" s="123">
        <f>VLOOKUP($C193&amp;$E193,'Updated SES'!A:N,14,0)</f>
        <v>127.11702000000001</v>
      </c>
      <c r="M193" s="124">
        <f>VLOOKUP($K193,'Genre Penetration'!A:B,2,0)*VLOOKUP($C193&amp;$E193,'Updated SES'!A:I,9,0)</f>
        <v>0.33499999999999996</v>
      </c>
      <c r="N193" s="124">
        <f>VLOOKUP(K:K,'Genre Penetration'!A:C,3,0)*VLOOKUP($C193&amp;$E193,'Updated SES'!A:J,10,0)</f>
        <v>0.16499999999999998</v>
      </c>
      <c r="O193" s="124" t="e">
        <f>VLOOKUP($B193,'Language Penetration'!$B$1:$BE$14,MATCH('Compile data Working'!#REF!,'Language Penetration'!$B$1:$BE$1,0),0)</f>
        <v>#REF!</v>
      </c>
      <c r="P193" s="124" t="str">
        <f t="shared" ca="1" si="6"/>
        <v>1%</v>
      </c>
      <c r="Q193" s="123" t="e">
        <f t="shared" ca="1" si="7"/>
        <v>#REF!</v>
      </c>
      <c r="R193" s="125">
        <f>VLOOKUP(D:D,ranking!W:X,2,0)</f>
        <v>0.3</v>
      </c>
      <c r="S193" s="126" t="e">
        <f t="shared" ca="1" si="8"/>
        <v>#REF!</v>
      </c>
      <c r="T193" s="123">
        <v>6.7620028552876796</v>
      </c>
    </row>
    <row r="194" spans="1:20" x14ac:dyDescent="0.25">
      <c r="A194" s="98" t="s">
        <v>1781</v>
      </c>
      <c r="B194" s="98" t="s">
        <v>85</v>
      </c>
      <c r="C194" s="46" t="s">
        <v>1988</v>
      </c>
      <c r="D194" s="98" t="s">
        <v>456</v>
      </c>
      <c r="E194" s="98" t="s">
        <v>211</v>
      </c>
      <c r="F194" s="46" t="s">
        <v>1882</v>
      </c>
      <c r="G194" s="134" t="s">
        <v>1917</v>
      </c>
      <c r="H194" s="46" t="s">
        <v>1928</v>
      </c>
      <c r="I194" s="129">
        <v>46139</v>
      </c>
      <c r="J194" s="133"/>
      <c r="K194" s="46" t="s">
        <v>950</v>
      </c>
      <c r="L194" s="123">
        <f>VLOOKUP($C194&amp;$E194,'Updated SES'!A:N,14,0)</f>
        <v>127.11702000000001</v>
      </c>
      <c r="M194" s="124" t="e">
        <f>VLOOKUP($K194,'Genre Penetration'!A:B,2,0)*VLOOKUP($C194&amp;$E194,'Updated SES'!A:I,9,0)</f>
        <v>#N/A</v>
      </c>
      <c r="N194" s="124" t="e">
        <f>VLOOKUP(K:K,'Genre Penetration'!A:C,3,0)*VLOOKUP($C194&amp;$E194,'Updated SES'!A:J,10,0)</f>
        <v>#N/A</v>
      </c>
      <c r="O194" s="124">
        <f>VLOOKUP($B194,'Language Penetration'!$B$1:$BE$14,MATCH('Compile data Working'!$H171,'Language Penetration'!$B$1:$BE$1,0),0)</f>
        <v>0.12</v>
      </c>
      <c r="P194" s="124" t="str">
        <f t="shared" ca="1" si="6"/>
        <v>2%</v>
      </c>
      <c r="Q194" s="123" t="e">
        <f t="shared" ca="1" si="7"/>
        <v>#N/A</v>
      </c>
      <c r="R194" s="125">
        <f>VLOOKUP(D:D,ranking!W:X,2,0)</f>
        <v>0.3</v>
      </c>
      <c r="S194" s="126" t="e">
        <f t="shared" ca="1" si="8"/>
        <v>#N/A</v>
      </c>
      <c r="T194" s="123">
        <v>9.0064535013918334</v>
      </c>
    </row>
    <row r="195" spans="1:20" x14ac:dyDescent="0.25">
      <c r="A195" s="98" t="s">
        <v>1781</v>
      </c>
      <c r="B195" s="98" t="s">
        <v>85</v>
      </c>
      <c r="C195" s="46" t="s">
        <v>1988</v>
      </c>
      <c r="D195" s="98" t="s">
        <v>456</v>
      </c>
      <c r="E195" s="98" t="s">
        <v>211</v>
      </c>
      <c r="F195" s="46" t="s">
        <v>1882</v>
      </c>
      <c r="G195" s="134" t="s">
        <v>1788</v>
      </c>
      <c r="H195" s="46" t="s">
        <v>29</v>
      </c>
      <c r="I195" s="129">
        <v>44900</v>
      </c>
      <c r="J195" s="133"/>
      <c r="K195" s="46" t="s">
        <v>950</v>
      </c>
      <c r="L195" s="123">
        <f>VLOOKUP($C195&amp;$E195,'Updated SES'!A:N,14,0)</f>
        <v>127.11702000000001</v>
      </c>
      <c r="M195" s="124" t="e">
        <f>VLOOKUP($K195,'Genre Penetration'!A:B,2,0)*VLOOKUP($C195&amp;$E195,'Updated SES'!A:I,9,0)</f>
        <v>#N/A</v>
      </c>
      <c r="N195" s="124" t="e">
        <f>VLOOKUP(K:K,'Genre Penetration'!A:C,3,0)*VLOOKUP($C195&amp;$E195,'Updated SES'!A:J,10,0)</f>
        <v>#N/A</v>
      </c>
      <c r="O195" s="124">
        <f>VLOOKUP($B195,'Language Penetration'!$B$1:$BE$14,MATCH('Compile data Working'!$H167,'Language Penetration'!$B$1:$BE$1,0),0)</f>
        <v>0.15</v>
      </c>
      <c r="P195" s="124" t="str">
        <f t="shared" ca="1" si="6"/>
        <v>1%</v>
      </c>
      <c r="Q195" s="123" t="e">
        <f t="shared" ca="1" si="7"/>
        <v>#N/A</v>
      </c>
      <c r="R195" s="125">
        <f>VLOOKUP(D:D,ranking!W:X,2,0)</f>
        <v>0.3</v>
      </c>
      <c r="S195" s="126" t="e">
        <f t="shared" ca="1" si="8"/>
        <v>#N/A</v>
      </c>
      <c r="T195" s="123">
        <v>0.55861421889011653</v>
      </c>
    </row>
    <row r="196" spans="1:20" x14ac:dyDescent="0.25">
      <c r="A196" s="98" t="s">
        <v>1781</v>
      </c>
      <c r="B196" s="98" t="s">
        <v>85</v>
      </c>
      <c r="C196" s="46" t="s">
        <v>123</v>
      </c>
      <c r="D196" s="46" t="s">
        <v>1012</v>
      </c>
      <c r="E196" s="119" t="s">
        <v>211</v>
      </c>
      <c r="F196" s="46" t="s">
        <v>215</v>
      </c>
      <c r="G196" s="134" t="s">
        <v>1918</v>
      </c>
      <c r="H196" s="46" t="s">
        <v>19</v>
      </c>
      <c r="I196" s="129">
        <v>42678</v>
      </c>
      <c r="J196" s="133"/>
      <c r="K196" s="46" t="s">
        <v>1950</v>
      </c>
      <c r="L196" s="123">
        <f>VLOOKUP($C196&amp;$E196,'Updated SES'!A:N,14,0)</f>
        <v>55.459200000000003</v>
      </c>
      <c r="M196" s="124" t="e">
        <f>VLOOKUP($K196,'Genre Penetration'!A:B,2,0)*VLOOKUP($C196&amp;$E196,'Updated SES'!A:I,9,0)</f>
        <v>#N/A</v>
      </c>
      <c r="N196" s="124" t="e">
        <f>VLOOKUP(K:K,'Genre Penetration'!A:C,3,0)*VLOOKUP($C196&amp;$E196,'Updated SES'!A:J,10,0)</f>
        <v>#N/A</v>
      </c>
      <c r="O196" s="124">
        <f>VLOOKUP($B196,'Language Penetration'!$B$1:$BE$14,MATCH('Compile data Working'!$H169,'Language Penetration'!$B$1:$BE$1,0),0)</f>
        <v>0.6</v>
      </c>
      <c r="P196" s="124" t="str">
        <f t="shared" ca="1" si="6"/>
        <v>1%</v>
      </c>
      <c r="Q196" s="123" t="e">
        <f t="shared" ca="1" si="7"/>
        <v>#N/A</v>
      </c>
      <c r="R196" s="125">
        <f>VLOOKUP(D:D,ranking!W:X,2,0)</f>
        <v>0.6</v>
      </c>
      <c r="S196" s="126" t="e">
        <f t="shared" ca="1" si="8"/>
        <v>#N/A</v>
      </c>
      <c r="T196" s="123">
        <v>1.0881518978133871</v>
      </c>
    </row>
    <row r="197" spans="1:20" x14ac:dyDescent="0.25">
      <c r="A197" s="98" t="s">
        <v>1781</v>
      </c>
      <c r="B197" s="98" t="s">
        <v>85</v>
      </c>
      <c r="C197" s="46" t="s">
        <v>1988</v>
      </c>
      <c r="D197" s="46" t="s">
        <v>1013</v>
      </c>
      <c r="E197" s="119" t="s">
        <v>211</v>
      </c>
      <c r="F197" s="46" t="s">
        <v>213</v>
      </c>
      <c r="G197" s="134" t="s">
        <v>1919</v>
      </c>
      <c r="H197" s="46" t="s">
        <v>19</v>
      </c>
      <c r="I197" s="129">
        <v>45898</v>
      </c>
      <c r="J197" s="133"/>
      <c r="K197" s="46" t="s">
        <v>1111</v>
      </c>
      <c r="L197" s="123">
        <f>VLOOKUP($C197&amp;$E197,'Updated SES'!A:N,14,0)</f>
        <v>127.11702000000001</v>
      </c>
      <c r="M197" s="124">
        <f>VLOOKUP($K197,'Genre Penetration'!A:B,2,0)*VLOOKUP($C197&amp;$E197,'Updated SES'!A:I,9,0)</f>
        <v>0.4556</v>
      </c>
      <c r="N197" s="124">
        <f>VLOOKUP(K:K,'Genre Penetration'!A:C,3,0)*VLOOKUP($C197&amp;$E197,'Updated SES'!A:J,10,0)</f>
        <v>0.10559999999999999</v>
      </c>
      <c r="O197" s="124">
        <f>VLOOKUP($B197,'Language Penetration'!$B$1:$BE$14,MATCH('Compile data Working'!$H173,'Language Penetration'!$B$1:$BE$1,0),0)</f>
        <v>7.0000000000000007E-2</v>
      </c>
      <c r="P197" s="124" t="str">
        <f t="shared" ref="P197:P209" ca="1" si="9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1%</v>
      </c>
      <c r="Q197" s="123">
        <f t="shared" ref="Q197:Q209" ca="1" si="10">IFERROR(L197*(M197+N197)*O197*P197,RANDBETWEEN(1,2)%*L197*(M197+N197)*O197)</f>
        <v>4.9936650136800015E-2</v>
      </c>
      <c r="R197" s="125">
        <f>VLOOKUP(D:D,ranking!W:X,2,0)</f>
        <v>0.8</v>
      </c>
      <c r="S197" s="126">
        <f t="shared" ca="1" si="8"/>
        <v>3.9949320109440016E-2</v>
      </c>
      <c r="T197" s="123">
        <v>1.5314021527648602</v>
      </c>
    </row>
    <row r="198" spans="1:20" x14ac:dyDescent="0.25">
      <c r="A198" s="98" t="s">
        <v>1781</v>
      </c>
      <c r="B198" s="98" t="s">
        <v>85</v>
      </c>
      <c r="C198" s="46" t="s">
        <v>1988</v>
      </c>
      <c r="D198" s="46" t="s">
        <v>1012</v>
      </c>
      <c r="E198" s="119" t="s">
        <v>211</v>
      </c>
      <c r="F198" s="46" t="s">
        <v>215</v>
      </c>
      <c r="G198" s="134" t="s">
        <v>1920</v>
      </c>
      <c r="H198" s="46" t="s">
        <v>19</v>
      </c>
      <c r="I198" s="129">
        <v>44274</v>
      </c>
      <c r="J198" s="133"/>
      <c r="K198" s="46" t="s">
        <v>1951</v>
      </c>
      <c r="L198" s="123">
        <f>VLOOKUP($C198&amp;$E198,'Updated SES'!A:N,14,0)</f>
        <v>127.11702000000001</v>
      </c>
      <c r="M198" s="124" t="e">
        <f>VLOOKUP($K198,'Genre Penetration'!A:B,2,0)*VLOOKUP($C198&amp;$E198,'Updated SES'!A:I,9,0)</f>
        <v>#N/A</v>
      </c>
      <c r="N198" s="124" t="e">
        <f>VLOOKUP(K:K,'Genre Penetration'!A:C,3,0)*VLOOKUP($C198&amp;$E198,'Updated SES'!A:J,10,0)</f>
        <v>#N/A</v>
      </c>
      <c r="O198" s="124">
        <f>VLOOKUP($B198,'Language Penetration'!$B$1:$BE$14,MATCH('Compile data Working'!$H174,'Language Penetration'!$B$1:$BE$1,0),0)</f>
        <v>0.6</v>
      </c>
      <c r="P198" s="124" t="str">
        <f t="shared" ca="1" si="9"/>
        <v>2%</v>
      </c>
      <c r="Q198" s="123" t="e">
        <f t="shared" ca="1" si="10"/>
        <v>#N/A</v>
      </c>
      <c r="R198" s="125">
        <f>VLOOKUP(D:D,ranking!W:X,2,0)</f>
        <v>0.6</v>
      </c>
      <c r="S198" s="126" t="e">
        <f t="shared" ca="1" si="8"/>
        <v>#N/A</v>
      </c>
      <c r="T198" s="123">
        <v>1.1382312285621856</v>
      </c>
    </row>
    <row r="199" spans="1:20" x14ac:dyDescent="0.25">
      <c r="A199" s="98" t="s">
        <v>1781</v>
      </c>
      <c r="B199" s="98" t="s">
        <v>85</v>
      </c>
      <c r="C199" s="46" t="s">
        <v>64</v>
      </c>
      <c r="D199" s="46" t="s">
        <v>1013</v>
      </c>
      <c r="E199" s="119" t="s">
        <v>211</v>
      </c>
      <c r="F199" s="46" t="s">
        <v>213</v>
      </c>
      <c r="G199" s="134" t="s">
        <v>1921</v>
      </c>
      <c r="H199" s="46" t="s">
        <v>19</v>
      </c>
      <c r="I199" s="129">
        <v>46065</v>
      </c>
      <c r="J199" s="133"/>
      <c r="K199" s="46" t="s">
        <v>168</v>
      </c>
      <c r="L199" s="123">
        <f>VLOOKUP($C199&amp;$E199,'Updated SES'!A:N,14,0)</f>
        <v>36.498239999999996</v>
      </c>
      <c r="M199" s="124">
        <f>VLOOKUP($K199,'Genre Penetration'!A:B,2,0)*VLOOKUP($C199&amp;$E199,'Updated SES'!A:I,9,0)</f>
        <v>0.33280000000000004</v>
      </c>
      <c r="N199" s="124">
        <f>VLOOKUP(K:K,'Genre Penetration'!A:C,3,0)*VLOOKUP($C199&amp;$E199,'Updated SES'!A:J,10,0)</f>
        <v>0.17279999999999998</v>
      </c>
      <c r="O199" s="124">
        <f>VLOOKUP($B199,'Language Penetration'!$B$1:$BE$14,MATCH('Compile data Working'!$H179,'Language Penetration'!$B$1:$BE$1,0),0)</f>
        <v>0.6</v>
      </c>
      <c r="P199" s="124" t="str">
        <f t="shared" ca="1" si="9"/>
        <v>1%</v>
      </c>
      <c r="Q199" s="123">
        <f t="shared" ca="1" si="10"/>
        <v>0.11072106086400001</v>
      </c>
      <c r="R199" s="125">
        <f>VLOOKUP(D:D,ranking!W:X,2,0)</f>
        <v>0.8</v>
      </c>
      <c r="S199" s="126">
        <f t="shared" ref="S199:S209" ca="1" si="11">R199*Q199</f>
        <v>8.8576848691200014E-2</v>
      </c>
      <c r="T199" s="123">
        <v>0.18797993469578722</v>
      </c>
    </row>
    <row r="200" spans="1:20" x14ac:dyDescent="0.25">
      <c r="A200" s="98" t="s">
        <v>1781</v>
      </c>
      <c r="B200" s="98" t="s">
        <v>85</v>
      </c>
      <c r="C200" s="46" t="s">
        <v>1988</v>
      </c>
      <c r="D200" s="46" t="s">
        <v>1013</v>
      </c>
      <c r="E200" s="119" t="s">
        <v>211</v>
      </c>
      <c r="F200" s="46" t="s">
        <v>213</v>
      </c>
      <c r="G200" s="134" t="s">
        <v>1922</v>
      </c>
      <c r="H200" s="46" t="s">
        <v>19</v>
      </c>
      <c r="I200" s="129">
        <v>43858</v>
      </c>
      <c r="J200" s="133"/>
      <c r="K200" s="46" t="s">
        <v>1952</v>
      </c>
      <c r="L200" s="123">
        <f>VLOOKUP($C200&amp;$E200,'Updated SES'!A:N,14,0)</f>
        <v>127.11702000000001</v>
      </c>
      <c r="M200" s="124" t="e">
        <f>VLOOKUP($K200,'Genre Penetration'!A:B,2,0)*VLOOKUP($C200&amp;$E200,'Updated SES'!A:I,9,0)</f>
        <v>#N/A</v>
      </c>
      <c r="N200" s="124" t="e">
        <f>VLOOKUP(K:K,'Genre Penetration'!A:C,3,0)*VLOOKUP($C200&amp;$E200,'Updated SES'!A:J,10,0)</f>
        <v>#N/A</v>
      </c>
      <c r="O200" s="124" t="e">
        <f>VLOOKUP($B200,'Language Penetration'!$B$1:$BE$14,MATCH('Compile data Working'!#REF!,'Language Penetration'!$B$1:$BE$1,0),0)</f>
        <v>#REF!</v>
      </c>
      <c r="P200" s="124" t="str">
        <f t="shared" ca="1" si="9"/>
        <v>2%</v>
      </c>
      <c r="Q200" s="123" t="e">
        <f t="shared" ca="1" si="10"/>
        <v>#N/A</v>
      </c>
      <c r="R200" s="125">
        <f>VLOOKUP(D:D,ranking!W:X,2,0)</f>
        <v>0.8</v>
      </c>
      <c r="S200" s="126" t="e">
        <f t="shared" ca="1" si="11"/>
        <v>#N/A</v>
      </c>
      <c r="T200" s="123">
        <v>1.0919396775093095</v>
      </c>
    </row>
    <row r="201" spans="1:20" x14ac:dyDescent="0.25">
      <c r="A201" s="98" t="s">
        <v>1781</v>
      </c>
      <c r="B201" s="98" t="s">
        <v>85</v>
      </c>
      <c r="C201" s="46" t="s">
        <v>123</v>
      </c>
      <c r="D201" s="46" t="s">
        <v>1012</v>
      </c>
      <c r="E201" s="119" t="s">
        <v>211</v>
      </c>
      <c r="F201" s="46" t="s">
        <v>215</v>
      </c>
      <c r="G201" s="134" t="s">
        <v>1874</v>
      </c>
      <c r="H201" s="46" t="s">
        <v>19</v>
      </c>
      <c r="I201" s="129">
        <v>45512</v>
      </c>
      <c r="J201" s="133"/>
      <c r="K201" s="46" t="s">
        <v>1953</v>
      </c>
      <c r="L201" s="123">
        <f>VLOOKUP($C201&amp;$E201,'Updated SES'!A:N,14,0)</f>
        <v>55.459200000000003</v>
      </c>
      <c r="M201" s="124" t="e">
        <f>VLOOKUP($K201,'Genre Penetration'!A:B,2,0)*VLOOKUP($C201&amp;$E201,'Updated SES'!A:I,9,0)</f>
        <v>#N/A</v>
      </c>
      <c r="N201" s="124" t="e">
        <f>VLOOKUP(K:K,'Genre Penetration'!A:C,3,0)*VLOOKUP($C201&amp;$E201,'Updated SES'!A:J,10,0)</f>
        <v>#N/A</v>
      </c>
      <c r="O201" s="124" t="e">
        <f>VLOOKUP($B201,'Language Penetration'!$B$1:$BE$14,MATCH('Compile data Working'!#REF!,'Language Penetration'!$B$1:$BE$1,0),0)</f>
        <v>#REF!</v>
      </c>
      <c r="P201" s="124" t="str">
        <f t="shared" ca="1" si="9"/>
        <v>1%</v>
      </c>
      <c r="Q201" s="123" t="e">
        <f t="shared" ca="1" si="10"/>
        <v>#N/A</v>
      </c>
      <c r="R201" s="125">
        <f>VLOOKUP(D:D,ranking!W:X,2,0)</f>
        <v>0.6</v>
      </c>
      <c r="S201" s="126" t="e">
        <f t="shared" ca="1" si="11"/>
        <v>#N/A</v>
      </c>
      <c r="T201" s="123">
        <v>1.7062146757082046</v>
      </c>
    </row>
    <row r="202" spans="1:20" x14ac:dyDescent="0.25">
      <c r="A202" s="98" t="s">
        <v>1781</v>
      </c>
      <c r="B202" s="98" t="s">
        <v>85</v>
      </c>
      <c r="C202" s="46" t="s">
        <v>49</v>
      </c>
      <c r="D202" s="46" t="s">
        <v>1013</v>
      </c>
      <c r="E202" s="119" t="s">
        <v>211</v>
      </c>
      <c r="F202" s="46" t="s">
        <v>213</v>
      </c>
      <c r="G202" s="134" t="s">
        <v>1923</v>
      </c>
      <c r="H202" s="46" t="s">
        <v>23</v>
      </c>
      <c r="I202" s="129">
        <v>46157</v>
      </c>
      <c r="J202" s="133"/>
      <c r="K202" s="46" t="s">
        <v>124</v>
      </c>
      <c r="L202" s="123">
        <f>VLOOKUP($C202&amp;$E202,'Updated SES'!A:N,14,0)</f>
        <v>12.626640000000002</v>
      </c>
      <c r="M202" s="124">
        <f>VLOOKUP($K202,'Genre Penetration'!A:B,2,0)*VLOOKUP($C202&amp;$E202,'Updated SES'!A:I,9,0)</f>
        <v>0.34200000000000003</v>
      </c>
      <c r="N202" s="124">
        <f>VLOOKUP(K:K,'Genre Penetration'!A:C,3,0)*VLOOKUP($C202&amp;$E202,'Updated SES'!A:J,10,0)</f>
        <v>0.13200000000000001</v>
      </c>
      <c r="O202" s="124" t="e">
        <f>VLOOKUP($B202,'Language Penetration'!$B$1:$BE$14,MATCH('Compile data Working'!#REF!,'Language Penetration'!$B$1:$BE$1,0),0)</f>
        <v>#REF!</v>
      </c>
      <c r="P202" s="124" t="str">
        <f t="shared" ca="1" si="9"/>
        <v>2%</v>
      </c>
      <c r="Q202" s="123" t="e">
        <f t="shared" ca="1" si="10"/>
        <v>#REF!</v>
      </c>
      <c r="R202" s="125">
        <f>VLOOKUP(D:D,ranking!W:X,2,0)</f>
        <v>0.8</v>
      </c>
      <c r="S202" s="126" t="e">
        <f t="shared" ca="1" si="11"/>
        <v>#REF!</v>
      </c>
      <c r="T202" s="123">
        <v>2.0894196856193248</v>
      </c>
    </row>
    <row r="203" spans="1:20" x14ac:dyDescent="0.25">
      <c r="A203" s="98" t="s">
        <v>1781</v>
      </c>
      <c r="B203" s="98" t="s">
        <v>85</v>
      </c>
      <c r="C203" s="46" t="s">
        <v>123</v>
      </c>
      <c r="D203" s="46" t="s">
        <v>1012</v>
      </c>
      <c r="E203" s="119" t="s">
        <v>211</v>
      </c>
      <c r="F203" s="46" t="s">
        <v>215</v>
      </c>
      <c r="G203" s="134" t="s">
        <v>1925</v>
      </c>
      <c r="H203" s="46" t="s">
        <v>19</v>
      </c>
      <c r="I203" s="129">
        <v>44939</v>
      </c>
      <c r="J203" s="133"/>
      <c r="K203" s="46" t="s">
        <v>216</v>
      </c>
      <c r="L203" s="123">
        <f>VLOOKUP($C203&amp;$E203,'Updated SES'!A:N,14,0)</f>
        <v>55.459200000000003</v>
      </c>
      <c r="M203" s="124">
        <f>VLOOKUP($K203,'Genre Penetration'!A:B,2,0)*VLOOKUP($C203&amp;$E203,'Updated SES'!A:I,9,0)</f>
        <v>0.245</v>
      </c>
      <c r="N203" s="124">
        <f>VLOOKUP(K:K,'Genre Penetration'!A:C,3,0)*VLOOKUP($C203&amp;$E203,'Updated SES'!A:J,10,0)</f>
        <v>0.255</v>
      </c>
      <c r="O203" s="124">
        <f>VLOOKUP($B203,'Language Penetration'!$B$1:$BE$14,MATCH('Compile data Working'!$H186,'Language Penetration'!$B$1:$BE$1,0),0)</f>
        <v>0.12</v>
      </c>
      <c r="P203" s="124" t="str">
        <f t="shared" ca="1" si="9"/>
        <v>2%</v>
      </c>
      <c r="Q203" s="123">
        <f t="shared" ca="1" si="10"/>
        <v>6.6551039999999992E-2</v>
      </c>
      <c r="R203" s="125">
        <f>VLOOKUP(D:D,ranking!W:X,2,0)</f>
        <v>0.6</v>
      </c>
      <c r="S203" s="126">
        <f t="shared" ca="1" si="11"/>
        <v>3.9930623999999991E-2</v>
      </c>
      <c r="T203" s="123">
        <v>0.98111987971643311</v>
      </c>
    </row>
    <row r="204" spans="1:20" x14ac:dyDescent="0.25">
      <c r="A204" s="98" t="s">
        <v>1781</v>
      </c>
      <c r="B204" s="98" t="s">
        <v>85</v>
      </c>
      <c r="C204" s="46" t="s">
        <v>879</v>
      </c>
      <c r="D204" s="46" t="s">
        <v>1838</v>
      </c>
      <c r="E204" s="98" t="s">
        <v>219</v>
      </c>
      <c r="F204" s="46" t="s">
        <v>215</v>
      </c>
      <c r="G204" s="134" t="s">
        <v>1924</v>
      </c>
      <c r="H204" s="46" t="s">
        <v>19</v>
      </c>
      <c r="I204" s="129">
        <v>44174</v>
      </c>
      <c r="J204" s="133"/>
      <c r="K204" s="46" t="s">
        <v>1084</v>
      </c>
      <c r="L204" s="123">
        <f>VLOOKUP($C204&amp;$E204,'Updated SES'!A:N,14,0)</f>
        <v>78.939870000000013</v>
      </c>
      <c r="M204" s="124">
        <f>VLOOKUP($K204,'Genre Penetration'!A:B,2,0)*VLOOKUP($C204&amp;$E204,'Updated SES'!A:I,9,0)</f>
        <v>0.4</v>
      </c>
      <c r="N204" s="124">
        <f>VLOOKUP(K:K,'Genre Penetration'!A:C,3,0)*VLOOKUP($C204&amp;$E204,'Updated SES'!A:J,10,0)</f>
        <v>0.1</v>
      </c>
      <c r="O204" s="124" t="e">
        <f>VLOOKUP($B204,'Language Penetration'!$B$1:$BE$14,MATCH('Compile data Working'!#REF!,'Language Penetration'!$B$1:$BE$1,0),0)</f>
        <v>#REF!</v>
      </c>
      <c r="P204" s="124" t="str">
        <f t="shared" ca="1" si="9"/>
        <v>2%</v>
      </c>
      <c r="Q204" s="123" t="e">
        <f t="shared" ca="1" si="10"/>
        <v>#REF!</v>
      </c>
      <c r="R204" s="125">
        <f>VLOOKUP(D:D,ranking!W:X,2,0)</f>
        <v>0.6</v>
      </c>
      <c r="S204" s="126" t="e">
        <f t="shared" ca="1" si="11"/>
        <v>#REF!</v>
      </c>
      <c r="T204" s="123">
        <v>1.1998117976034786</v>
      </c>
    </row>
    <row r="205" spans="1:20" x14ac:dyDescent="0.25">
      <c r="A205" s="98" t="s">
        <v>1781</v>
      </c>
      <c r="B205" s="98" t="s">
        <v>85</v>
      </c>
      <c r="C205" s="46" t="s">
        <v>150</v>
      </c>
      <c r="D205" s="98" t="s">
        <v>456</v>
      </c>
      <c r="E205" s="98" t="s">
        <v>219</v>
      </c>
      <c r="F205" s="46" t="s">
        <v>1882</v>
      </c>
      <c r="G205" s="134" t="s">
        <v>1875</v>
      </c>
      <c r="H205" s="46" t="s">
        <v>29</v>
      </c>
      <c r="I205" s="129">
        <v>45705</v>
      </c>
      <c r="J205" s="133"/>
      <c r="K205" s="46" t="s">
        <v>970</v>
      </c>
      <c r="L205" s="123">
        <f>VLOOKUP($C205&amp;$E205,'Updated SES'!A:N,14,0)</f>
        <v>24.425800000000002</v>
      </c>
      <c r="M205" s="124">
        <f>VLOOKUP($K205,'Genre Penetration'!A:B,2,0)*VLOOKUP($C205&amp;$E205,'Updated SES'!A:I,9,0)</f>
        <v>0.34</v>
      </c>
      <c r="N205" s="124">
        <f>VLOOKUP(K:K,'Genre Penetration'!A:C,3,0)*VLOOKUP($C205&amp;$E205,'Updated SES'!A:J,10,0)</f>
        <v>0.16</v>
      </c>
      <c r="O205" s="124" t="e">
        <f>VLOOKUP($B205,'Language Penetration'!$B$1:$BE$14,MATCH('Compile data Working'!#REF!,'Language Penetration'!$B$1:$BE$1,0),0)</f>
        <v>#REF!</v>
      </c>
      <c r="P205" s="124" t="str">
        <f t="shared" ca="1" si="9"/>
        <v>2%</v>
      </c>
      <c r="Q205" s="123" t="e">
        <f t="shared" ca="1" si="10"/>
        <v>#REF!</v>
      </c>
      <c r="R205" s="125">
        <f>VLOOKUP(D:D,ranking!W:X,2,0)</f>
        <v>0.3</v>
      </c>
      <c r="S205" s="126" t="e">
        <f t="shared" ca="1" si="11"/>
        <v>#REF!</v>
      </c>
      <c r="T205" s="123">
        <v>0.99975421503316753</v>
      </c>
    </row>
    <row r="206" spans="1:20" x14ac:dyDescent="0.25">
      <c r="A206" s="98" t="s">
        <v>1781</v>
      </c>
      <c r="B206" s="98" t="s">
        <v>85</v>
      </c>
      <c r="C206" s="46" t="s">
        <v>1988</v>
      </c>
      <c r="D206" s="46" t="s">
        <v>1013</v>
      </c>
      <c r="E206" s="119" t="s">
        <v>211</v>
      </c>
      <c r="F206" s="46" t="s">
        <v>213</v>
      </c>
      <c r="G206" s="46" t="s">
        <v>1926</v>
      </c>
      <c r="H206" s="46" t="s">
        <v>19</v>
      </c>
      <c r="I206" s="129">
        <v>45558</v>
      </c>
      <c r="J206" s="46"/>
      <c r="K206" s="46" t="s">
        <v>962</v>
      </c>
      <c r="L206" s="123">
        <f>VLOOKUP($C206&amp;$E206,'Updated SES'!A:N,14,0)</f>
        <v>127.11702000000001</v>
      </c>
      <c r="M206" s="124">
        <f>VLOOKUP($K206,'Genre Penetration'!A:B,2,0)*VLOOKUP($C206&amp;$E206,'Updated SES'!A:I,9,0)</f>
        <v>0.36849999999999999</v>
      </c>
      <c r="N206" s="124">
        <f>VLOOKUP(K:K,'Genre Penetration'!A:C,3,0)*VLOOKUP($C206&amp;$E206,'Updated SES'!A:J,10,0)</f>
        <v>0.14849999999999999</v>
      </c>
      <c r="O206" s="124">
        <f>VLOOKUP($B206,'Language Penetration'!$B$1:$BE$14,MATCH('Compile data Working'!$H201,'Language Penetration'!$B$1:$BE$1,0),0)</f>
        <v>0.6</v>
      </c>
      <c r="P206" s="124" t="str">
        <f t="shared" ca="1" si="9"/>
        <v>1%</v>
      </c>
      <c r="Q206" s="123">
        <f t="shared" ca="1" si="10"/>
        <v>0.39431699604000009</v>
      </c>
      <c r="R206" s="125">
        <f>VLOOKUP(D:D,ranking!W:X,2,0)</f>
        <v>0.8</v>
      </c>
      <c r="S206" s="126">
        <f t="shared" ca="1" si="11"/>
        <v>0.31545359683200008</v>
      </c>
      <c r="T206" s="123">
        <v>0.4999910054771185</v>
      </c>
    </row>
    <row r="207" spans="1:20" x14ac:dyDescent="0.25">
      <c r="A207" s="98" t="s">
        <v>1781</v>
      </c>
      <c r="B207" s="98" t="s">
        <v>85</v>
      </c>
      <c r="C207" s="46" t="s">
        <v>1988</v>
      </c>
      <c r="D207" s="46" t="s">
        <v>1012</v>
      </c>
      <c r="E207" s="119" t="s">
        <v>211</v>
      </c>
      <c r="F207" s="46" t="s">
        <v>215</v>
      </c>
      <c r="G207" s="46" t="s">
        <v>1789</v>
      </c>
      <c r="H207" s="46" t="s">
        <v>23</v>
      </c>
      <c r="I207" s="129">
        <v>46087</v>
      </c>
      <c r="J207" s="46"/>
      <c r="K207" s="46" t="s">
        <v>964</v>
      </c>
      <c r="L207" s="123">
        <f>VLOOKUP($C207&amp;$E207,'Updated SES'!A:N,14,0)</f>
        <v>127.11702000000001</v>
      </c>
      <c r="M207" s="124">
        <f>VLOOKUP($K207,'Genre Penetration'!A:B,2,0)*VLOOKUP($C207&amp;$E207,'Updated SES'!A:I,9,0)</f>
        <v>0.36849999999999999</v>
      </c>
      <c r="N207" s="124">
        <f>VLOOKUP(K:K,'Genre Penetration'!A:C,3,0)*VLOOKUP($C207&amp;$E207,'Updated SES'!A:J,10,0)</f>
        <v>0.14849999999999999</v>
      </c>
      <c r="O207" s="124">
        <f>VLOOKUP($B207,'Language Penetration'!$B$1:$BE$14,MATCH('Compile data Working'!$H200,'Language Penetration'!$B$1:$BE$1,0),0)</f>
        <v>0.6</v>
      </c>
      <c r="P207" s="124" t="str">
        <f t="shared" ca="1" si="9"/>
        <v>1%</v>
      </c>
      <c r="Q207" s="123">
        <f t="shared" ca="1" si="10"/>
        <v>0.39431699604000009</v>
      </c>
      <c r="R207" s="125">
        <f>VLOOKUP(D:D,ranking!W:X,2,0)</f>
        <v>0.6</v>
      </c>
      <c r="S207" s="126">
        <f t="shared" ca="1" si="11"/>
        <v>0.23659019762400005</v>
      </c>
      <c r="T207" s="123">
        <v>0.55130521528267573</v>
      </c>
    </row>
    <row r="208" spans="1:20" x14ac:dyDescent="0.25">
      <c r="A208" s="98" t="s">
        <v>1781</v>
      </c>
      <c r="B208" s="98" t="s">
        <v>85</v>
      </c>
      <c r="C208" s="46" t="s">
        <v>1988</v>
      </c>
      <c r="D208" s="46" t="s">
        <v>1012</v>
      </c>
      <c r="E208" s="119" t="s">
        <v>211</v>
      </c>
      <c r="F208" s="46" t="s">
        <v>215</v>
      </c>
      <c r="G208" s="46" t="s">
        <v>1927</v>
      </c>
      <c r="H208" s="46" t="s">
        <v>19</v>
      </c>
      <c r="I208" s="129">
        <v>44211</v>
      </c>
      <c r="J208" s="46"/>
      <c r="K208" s="46" t="s">
        <v>1953</v>
      </c>
      <c r="L208" s="123">
        <f>VLOOKUP($C208&amp;$E208,'Updated SES'!A:N,14,0)</f>
        <v>127.11702000000001</v>
      </c>
      <c r="M208" s="124" t="e">
        <f>VLOOKUP($K208,'Genre Penetration'!A:B,2,0)*VLOOKUP($C208&amp;$E208,'Updated SES'!A:I,9,0)</f>
        <v>#N/A</v>
      </c>
      <c r="N208" s="124" t="e">
        <f>VLOOKUP(K:K,'Genre Penetration'!A:C,3,0)*VLOOKUP($C208&amp;$E208,'Updated SES'!A:J,10,0)</f>
        <v>#N/A</v>
      </c>
      <c r="O208" s="124" t="e">
        <f>VLOOKUP($B208,'Language Penetration'!$B$1:$BE$14,MATCH('Compile data Working'!#REF!,'Language Penetration'!$B$1:$BE$1,0),0)</f>
        <v>#REF!</v>
      </c>
      <c r="P208" s="124" t="str">
        <f t="shared" ca="1" si="9"/>
        <v>1%</v>
      </c>
      <c r="Q208" s="123" t="e">
        <f t="shared" ca="1" si="10"/>
        <v>#N/A</v>
      </c>
      <c r="R208" s="125">
        <f>VLOOKUP(D:D,ranking!W:X,2,0)</f>
        <v>0.6</v>
      </c>
      <c r="S208" s="126" t="e">
        <f t="shared" ca="1" si="11"/>
        <v>#N/A</v>
      </c>
      <c r="T208" s="123">
        <v>1.3354359801757851</v>
      </c>
    </row>
    <row r="209" spans="1:20" x14ac:dyDescent="0.25">
      <c r="A209" s="98" t="s">
        <v>1781</v>
      </c>
      <c r="B209" s="98" t="s">
        <v>85</v>
      </c>
      <c r="C209" s="46" t="s">
        <v>1988</v>
      </c>
      <c r="D209" s="98" t="s">
        <v>456</v>
      </c>
      <c r="E209" s="98" t="s">
        <v>211</v>
      </c>
      <c r="F209" s="46" t="s">
        <v>1882</v>
      </c>
      <c r="G209" s="46" t="s">
        <v>1790</v>
      </c>
      <c r="H209" s="46" t="s">
        <v>19</v>
      </c>
      <c r="I209" s="129">
        <v>39825</v>
      </c>
      <c r="J209" s="46"/>
      <c r="K209" s="46" t="s">
        <v>950</v>
      </c>
      <c r="L209" s="123">
        <f>VLOOKUP($C209&amp;$E209,'Updated SES'!A:N,14,0)</f>
        <v>127.11702000000001</v>
      </c>
      <c r="M209" s="124" t="e">
        <f>VLOOKUP($K209,'Genre Penetration'!A:B,2,0)*VLOOKUP($C209&amp;$E209,'Updated SES'!A:I,9,0)</f>
        <v>#N/A</v>
      </c>
      <c r="N209" s="124" t="e">
        <f>VLOOKUP(K:K,'Genre Penetration'!A:C,3,0)*VLOOKUP($C209&amp;$E209,'Updated SES'!A:J,10,0)</f>
        <v>#N/A</v>
      </c>
      <c r="O209" s="124" t="e">
        <f>VLOOKUP($B209,'Language Penetration'!$B$1:$BE$14,MATCH('Compile data Working'!#REF!,'Language Penetration'!$B$1:$BE$1,0),0)</f>
        <v>#REF!</v>
      </c>
      <c r="P209" s="124" t="str">
        <f t="shared" ca="1" si="9"/>
        <v>2%</v>
      </c>
      <c r="Q209" s="123" t="e">
        <f t="shared" ca="1" si="10"/>
        <v>#N/A</v>
      </c>
      <c r="R209" s="125">
        <f>VLOOKUP(D:D,ranking!W:X,2,0)</f>
        <v>0.3</v>
      </c>
      <c r="S209" s="126" t="e">
        <f t="shared" ca="1" si="11"/>
        <v>#N/A</v>
      </c>
      <c r="T209" s="123">
        <v>9.1672135459430883</v>
      </c>
    </row>
    <row r="210" spans="1:20" x14ac:dyDescent="0.25">
      <c r="A210" s="98" t="s">
        <v>1781</v>
      </c>
      <c r="B210" s="98" t="s">
        <v>85</v>
      </c>
      <c r="C210" s="46" t="s">
        <v>1988</v>
      </c>
      <c r="D210" s="46" t="s">
        <v>859</v>
      </c>
      <c r="E210" s="119" t="s">
        <v>211</v>
      </c>
      <c r="F210" s="46" t="s">
        <v>213</v>
      </c>
      <c r="G210" s="46" t="s">
        <v>2065</v>
      </c>
      <c r="H210" s="46" t="s">
        <v>246</v>
      </c>
      <c r="I210" s="53">
        <v>46177</v>
      </c>
      <c r="J210" s="46"/>
      <c r="K210" s="46" t="s">
        <v>90</v>
      </c>
      <c r="L210" s="123">
        <f>VLOOKUP($C210&amp;$E210,'Updated SES'!A:N,14,0)</f>
        <v>127.11702000000001</v>
      </c>
      <c r="M210" s="124">
        <f>VLOOKUP($K210,'Genre Penetration'!A:B,2,0)*VLOOKUP($C210&amp;$E210,'Updated SES'!A:I,9,0)</f>
        <v>0.48239999999999994</v>
      </c>
      <c r="N210" s="124">
        <f>VLOOKUP(K:K,'Genre Penetration'!A:C,3,0)*VLOOKUP($C210&amp;$E210,'Updated SES'!A:J,10,0)</f>
        <v>9.2399999999999996E-2</v>
      </c>
      <c r="O210" s="124" t="e">
        <f>VLOOKUP($B210,'Language Penetration'!$B$1:$BE$14,MATCH('Compile data Working'!#REF!,'Language Penetration'!$B$1:$BE$1,0),0)</f>
        <v>#REF!</v>
      </c>
      <c r="P210" s="124" t="str">
        <f t="shared" ref="P210" ca="1" si="12">IF(ISBLANK(J210),RANDBETWEEN(1,2)&amp;"%",IF(J210=1,RANDBETWEEN(35,40)&amp;"%",IF(J210=2,RANDBETWEEN(30,35)&amp;"%",IF(J210=3,RANDBETWEEN(25,30)&amp;"%",IF(J210=4,RANDBETWEEN(20,25)&amp;"%",IF(J210=5,RANDBETWEEN(15,20)&amp;"%",IF(J210=6,RANDBETWEEN(10,15)&amp;"%",IF(J210=7,RANDBETWEEN(8,10)&amp;"%",IF(J210=8,RANDBETWEEN(6,8)&amp;"%",IF(J210=9,RANDBETWEEN(4,6)&amp;"%",IF(J210=10,RANDBETWEEN(2,4)&amp;"%","")))))))))))</f>
        <v>1%</v>
      </c>
      <c r="Q210" s="123" t="e">
        <f t="shared" ref="Q210" ca="1" si="13">IFERROR(L210*(M210+N210)*O210*P210,RANDBETWEEN(1,2)%*L210*(M210+N210)*O210)</f>
        <v>#REF!</v>
      </c>
      <c r="R210" s="125">
        <f>VLOOKUP(D:D,ranking!W:X,2,0)</f>
        <v>0.7</v>
      </c>
      <c r="T210" s="101">
        <v>81.315472382560088</v>
      </c>
    </row>
  </sheetData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topLeftCell="A16" zoomScale="80" zoomScaleNormal="80" workbookViewId="0">
      <selection activeCell="B44" sqref="B44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JioHotstarFREE</v>
      </c>
      <c r="B21" s="37" t="s">
        <v>1988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0.1089792161443216</v>
      </c>
      <c r="V21" s="83">
        <f ca="1">V9*RANDBETWEEN(80,110)/100</f>
        <v>3.5171669353254324E-2</v>
      </c>
      <c r="W21" s="83">
        <f ca="1">W9*RANDBETWEEN(95,115)/100</f>
        <v>4.0603078083621638E-2</v>
      </c>
      <c r="X21" s="83">
        <f ca="1">X9*RANDBETWEEN(98,118)/100</f>
        <v>8.5776357459495536E-2</v>
      </c>
      <c r="Y21" s="83">
        <f t="shared" ref="Y21:AG21" ca="1" si="2">Y9*RANDBETWEEN(90,105)/100</f>
        <v>1.3648782561722432E-2</v>
      </c>
      <c r="Z21" s="83">
        <f t="shared" ca="1" si="2"/>
        <v>3.8353561118177996E-2</v>
      </c>
      <c r="AA21" s="83">
        <f t="shared" ca="1" si="2"/>
        <v>3.0316261529799323E-2</v>
      </c>
      <c r="AB21" s="83">
        <f t="shared" ca="1" si="2"/>
        <v>3.3311809863499166E-2</v>
      </c>
      <c r="AC21" s="83">
        <f t="shared" ca="1" si="2"/>
        <v>0.13355257929095674</v>
      </c>
      <c r="AD21" s="83">
        <f t="shared" ca="1" si="2"/>
        <v>2.4121394019373472E-2</v>
      </c>
      <c r="AE21" s="83">
        <f t="shared" ca="1" si="2"/>
        <v>3.1394816699115265E-2</v>
      </c>
      <c r="AF21" s="83">
        <f t="shared" ca="1" si="2"/>
        <v>0.10547325656547732</v>
      </c>
      <c r="AG21" s="83">
        <f t="shared" ca="1" si="2"/>
        <v>4.9349158846607864E-2</v>
      </c>
      <c r="AK21" s="82" t="s">
        <v>1245</v>
      </c>
      <c r="AL21" s="83">
        <f ca="1">AL9*RANDBETWEEN(90,105)/100</f>
        <v>0.16594343138416798</v>
      </c>
      <c r="AM21" s="83">
        <f t="shared" ref="AM21:AX21" ca="1" si="3">AM9*RANDBETWEEN(90,105)/100</f>
        <v>0.22927870166299338</v>
      </c>
      <c r="AN21" s="83">
        <f t="shared" ca="1" si="3"/>
        <v>0.23572054101391454</v>
      </c>
      <c r="AO21" s="83">
        <f t="shared" ca="1" si="3"/>
        <v>0.32178726419271997</v>
      </c>
      <c r="AP21" s="83">
        <f t="shared" ca="1" si="3"/>
        <v>0.1920822821657287</v>
      </c>
      <c r="AQ21" s="83">
        <f t="shared" ca="1" si="3"/>
        <v>0.1986486486486487</v>
      </c>
      <c r="AR21" s="83">
        <f t="shared" ca="1" si="3"/>
        <v>0.17942345924453282</v>
      </c>
      <c r="AS21" s="83">
        <f t="shared" ca="1" si="3"/>
        <v>1.0650257381220045E-3</v>
      </c>
      <c r="AT21" s="83">
        <f t="shared" ca="1" si="3"/>
        <v>4.0831286814262237E-3</v>
      </c>
      <c r="AU21" s="83">
        <f t="shared" ca="1" si="3"/>
        <v>2.1335620283648945E-3</v>
      </c>
      <c r="AV21" s="83">
        <f t="shared" ca="1" si="3"/>
        <v>0.50521757496887754</v>
      </c>
      <c r="AW21" s="83">
        <f t="shared" ca="1" si="3"/>
        <v>0.20777810105712347</v>
      </c>
      <c r="AX21" s="83">
        <f t="shared" ca="1" si="3"/>
        <v>8.8826309966810818E-2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0.12789463783645</v>
      </c>
      <c r="V22" s="83">
        <f t="shared" ref="V22:V28" ca="1" si="4">V10*RANDBETWEEN(80,110)/100</f>
        <v>0.1948205097723299</v>
      </c>
      <c r="W22" s="83">
        <f t="shared" ref="W22:W28" ca="1" si="5">W10*RANDBETWEEN(95,115)/100</f>
        <v>0.25174519523731476</v>
      </c>
      <c r="X22" s="83">
        <f t="shared" ref="X22:X28" ca="1" si="6">X10*RANDBETWEEN(98,118)/100</f>
        <v>0.34324864059902238</v>
      </c>
      <c r="Y22" s="83">
        <f t="shared" ref="U22:AG28" ca="1" si="7">Y10*RANDBETWEEN(90,105)/100</f>
        <v>0.1199082367223428</v>
      </c>
      <c r="Z22" s="83">
        <f t="shared" ca="1" si="7"/>
        <v>0.10592108229789755</v>
      </c>
      <c r="AA22" s="83">
        <f t="shared" ca="1" si="7"/>
        <v>0.20154151278832633</v>
      </c>
      <c r="AB22" s="83">
        <f t="shared" ca="1" si="7"/>
        <v>0.16587897838023383</v>
      </c>
      <c r="AC22" s="83">
        <f t="shared" ca="1" si="7"/>
        <v>0.14055648849446462</v>
      </c>
      <c r="AD22" s="83">
        <f t="shared" ca="1" si="7"/>
        <v>4.7716227498995671E-2</v>
      </c>
      <c r="AE22" s="83">
        <f t="shared" ca="1" si="7"/>
        <v>0.14162627717024212</v>
      </c>
      <c r="AF22" s="83">
        <f t="shared" ca="1" si="7"/>
        <v>0.23735337494698086</v>
      </c>
      <c r="AG22" s="83">
        <f t="shared" ca="1" si="7"/>
        <v>0.2362351684555356</v>
      </c>
      <c r="AK22" s="82" t="s">
        <v>1246</v>
      </c>
      <c r="AL22" s="83">
        <f ca="1">AL10*RANDBETWEEN(90,105)/100</f>
        <v>0.15261917063697239</v>
      </c>
      <c r="AM22" s="83">
        <f t="shared" ref="AM22:AX22" ca="1" si="8">AM10*RANDBETWEEN(90,105)/100</f>
        <v>9.9158485273492303E-2</v>
      </c>
      <c r="AN22" s="83">
        <f t="shared" ca="1" si="8"/>
        <v>7.673834776685802E-2</v>
      </c>
      <c r="AO22" s="83">
        <f t="shared" ca="1" si="8"/>
        <v>0.33521447760753409</v>
      </c>
      <c r="AP22" s="83">
        <f t="shared" ca="1" si="8"/>
        <v>0.15864544925286242</v>
      </c>
      <c r="AQ22" s="83">
        <f t="shared" ca="1" si="8"/>
        <v>0.12046332046332049</v>
      </c>
      <c r="AR22" s="83">
        <f t="shared" ca="1" si="8"/>
        <v>0.1431858846918489</v>
      </c>
      <c r="AS22" s="83">
        <f t="shared" ca="1" si="8"/>
        <v>9.2696684614322611E-4</v>
      </c>
      <c r="AT22" s="83">
        <f t="shared" ca="1" si="8"/>
        <v>3.697250586258471E-3</v>
      </c>
      <c r="AU22" s="83">
        <f t="shared" ca="1" si="8"/>
        <v>4.1060566755847403E-3</v>
      </c>
      <c r="AV22" s="83">
        <f t="shared" ca="1" si="8"/>
        <v>0.3479720029239054</v>
      </c>
      <c r="AW22" s="83">
        <f t="shared" ca="1" si="8"/>
        <v>0.11514693046261276</v>
      </c>
      <c r="AX22" s="83">
        <f t="shared" ca="1" si="8"/>
        <v>0.13471789198431056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0.17015361362380943</v>
      </c>
      <c r="V23" s="83">
        <f t="shared" ca="1" si="4"/>
        <v>0.19060421240396347</v>
      </c>
      <c r="W23" s="83">
        <f t="shared" ca="1" si="5"/>
        <v>0.18151712669658734</v>
      </c>
      <c r="X23" s="83">
        <f t="shared" ca="1" si="6"/>
        <v>0.20620892564448914</v>
      </c>
      <c r="Y23" s="83">
        <f t="shared" ca="1" si="7"/>
        <v>0.31321729271812204</v>
      </c>
      <c r="Z23" s="83">
        <f t="shared" ca="1" si="7"/>
        <v>0.19794963195535548</v>
      </c>
      <c r="AA23" s="83">
        <f t="shared" ca="1" si="7"/>
        <v>0.37001843556689357</v>
      </c>
      <c r="AB23" s="83">
        <f t="shared" ca="1" si="7"/>
        <v>0.18785797169930751</v>
      </c>
      <c r="AC23" s="83">
        <f t="shared" ca="1" si="7"/>
        <v>0.21061301064964433</v>
      </c>
      <c r="AD23" s="83">
        <f t="shared" ca="1" si="7"/>
        <v>0.23882509191774071</v>
      </c>
      <c r="AE23" s="83">
        <f t="shared" ca="1" si="7"/>
        <v>0.33298188156295</v>
      </c>
      <c r="AF23" s="83">
        <f t="shared" ca="1" si="7"/>
        <v>0.10446034905166852</v>
      </c>
      <c r="AG23" s="83">
        <f t="shared" ca="1" si="7"/>
        <v>0.23782246265240078</v>
      </c>
      <c r="AK23" s="82" t="s">
        <v>1247</v>
      </c>
      <c r="AL23" s="83">
        <f ca="1">AL11*RANDBETWEEN(90,105)/100</f>
        <v>0.15712780193912632</v>
      </c>
      <c r="AM23" s="83">
        <f t="shared" ref="AM23:AX23" ca="1" si="9">AM11*RANDBETWEEN(90,105)/100</f>
        <v>0.16791825285513923</v>
      </c>
      <c r="AN23" s="83">
        <f t="shared" ca="1" si="9"/>
        <v>0.19870000973046612</v>
      </c>
      <c r="AO23" s="83">
        <f t="shared" ca="1" si="9"/>
        <v>4.8463377911611037E-3</v>
      </c>
      <c r="AP23" s="83">
        <f t="shared" ca="1" si="9"/>
        <v>0.15116631088686203</v>
      </c>
      <c r="AQ23" s="83">
        <f t="shared" ca="1" si="9"/>
        <v>0.15511969111969115</v>
      </c>
      <c r="AR23" s="83">
        <f t="shared" ca="1" si="9"/>
        <v>0.13699403578528827</v>
      </c>
      <c r="AS23" s="83">
        <f t="shared" ca="1" si="9"/>
        <v>0.46035737530323639</v>
      </c>
      <c r="AT23" s="83">
        <f t="shared" ca="1" si="9"/>
        <v>2.1213785844858466E-3</v>
      </c>
      <c r="AU23" s="83">
        <f t="shared" ca="1" si="9"/>
        <v>0.4795200501786841</v>
      </c>
      <c r="AV23" s="83">
        <f t="shared" ca="1" si="9"/>
        <v>2.5776406886167226E-3</v>
      </c>
      <c r="AW23" s="83">
        <f t="shared" ca="1" si="9"/>
        <v>0.14399185336048881</v>
      </c>
      <c r="AX23" s="83">
        <f t="shared" ca="1" si="9"/>
        <v>0.18923866036407522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0.10560955377694986</v>
      </c>
      <c r="V24" s="83">
        <f t="shared" ca="1" si="4"/>
        <v>0.11103680727784133</v>
      </c>
      <c r="W24" s="83">
        <f t="shared" ca="1" si="5"/>
        <v>8.3941654580550043E-2</v>
      </c>
      <c r="X24" s="83">
        <f t="shared" ca="1" si="6"/>
        <v>6.8160998587222896E-2</v>
      </c>
      <c r="Y24" s="83">
        <f t="shared" ca="1" si="7"/>
        <v>8.4377215806389738E-2</v>
      </c>
      <c r="Z24" s="83">
        <f t="shared" ca="1" si="7"/>
        <v>2.8400765901133215E-2</v>
      </c>
      <c r="AA24" s="83">
        <f t="shared" ca="1" si="7"/>
        <v>8.1994639993143034E-2</v>
      </c>
      <c r="AB24" s="83">
        <f t="shared" ca="1" si="7"/>
        <v>8.2272151698141283E-2</v>
      </c>
      <c r="AC24" s="83">
        <f t="shared" ca="1" si="7"/>
        <v>7.07191376034004E-2</v>
      </c>
      <c r="AD24" s="83">
        <f t="shared" ca="1" si="7"/>
        <v>8.1035860615882693E-2</v>
      </c>
      <c r="AE24" s="83">
        <f t="shared" ca="1" si="7"/>
        <v>0.18247905292534178</v>
      </c>
      <c r="AF24" s="83">
        <f t="shared" ca="1" si="7"/>
        <v>0.12072855838295528</v>
      </c>
      <c r="AG24" s="83">
        <f t="shared" ca="1" si="7"/>
        <v>9.0102486780733473E-2</v>
      </c>
      <c r="AK24" s="82" t="s">
        <v>1248</v>
      </c>
      <c r="AL24" s="83">
        <f ca="1">AL12*RANDBETWEEN(90,105)/100</f>
        <v>0.10687768719874333</v>
      </c>
      <c r="AM24" s="83">
        <f t="shared" ref="AM24:AX24" ca="1" si="10">AM12*RANDBETWEEN(90,105)/100</f>
        <v>9.4724504107393304E-2</v>
      </c>
      <c r="AN24" s="83">
        <f t="shared" ca="1" si="10"/>
        <v>6.9884207453537031E-2</v>
      </c>
      <c r="AO24" s="83">
        <f t="shared" ca="1" si="10"/>
        <v>3.4349481888229579E-3</v>
      </c>
      <c r="AP24" s="83">
        <f t="shared" ca="1" si="10"/>
        <v>0.12818552299631283</v>
      </c>
      <c r="AQ24" s="83">
        <f t="shared" ca="1" si="10"/>
        <v>9.5698841698841727E-2</v>
      </c>
      <c r="AR24" s="83">
        <f t="shared" ca="1" si="10"/>
        <v>0.13976938369781311</v>
      </c>
      <c r="AS24" s="83">
        <f t="shared" ca="1" si="10"/>
        <v>0.49821016507898941</v>
      </c>
      <c r="AT24" s="83">
        <f t="shared" ca="1" si="10"/>
        <v>3.6311095518584851E-3</v>
      </c>
      <c r="AU24" s="83">
        <f t="shared" ca="1" si="10"/>
        <v>0.42879050399377405</v>
      </c>
      <c r="AV24" s="83">
        <f t="shared" ca="1" si="10"/>
        <v>4.5601829095584653E-3</v>
      </c>
      <c r="AW24" s="83">
        <f t="shared" ca="1" si="10"/>
        <v>8.7518184463194648E-2</v>
      </c>
      <c r="AX24" s="83">
        <f t="shared" ca="1" si="10"/>
        <v>0.18465251936035401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6.2816807308535824E-2</v>
      </c>
      <c r="V25" s="83">
        <f t="shared" ca="1" si="4"/>
        <v>5.5865877896071135E-2</v>
      </c>
      <c r="W25" s="83">
        <f t="shared" ca="1" si="5"/>
        <v>5.4250272949381589E-2</v>
      </c>
      <c r="X25" s="83">
        <f t="shared" ca="1" si="6"/>
        <v>5.0673211807150606E-2</v>
      </c>
      <c r="Y25" s="83">
        <f t="shared" ca="1" si="7"/>
        <v>2.7904974867518494E-2</v>
      </c>
      <c r="Z25" s="83">
        <f t="shared" ca="1" si="7"/>
        <v>8.6723787160199017E-2</v>
      </c>
      <c r="AA25" s="83">
        <f t="shared" ca="1" si="7"/>
        <v>4.3106644871640044E-2</v>
      </c>
      <c r="AB25" s="83">
        <f t="shared" ca="1" si="7"/>
        <v>0.16498932861130097</v>
      </c>
      <c r="AC25" s="83">
        <f t="shared" ca="1" si="7"/>
        <v>0.1541672247944616</v>
      </c>
      <c r="AD25" s="83">
        <f t="shared" ca="1" si="7"/>
        <v>0.16655814049871501</v>
      </c>
      <c r="AE25" s="83">
        <f t="shared" ca="1" si="7"/>
        <v>4.5075964739445057E-2</v>
      </c>
      <c r="AF25" s="83">
        <f t="shared" ca="1" si="7"/>
        <v>4.752170895790768E-2</v>
      </c>
      <c r="AG25" s="83">
        <f t="shared" ca="1" si="7"/>
        <v>6.4597942395037813E-2</v>
      </c>
      <c r="AK25" s="82" t="s">
        <v>1249</v>
      </c>
      <c r="AL25" s="83">
        <f ca="1">AL13*RANDBETWEEN(90,105)/100</f>
        <v>0.13111884385693584</v>
      </c>
      <c r="AM25" s="83">
        <f t="shared" ref="AM25:AX25" ca="1" si="11">AM13*RANDBETWEEN(90,105)/100</f>
        <v>0.20420757363253858</v>
      </c>
      <c r="AN25" s="83">
        <f t="shared" ca="1" si="11"/>
        <v>0.24882164055658268</v>
      </c>
      <c r="AO25" s="83">
        <f t="shared" ca="1" si="11"/>
        <v>0.10316181029138255</v>
      </c>
      <c r="AP25" s="83">
        <f t="shared" ca="1" si="11"/>
        <v>0.17102270522026</v>
      </c>
      <c r="AQ25" s="83">
        <f t="shared" ca="1" si="11"/>
        <v>0.18312741312741315</v>
      </c>
      <c r="AR25" s="83">
        <f t="shared" ca="1" si="11"/>
        <v>0.17710139165009942</v>
      </c>
      <c r="AS25" s="83">
        <f t="shared" ca="1" si="11"/>
        <v>4.8907362483482245E-3</v>
      </c>
      <c r="AT25" s="83">
        <f t="shared" ca="1" si="11"/>
        <v>3.6816293369278212E-3</v>
      </c>
      <c r="AU25" s="83">
        <f t="shared" ca="1" si="11"/>
        <v>1.1666544059285187E-3</v>
      </c>
      <c r="AV25" s="83">
        <f t="shared" ca="1" si="11"/>
        <v>2.8655830826178493E-3</v>
      </c>
      <c r="AW25" s="83">
        <f t="shared" ca="1" si="11"/>
        <v>0.23971486761710797</v>
      </c>
      <c r="AX25" s="83">
        <f t="shared" ca="1" si="11"/>
        <v>0.14434275369606758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0.15236691106227054</v>
      </c>
      <c r="V26" s="83">
        <f t="shared" ca="1" si="4"/>
        <v>0.14312591184633</v>
      </c>
      <c r="W26" s="83">
        <f t="shared" ca="1" si="5"/>
        <v>0.20393890614442481</v>
      </c>
      <c r="X26" s="83">
        <f t="shared" ca="1" si="6"/>
        <v>0.16779881824076262</v>
      </c>
      <c r="Y26" s="83">
        <f t="shared" ca="1" si="7"/>
        <v>0.15346202467211245</v>
      </c>
      <c r="Z26" s="83">
        <f t="shared" ca="1" si="7"/>
        <v>0.19757646914518254</v>
      </c>
      <c r="AA26" s="83">
        <f t="shared" ca="1" si="7"/>
        <v>0.10677330465376741</v>
      </c>
      <c r="AB26" s="83">
        <f t="shared" ca="1" si="7"/>
        <v>0.11671962478420056</v>
      </c>
      <c r="AC26" s="83">
        <f t="shared" ca="1" si="7"/>
        <v>8.7947588352148595E-2</v>
      </c>
      <c r="AD26" s="83">
        <f t="shared" ca="1" si="7"/>
        <v>0.16786815020063556</v>
      </c>
      <c r="AE26" s="83">
        <f t="shared" ca="1" si="7"/>
        <v>9.6544419833186429E-2</v>
      </c>
      <c r="AF26" s="83">
        <f t="shared" ca="1" si="7"/>
        <v>0.22254952083938981</v>
      </c>
      <c r="AG26" s="83">
        <f t="shared" ca="1" si="7"/>
        <v>0.10105469828526269</v>
      </c>
      <c r="AK26" s="82" t="s">
        <v>1250</v>
      </c>
      <c r="AL26" s="83">
        <f t="shared" ref="AL26:AX26" ca="1" si="12">AL14*RANDBETWEEN(90,105)/100</f>
        <v>0.11586055292788693</v>
      </c>
      <c r="AM26" s="83">
        <f t="shared" ca="1" si="12"/>
        <v>7.765978761771189E-2</v>
      </c>
      <c r="AN26" s="83">
        <f t="shared" ca="1" si="12"/>
        <v>6.3718984139340268E-2</v>
      </c>
      <c r="AO26" s="83">
        <f t="shared" ca="1" si="12"/>
        <v>7.6917308770997575E-2</v>
      </c>
      <c r="AP26" s="83">
        <f t="shared" ca="1" si="12"/>
        <v>9.3945274597321951E-2</v>
      </c>
      <c r="AQ26" s="83">
        <f t="shared" ca="1" si="12"/>
        <v>9.0347490347490372E-2</v>
      </c>
      <c r="AR26" s="83">
        <f t="shared" ca="1" si="12"/>
        <v>9.9363817097415513E-2</v>
      </c>
      <c r="AS26" s="83">
        <f t="shared" ca="1" si="12"/>
        <v>9.6641224385144841E-4</v>
      </c>
      <c r="AT26" s="83">
        <f t="shared" ca="1" si="12"/>
        <v>4.675425152796499E-3</v>
      </c>
      <c r="AU26" s="83">
        <f t="shared" ca="1" si="12"/>
        <v>6.5656252782864888E-3</v>
      </c>
      <c r="AV26" s="83">
        <f t="shared" ca="1" si="12"/>
        <v>3.5285426316901129E-3</v>
      </c>
      <c r="AW26" s="83">
        <f t="shared" ca="1" si="12"/>
        <v>9.0902919212491523E-2</v>
      </c>
      <c r="AX26" s="83">
        <f t="shared" ca="1" si="12"/>
        <v>9.554460424419188E-2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0.10786967509549607</v>
      </c>
      <c r="V27" s="83">
        <f t="shared" ca="1" si="4"/>
        <v>0.18155104053890017</v>
      </c>
      <c r="W27" s="83">
        <f t="shared" ca="1" si="5"/>
        <v>0.15687817965426087</v>
      </c>
      <c r="X27" s="83">
        <f t="shared" ca="1" si="6"/>
        <v>0.11292522165522706</v>
      </c>
      <c r="Y27" s="83">
        <f t="shared" ca="1" si="7"/>
        <v>0.19669282325775278</v>
      </c>
      <c r="Z27" s="83">
        <f t="shared" ca="1" si="7"/>
        <v>0.18297053922081224</v>
      </c>
      <c r="AA27" s="83">
        <f t="shared" ca="1" si="7"/>
        <v>6.9852277685525765E-2</v>
      </c>
      <c r="AB27" s="83">
        <f t="shared" ca="1" si="7"/>
        <v>0.13070021044186494</v>
      </c>
      <c r="AC27" s="83">
        <f t="shared" ca="1" si="7"/>
        <v>9.8019334135623859E-2</v>
      </c>
      <c r="AD27" s="83">
        <f t="shared" ca="1" si="7"/>
        <v>8.4148586278326706E-2</v>
      </c>
      <c r="AE27" s="83">
        <f t="shared" ca="1" si="7"/>
        <v>8.3360230376635494E-2</v>
      </c>
      <c r="AF27" s="83">
        <f t="shared" ca="1" si="7"/>
        <v>8.5605486270758993E-2</v>
      </c>
      <c r="AG27" s="83">
        <f t="shared" ca="1" si="7"/>
        <v>0.12575076667871887</v>
      </c>
      <c r="AK27" s="82" t="s">
        <v>1251</v>
      </c>
      <c r="AL27" s="83">
        <f t="shared" ref="AL27:AX27" ca="1" si="13">AL15*RANDBETWEEN(90,105)/100</f>
        <v>9.0328853821038779E-2</v>
      </c>
      <c r="AM27" s="83">
        <f t="shared" ca="1" si="13"/>
        <v>9.0081146062913259E-2</v>
      </c>
      <c r="AN27" s="83">
        <f t="shared" ca="1" si="13"/>
        <v>6.4060523499075608E-2</v>
      </c>
      <c r="AO27" s="83">
        <f t="shared" ca="1" si="13"/>
        <v>6.7513949163050244E-2</v>
      </c>
      <c r="AP27" s="83">
        <f t="shared" ca="1" si="13"/>
        <v>7.2030855812148284E-2</v>
      </c>
      <c r="AQ27" s="83">
        <f t="shared" ca="1" si="13"/>
        <v>8.7567567567567575E-2</v>
      </c>
      <c r="AR27" s="83">
        <f t="shared" ca="1" si="13"/>
        <v>6.6820079522862813E-2</v>
      </c>
      <c r="AS27" s="83">
        <f t="shared" ca="1" si="13"/>
        <v>1.052205983866832E-3</v>
      </c>
      <c r="AT27" s="83">
        <f t="shared" ca="1" si="13"/>
        <v>0.61509026826820845</v>
      </c>
      <c r="AU27" s="83">
        <f t="shared" ca="1" si="13"/>
        <v>9.6553312915977801E-4</v>
      </c>
      <c r="AV27" s="83">
        <f t="shared" ca="1" si="13"/>
        <v>5.9548780262275496E-2</v>
      </c>
      <c r="AW27" s="83">
        <f t="shared" ca="1" si="13"/>
        <v>7.7206866453302311E-2</v>
      </c>
      <c r="AX27" s="83">
        <f t="shared" ca="1" si="13"/>
        <v>7.9039525294176821E-2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0.13810448556279314</v>
      </c>
      <c r="V28" s="83">
        <f t="shared" ca="1" si="4"/>
        <v>9.6433886376590561E-2</v>
      </c>
      <c r="W28" s="83">
        <f t="shared" ca="1" si="5"/>
        <v>5.8132314256818057E-2</v>
      </c>
      <c r="X28" s="83">
        <f t="shared" ca="1" si="6"/>
        <v>3.1174496753595685E-2</v>
      </c>
      <c r="Y28" s="83">
        <f t="shared" ca="1" si="7"/>
        <v>7.2452512298385785E-2</v>
      </c>
      <c r="Z28" s="83">
        <f t="shared" ca="1" si="7"/>
        <v>9.2882396466347841E-2</v>
      </c>
      <c r="AA28" s="83">
        <f t="shared" ca="1" si="7"/>
        <v>7.9436155977022957E-2</v>
      </c>
      <c r="AB28" s="83">
        <f t="shared" ca="1" si="7"/>
        <v>0.11512095266670189</v>
      </c>
      <c r="AC28" s="83">
        <f t="shared" ca="1" si="7"/>
        <v>8.5022259531179076E-2</v>
      </c>
      <c r="AD28" s="83">
        <f t="shared" ca="1" si="7"/>
        <v>0.14790933263315256</v>
      </c>
      <c r="AE28" s="83">
        <f t="shared" ca="1" si="7"/>
        <v>8.3047683392360488E-2</v>
      </c>
      <c r="AF28" s="83">
        <f t="shared" ca="1" si="7"/>
        <v>7.223491462505742E-2</v>
      </c>
      <c r="AG28" s="83">
        <f t="shared" ca="1" si="7"/>
        <v>7.0967893299087995E-2</v>
      </c>
      <c r="AK28" s="82" t="s">
        <v>1252</v>
      </c>
      <c r="AL28" s="83">
        <f t="shared" ref="AL28:AX28" ca="1" si="14">AL16*RANDBETWEEN(90,105)/100</f>
        <v>6.9607214392238118E-2</v>
      </c>
      <c r="AM28" s="83">
        <f t="shared" ca="1" si="14"/>
        <v>3.6521739130434779E-2</v>
      </c>
      <c r="AN28" s="83">
        <f t="shared" ca="1" si="14"/>
        <v>2.0216016347183029E-2</v>
      </c>
      <c r="AO28" s="83">
        <f t="shared" ca="1" si="14"/>
        <v>6.1790806837304001E-2</v>
      </c>
      <c r="AP28" s="83">
        <f t="shared" ca="1" si="14"/>
        <v>3.8851154667184168E-2</v>
      </c>
      <c r="AQ28" s="83">
        <f t="shared" ca="1" si="14"/>
        <v>3.9752895752895763E-2</v>
      </c>
      <c r="AR28" s="83">
        <f t="shared" ca="1" si="14"/>
        <v>3.5868787276341949E-2</v>
      </c>
      <c r="AS28" s="83">
        <f t="shared" ca="1" si="14"/>
        <v>8.7125022188036191E-4</v>
      </c>
      <c r="AT28" s="83">
        <f t="shared" ca="1" si="14"/>
        <v>0.31468892044518293</v>
      </c>
      <c r="AU28" s="83">
        <f t="shared" ca="1" si="14"/>
        <v>9.0726235785610026E-4</v>
      </c>
      <c r="AV28" s="83">
        <f t="shared" ca="1" si="14"/>
        <v>4.9051297799381562E-2</v>
      </c>
      <c r="AW28" s="83">
        <f t="shared" ca="1" si="14"/>
        <v>2.8140820482979344E-2</v>
      </c>
      <c r="AX28" s="83">
        <f t="shared" ca="1" si="14"/>
        <v>4.299507190988635E-2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0.97379490041062633</v>
      </c>
      <c r="V29" s="26">
        <f t="shared" ref="V29:AG29" ca="1" si="15">SUM(V21:V28)</f>
        <v>1.0086099154652808</v>
      </c>
      <c r="W29" s="26">
        <f t="shared" ca="1" si="15"/>
        <v>1.0310067276029591</v>
      </c>
      <c r="X29" s="26">
        <f t="shared" ca="1" si="15"/>
        <v>1.0659666707469657</v>
      </c>
      <c r="Y29" s="26">
        <f t="shared" ca="1" si="15"/>
        <v>0.98166386290434648</v>
      </c>
      <c r="Z29" s="26">
        <f t="shared" ca="1" si="15"/>
        <v>0.930778233265106</v>
      </c>
      <c r="AA29" s="26">
        <f t="shared" ca="1" si="15"/>
        <v>0.9830392330661184</v>
      </c>
      <c r="AB29" s="26">
        <f t="shared" ca="1" si="15"/>
        <v>0.99685102814525017</v>
      </c>
      <c r="AC29" s="26">
        <f t="shared" ca="1" si="15"/>
        <v>0.98059762285187924</v>
      </c>
      <c r="AD29" s="26">
        <f t="shared" ca="1" si="15"/>
        <v>0.95818278366282239</v>
      </c>
      <c r="AE29" s="26">
        <f t="shared" ca="1" si="15"/>
        <v>0.99651032669927664</v>
      </c>
      <c r="AF29" s="26">
        <f t="shared" ca="1" si="15"/>
        <v>0.9959271696401959</v>
      </c>
      <c r="AG29" s="26">
        <f t="shared" ca="1" si="15"/>
        <v>0.97588057739338518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0.11191187805395945</v>
      </c>
      <c r="V32" s="94">
        <f t="shared" ref="V32:AG32" ca="1" si="16">V21/V$29</f>
        <v>3.4871429294871963E-2</v>
      </c>
      <c r="W32" s="94">
        <f t="shared" ca="1" si="16"/>
        <v>3.9381972005189371E-2</v>
      </c>
      <c r="X32" s="94">
        <f t="shared" ca="1" si="16"/>
        <v>8.0468142028670184E-2</v>
      </c>
      <c r="Y32" s="94">
        <f t="shared" ca="1" si="16"/>
        <v>1.3903723135270767E-2</v>
      </c>
      <c r="Z32" s="94">
        <f t="shared" ca="1" si="16"/>
        <v>4.1205906785804762E-2</v>
      </c>
      <c r="AA32" s="94">
        <f t="shared" ca="1" si="16"/>
        <v>3.083932004955928E-2</v>
      </c>
      <c r="AB32" s="94">
        <f t="shared" ca="1" si="16"/>
        <v>3.3417039179343994E-2</v>
      </c>
      <c r="AC32" s="94">
        <f t="shared" ca="1" si="16"/>
        <v>0.13619508774918787</v>
      </c>
      <c r="AD32" s="94">
        <f t="shared" ca="1" si="16"/>
        <v>2.5174105014875343E-2</v>
      </c>
      <c r="AE32" s="94">
        <f t="shared" ca="1" si="16"/>
        <v>3.1504758011995475E-2</v>
      </c>
      <c r="AF32" s="94">
        <f t="shared" ca="1" si="16"/>
        <v>0.10590458798667197</v>
      </c>
      <c r="AG32" s="94">
        <f t="shared" ca="1" si="16"/>
        <v>5.0568850318162266E-2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0.13133631915973257</v>
      </c>
      <c r="V33" s="94">
        <f t="shared" ca="1" si="17"/>
        <v>0.19315744053780937</v>
      </c>
      <c r="W33" s="94">
        <f t="shared" ca="1" si="17"/>
        <v>0.24417415376387522</v>
      </c>
      <c r="X33" s="94">
        <f t="shared" ca="1" si="17"/>
        <v>0.32200691636868367</v>
      </c>
      <c r="Y33" s="94">
        <f t="shared" ca="1" si="17"/>
        <v>0.12214795843414547</v>
      </c>
      <c r="Z33" s="94">
        <f t="shared" ca="1" si="17"/>
        <v>0.11379840923689598</v>
      </c>
      <c r="AA33" s="94">
        <f t="shared" ca="1" si="17"/>
        <v>0.20501878868019788</v>
      </c>
      <c r="AB33" s="94">
        <f t="shared" ca="1" si="17"/>
        <v>0.16640297667031523</v>
      </c>
      <c r="AC33" s="94">
        <f t="shared" ca="1" si="17"/>
        <v>0.14333757824711338</v>
      </c>
      <c r="AD33" s="94">
        <f t="shared" ca="1" si="17"/>
        <v>4.9798669223206027E-2</v>
      </c>
      <c r="AE33" s="94">
        <f t="shared" ca="1" si="17"/>
        <v>0.14212223734735224</v>
      </c>
      <c r="AF33" s="94">
        <f t="shared" ca="1" si="17"/>
        <v>0.23832402828485022</v>
      </c>
      <c r="AG33" s="94">
        <f t="shared" ca="1" si="17"/>
        <v>0.24207384994435374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0.17473249608522254</v>
      </c>
      <c r="V34" s="94">
        <f t="shared" ca="1" si="17"/>
        <v>0.18897713524463622</v>
      </c>
      <c r="W34" s="94">
        <f t="shared" ca="1" si="17"/>
        <v>0.17605813991011088</v>
      </c>
      <c r="X34" s="94">
        <f t="shared" ca="1" si="17"/>
        <v>0.19344781718174195</v>
      </c>
      <c r="Y34" s="94">
        <f t="shared" ca="1" si="17"/>
        <v>0.31906776296260791</v>
      </c>
      <c r="Z34" s="94">
        <f t="shared" ca="1" si="17"/>
        <v>0.21267110132234376</v>
      </c>
      <c r="AA34" s="94">
        <f t="shared" ca="1" si="17"/>
        <v>0.37640251082634707</v>
      </c>
      <c r="AB34" s="94">
        <f t="shared" ca="1" si="17"/>
        <v>0.18845139985343418</v>
      </c>
      <c r="AC34" s="94">
        <f t="shared" ca="1" si="17"/>
        <v>0.21478025822367075</v>
      </c>
      <c r="AD34" s="94">
        <f t="shared" ca="1" si="17"/>
        <v>0.24924794724946919</v>
      </c>
      <c r="AE34" s="94">
        <f t="shared" ca="1" si="17"/>
        <v>0.33414794873815301</v>
      </c>
      <c r="AF34" s="94">
        <f t="shared" ca="1" si="17"/>
        <v>0.10488753820162119</v>
      </c>
      <c r="AG34" s="94">
        <f t="shared" ca="1" si="17"/>
        <v>0.24370037498608058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0.10845153710747181</v>
      </c>
      <c r="V35" s="94">
        <f t="shared" ca="1" si="17"/>
        <v>0.11008895071849364</v>
      </c>
      <c r="W35" s="94">
        <f t="shared" ca="1" si="17"/>
        <v>8.1417174430772482E-2</v>
      </c>
      <c r="X35" s="94">
        <f t="shared" ca="1" si="17"/>
        <v>6.3942898458035038E-2</v>
      </c>
      <c r="Y35" s="94">
        <f t="shared" ca="1" si="17"/>
        <v>8.5953266688203911E-2</v>
      </c>
      <c r="Z35" s="94">
        <f t="shared" ca="1" si="17"/>
        <v>3.051292443905277E-2</v>
      </c>
      <c r="AA35" s="94">
        <f t="shared" ca="1" si="17"/>
        <v>8.3409326133810718E-2</v>
      </c>
      <c r="AB35" s="94">
        <f t="shared" ca="1" si="17"/>
        <v>8.2532042777964096E-2</v>
      </c>
      <c r="AC35" s="94">
        <f t="shared" ca="1" si="17"/>
        <v>7.211840611822759E-2</v>
      </c>
      <c r="AD35" s="94">
        <f t="shared" ca="1" si="17"/>
        <v>8.457244483783026E-2</v>
      </c>
      <c r="AE35" s="94">
        <f t="shared" ca="1" si="17"/>
        <v>0.1831180751831884</v>
      </c>
      <c r="AF35" s="94">
        <f t="shared" ca="1" si="17"/>
        <v>0.12122227614954169</v>
      </c>
      <c r="AG35" s="94">
        <f t="shared" ca="1" si="17"/>
        <v>9.2329419058017018E-2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6.450722557906953E-2</v>
      </c>
      <c r="V36" s="94">
        <f t="shared" ca="1" si="17"/>
        <v>5.5388983431022193E-2</v>
      </c>
      <c r="W36" s="94">
        <f t="shared" ca="1" si="17"/>
        <v>5.2618738071196547E-2</v>
      </c>
      <c r="X36" s="94">
        <f t="shared" ca="1" si="17"/>
        <v>4.7537332261656781E-2</v>
      </c>
      <c r="Y36" s="94">
        <f t="shared" ca="1" si="17"/>
        <v>2.842620159711182E-2</v>
      </c>
      <c r="Z36" s="94">
        <f t="shared" ca="1" si="17"/>
        <v>9.3173415600811743E-2</v>
      </c>
      <c r="AA36" s="94">
        <f t="shared" ca="1" si="17"/>
        <v>4.38503809631174E-2</v>
      </c>
      <c r="AB36" s="94">
        <f t="shared" ca="1" si="17"/>
        <v>0.16551051656964388</v>
      </c>
      <c r="AC36" s="94">
        <f t="shared" ca="1" si="17"/>
        <v>0.15721762035899692</v>
      </c>
      <c r="AD36" s="94">
        <f t="shared" ca="1" si="17"/>
        <v>0.17382710620411818</v>
      </c>
      <c r="AE36" s="94">
        <f t="shared" ca="1" si="17"/>
        <v>4.5233815979358057E-2</v>
      </c>
      <c r="AF36" s="94">
        <f t="shared" ca="1" si="17"/>
        <v>4.7716048328188605E-2</v>
      </c>
      <c r="AG36" s="94">
        <f t="shared" ca="1" si="17"/>
        <v>6.6194515898227446E-2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0.1564671482650207</v>
      </c>
      <c r="V37" s="94">
        <f t="shared" ca="1" si="17"/>
        <v>0.14190412928897764</v>
      </c>
      <c r="W37" s="94">
        <f t="shared" ca="1" si="17"/>
        <v>0.19780560173314574</v>
      </c>
      <c r="X37" s="94">
        <f t="shared" ca="1" si="17"/>
        <v>0.15741469489208254</v>
      </c>
      <c r="Y37" s="94">
        <f t="shared" ca="1" si="17"/>
        <v>0.15632848520885792</v>
      </c>
      <c r="Z37" s="94">
        <f t="shared" ca="1" si="17"/>
        <v>0.21227018647836002</v>
      </c>
      <c r="AA37" s="94">
        <f t="shared" ca="1" si="17"/>
        <v>0.10861550695259579</v>
      </c>
      <c r="AB37" s="94">
        <f t="shared" ca="1" si="17"/>
        <v>0.11708833264822942</v>
      </c>
      <c r="AC37" s="94">
        <f t="shared" ca="1" si="17"/>
        <v>8.9687743782582277E-2</v>
      </c>
      <c r="AD37" s="94">
        <f t="shared" ca="1" si="17"/>
        <v>0.17519428762738776</v>
      </c>
      <c r="AE37" s="94">
        <f t="shared" ca="1" si="17"/>
        <v>9.6882508135132717E-2</v>
      </c>
      <c r="AF37" s="94">
        <f t="shared" ca="1" si="17"/>
        <v>0.22345963402102134</v>
      </c>
      <c r="AG37" s="94">
        <f t="shared" ca="1" si="17"/>
        <v>0.10355232046444013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0.11077247893782353</v>
      </c>
      <c r="V38" s="94">
        <f t="shared" ca="1" si="17"/>
        <v>0.18000124503549922</v>
      </c>
      <c r="W38" s="94">
        <f t="shared" ca="1" si="17"/>
        <v>0.15216019008818213</v>
      </c>
      <c r="X38" s="94">
        <f t="shared" ca="1" si="17"/>
        <v>0.10593691599766043</v>
      </c>
      <c r="Y38" s="94">
        <f t="shared" ca="1" si="17"/>
        <v>0.20036677593063093</v>
      </c>
      <c r="Z38" s="94">
        <f t="shared" ca="1" si="17"/>
        <v>0.19657801684829285</v>
      </c>
      <c r="AA38" s="94">
        <f t="shared" ca="1" si="17"/>
        <v>7.1057466819157519E-2</v>
      </c>
      <c r="AB38" s="94">
        <f t="shared" ca="1" si="17"/>
        <v>0.13111308184638873</v>
      </c>
      <c r="AC38" s="94">
        <f t="shared" ca="1" si="17"/>
        <v>9.995877192783062E-2</v>
      </c>
      <c r="AD38" s="94">
        <f t="shared" ca="1" si="17"/>
        <v>8.7821016734045174E-2</v>
      </c>
      <c r="AE38" s="94">
        <f t="shared" ca="1" si="17"/>
        <v>8.3652149047715438E-2</v>
      </c>
      <c r="AF38" s="94">
        <f t="shared" ca="1" si="17"/>
        <v>8.5955568720638642E-2</v>
      </c>
      <c r="AG38" s="94">
        <f t="shared" ca="1" si="17"/>
        <v>0.12885876570533256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0.14182091681170003</v>
      </c>
      <c r="V39" s="94">
        <f t="shared" ca="1" si="17"/>
        <v>9.5610686448689877E-2</v>
      </c>
      <c r="W39" s="94">
        <f t="shared" ca="1" si="17"/>
        <v>5.6384029997527646E-2</v>
      </c>
      <c r="X39" s="94">
        <f t="shared" ca="1" si="17"/>
        <v>2.9245282811469576E-2</v>
      </c>
      <c r="Y39" s="94">
        <f t="shared" ca="1" si="17"/>
        <v>7.3805826043171333E-2</v>
      </c>
      <c r="Z39" s="94">
        <f t="shared" ca="1" si="17"/>
        <v>9.9790039288438007E-2</v>
      </c>
      <c r="AA39" s="94">
        <f t="shared" ca="1" si="17"/>
        <v>8.0806699575214358E-2</v>
      </c>
      <c r="AB39" s="94">
        <f t="shared" ca="1" si="17"/>
        <v>0.11548461045468042</v>
      </c>
      <c r="AC39" s="94">
        <f t="shared" ca="1" si="17"/>
        <v>8.670453359239054E-2</v>
      </c>
      <c r="AD39" s="94">
        <f t="shared" ca="1" si="17"/>
        <v>0.15436442310906809</v>
      </c>
      <c r="AE39" s="94">
        <f t="shared" ca="1" si="17"/>
        <v>8.3338507557104646E-2</v>
      </c>
      <c r="AF39" s="94">
        <f t="shared" ca="1" si="17"/>
        <v>7.2530318307466327E-2</v>
      </c>
      <c r="AG39" s="94">
        <f t="shared" ca="1" si="17"/>
        <v>7.2721903625386192E-2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JioHotstarPAID</v>
      </c>
      <c r="B43" s="37" t="s">
        <v>1988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0.11820268724375931</v>
      </c>
      <c r="V45" s="83">
        <f t="shared" ref="V45" ca="1" si="20">V33*RANDBETWEEN(80,110)/100</f>
        <v>0.19122586613243125</v>
      </c>
      <c r="W45" s="83">
        <f t="shared" ref="W45" ca="1" si="21">W33*RANDBETWEEN(95,115)/100</f>
        <v>0.28080027682845649</v>
      </c>
      <c r="X45" s="83">
        <f t="shared" ref="X45" ca="1" si="22">X33*RANDBETWEEN(98,118)/100</f>
        <v>0.32522698553237051</v>
      </c>
      <c r="Y45" s="83">
        <f t="shared" ref="Y45:AG45" ca="1" si="23">Y33*RANDBETWEEN(90,105)/100</f>
        <v>0.12459091760282838</v>
      </c>
      <c r="Z45" s="83">
        <f t="shared" ca="1" si="23"/>
        <v>0.11152244105215806</v>
      </c>
      <c r="AA45" s="83">
        <f t="shared" ca="1" si="23"/>
        <v>0.20706897656699985</v>
      </c>
      <c r="AB45" s="83">
        <f t="shared" ca="1" si="23"/>
        <v>0.16473894690361207</v>
      </c>
      <c r="AC45" s="83">
        <f t="shared" ca="1" si="23"/>
        <v>0.12900382042240205</v>
      </c>
      <c r="AD45" s="83">
        <f t="shared" ca="1" si="23"/>
        <v>5.0794642607670151E-2</v>
      </c>
      <c r="AE45" s="83">
        <f t="shared" ca="1" si="23"/>
        <v>0.13927979260040518</v>
      </c>
      <c r="AF45" s="83">
        <f t="shared" ca="1" si="23"/>
        <v>0.23832402828485022</v>
      </c>
      <c r="AG45" s="83">
        <f t="shared" ca="1" si="23"/>
        <v>0.21786646494991835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E22"/>
  <sheetViews>
    <sheetView topLeftCell="AB1" workbookViewId="0">
      <selection activeCell="BE1" sqref="BE1"/>
    </sheetView>
  </sheetViews>
  <sheetFormatPr defaultColWidth="8.85546875" defaultRowHeight="15" x14ac:dyDescent="0.25"/>
  <sheetData>
    <row r="1" spans="1:57" ht="13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1796</v>
      </c>
      <c r="F1" s="24" t="s">
        <v>1797</v>
      </c>
      <c r="G1" s="24" t="s">
        <v>22</v>
      </c>
      <c r="H1" s="24" t="s">
        <v>23</v>
      </c>
      <c r="I1" s="24" t="s">
        <v>1798</v>
      </c>
      <c r="J1" s="24" t="s">
        <v>25</v>
      </c>
      <c r="K1" s="24" t="s">
        <v>26</v>
      </c>
      <c r="L1" s="24" t="s">
        <v>1799</v>
      </c>
      <c r="M1" s="24" t="s">
        <v>1800</v>
      </c>
      <c r="N1" s="24" t="s">
        <v>1800</v>
      </c>
      <c r="O1" s="24" t="s">
        <v>29</v>
      </c>
      <c r="P1" s="24" t="s">
        <v>30</v>
      </c>
      <c r="Q1" s="24" t="s">
        <v>1801</v>
      </c>
      <c r="R1" s="24" t="s">
        <v>1800</v>
      </c>
      <c r="S1" s="24" t="s">
        <v>32</v>
      </c>
      <c r="T1" s="24" t="s">
        <v>33</v>
      </c>
      <c r="U1" s="24" t="s">
        <v>1802</v>
      </c>
      <c r="V1" s="24" t="s">
        <v>1803</v>
      </c>
      <c r="W1" s="24" t="s">
        <v>1803</v>
      </c>
      <c r="X1" s="24" t="s">
        <v>1804</v>
      </c>
      <c r="Y1" s="24" t="s">
        <v>1805</v>
      </c>
      <c r="Z1" s="24" t="s">
        <v>36</v>
      </c>
      <c r="AA1" s="24" t="s">
        <v>37</v>
      </c>
      <c r="AB1" s="24" t="s">
        <v>1806</v>
      </c>
      <c r="AC1" s="24" t="s">
        <v>1807</v>
      </c>
      <c r="AD1" s="24" t="s">
        <v>1808</v>
      </c>
      <c r="AE1" s="24" t="s">
        <v>1809</v>
      </c>
      <c r="AF1" s="24" t="s">
        <v>1810</v>
      </c>
      <c r="AG1" s="24" t="s">
        <v>1811</v>
      </c>
      <c r="AH1" s="24" t="s">
        <v>1804</v>
      </c>
      <c r="AI1" s="24" t="s">
        <v>1799</v>
      </c>
      <c r="AJ1" s="24" t="s">
        <v>1801</v>
      </c>
      <c r="AK1" s="24" t="s">
        <v>1812</v>
      </c>
      <c r="AL1" s="24" t="s">
        <v>1813</v>
      </c>
      <c r="AM1" s="24" t="s">
        <v>1814</v>
      </c>
      <c r="AN1" s="24" t="s">
        <v>1815</v>
      </c>
      <c r="AO1" s="24" t="s">
        <v>1816</v>
      </c>
      <c r="AP1" s="24" t="s">
        <v>1817</v>
      </c>
      <c r="AQ1" s="24" t="s">
        <v>1818</v>
      </c>
      <c r="AR1" s="24" t="s">
        <v>1819</v>
      </c>
      <c r="AS1" s="24" t="s">
        <v>469</v>
      </c>
      <c r="AT1" s="24" t="s">
        <v>1820</v>
      </c>
      <c r="AU1" s="24" t="s">
        <v>1821</v>
      </c>
      <c r="AV1" s="24" t="s">
        <v>1822</v>
      </c>
      <c r="AW1" s="24" t="s">
        <v>1823</v>
      </c>
      <c r="AX1" s="24" t="s">
        <v>1802</v>
      </c>
      <c r="AY1" s="24" t="s">
        <v>1824</v>
      </c>
      <c r="AZ1" s="24" t="s">
        <v>1825</v>
      </c>
      <c r="BA1" s="24" t="s">
        <v>1795</v>
      </c>
      <c r="BB1" s="24" t="s">
        <v>1828</v>
      </c>
      <c r="BC1" s="24" t="s">
        <v>1826</v>
      </c>
      <c r="BD1" s="24" t="s">
        <v>1827</v>
      </c>
      <c r="BE1" s="24" t="s">
        <v>1829</v>
      </c>
    </row>
    <row r="2" spans="1:57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7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7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7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7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7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7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7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7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7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7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7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7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</row>
    <row r="15" spans="1:57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7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44" t="s">
        <v>222</v>
      </c>
      <c r="N3" s="144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2%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2%</v>
      </c>
      <c r="Q7" s="101">
        <f t="shared" ca="1" si="1"/>
        <v>0.25487450956799995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>
        <f>VLOOKUP($B8,'Language Penetration'!$B$1:$AY$14,MATCH('Compile data Working'!$H7,'Language Penetration'!$B$1:$AY$1,0),0)</f>
        <v>0.2</v>
      </c>
      <c r="P8" s="103" t="str">
        <f t="shared" ca="1" si="0"/>
        <v>1%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2%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Working'!$H8,'Language Penetration'!$B$1:$AY$1,0),0)</f>
        <v>0.2</v>
      </c>
      <c r="P10" s="103" t="str">
        <f t="shared" ca="1" si="0"/>
        <v>1%</v>
      </c>
      <c r="Q10" s="101">
        <f t="shared" ca="1" si="1"/>
        <v>5.5570118400000014E-2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Working'!$H9,'Language Penetration'!$B$1:$AY$1,0),0)</f>
        <v>#N/A</v>
      </c>
      <c r="P11" s="103" t="str">
        <f t="shared" ca="1" si="0"/>
        <v>1%</v>
      </c>
      <c r="Q11" s="101" t="e">
        <f t="shared" ca="1" si="1"/>
        <v>#N/A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>
        <f>VLOOKUP($B12,'Language Penetration'!$B$1:$AY$14,MATCH('Compile data Working'!$H10,'Language Penetration'!$B$1:$AY$1,0),0)</f>
        <v>0.2</v>
      </c>
      <c r="P12" s="103" t="str">
        <f t="shared" ca="1" si="0"/>
        <v>2%</v>
      </c>
      <c r="Q12" s="101">
        <f t="shared" ca="1" si="1"/>
        <v>9.040392000000003E-3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>
        <f>VLOOKUP($B14,'Language Penetration'!$B$1:$AY$14,MATCH('Compile data Working'!$H11,'Language Penetration'!$B$1:$AY$1,0),0)</f>
        <v>0.2</v>
      </c>
      <c r="P14" s="103" t="str">
        <f t="shared" ca="1" si="0"/>
        <v>2%</v>
      </c>
      <c r="Q14" s="101">
        <f t="shared" ca="1" si="1"/>
        <v>0.11180574720000003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Working'!$H12,'Language Penetration'!$B$1:$AY$1,0),0)</f>
        <v>0.6</v>
      </c>
      <c r="P16" s="103" t="str">
        <f t="shared" ca="1" si="0"/>
        <v>1%</v>
      </c>
      <c r="Q16" s="101">
        <f t="shared" ca="1" si="1"/>
        <v>0.16604484480000001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2%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>
        <f>VLOOKUP($B18,'Language Penetration'!$B$1:$AY$14,MATCH('Compile data Working'!$H13,'Language Penetration'!$B$1:$AY$1,0),0)</f>
        <v>0.2</v>
      </c>
      <c r="P18" s="103" t="str">
        <f t="shared" ca="1" si="0"/>
        <v>2%</v>
      </c>
      <c r="Q18" s="101">
        <f t="shared" ca="1" si="1"/>
        <v>1.0728432000000001E-2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 t="e">
        <f>VLOOKUP($B19,'Language Penetration'!$B$1:$AY$14,MATCH('Compile data Working'!$H14,'Language Penetration'!$B$1:$AY$1,0),0)</f>
        <v>#N/A</v>
      </c>
      <c r="P19" s="103" t="str">
        <f t="shared" ca="1" si="0"/>
        <v>2%</v>
      </c>
      <c r="Q19" s="101" t="e">
        <f t="shared" ca="1" si="1"/>
        <v>#N/A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Working'!$H15,'Language Penetration'!$B$1:$AY$1,0),0)</f>
        <v>#N/A</v>
      </c>
      <c r="P20" s="103" t="str">
        <f t="shared" ca="1" si="0"/>
        <v>2%</v>
      </c>
      <c r="Q20" s="101" t="e">
        <f t="shared" ca="1" si="1"/>
        <v>#N/A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1%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>
        <f>VLOOKUP($B22,'Language Penetration'!$B$1:$AY$14,MATCH('Compile data Working'!$H16,'Language Penetration'!$B$1:$AY$1,0),0)</f>
        <v>0.6</v>
      </c>
      <c r="P22" s="103" t="str">
        <f t="shared" ca="1" si="0"/>
        <v>2%</v>
      </c>
      <c r="Q22" s="101">
        <f t="shared" ca="1" si="1"/>
        <v>0.33275520000000003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1%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>
        <f>VLOOKUP($B24,'Language Penetration'!$B$1:$AY$14,MATCH('Compile data Working'!$H17,'Language Penetration'!$B$1:$AY$1,0),0)</f>
        <v>0.6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Working'!$H18,'Language Penetration'!$B$1:$AY$1,0),0)</f>
        <v>#N/A</v>
      </c>
      <c r="P26" s="103" t="str">
        <f t="shared" ca="1" si="0"/>
        <v>1%</v>
      </c>
      <c r="Q26" s="101" t="e">
        <f t="shared" ca="1" si="1"/>
        <v>#N/A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2%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Working'!$H19,'Language Penetration'!$B$1:$AY$1,0),0)</f>
        <v>0.2</v>
      </c>
      <c r="P28" s="103" t="str">
        <f t="shared" ca="1" si="0"/>
        <v>2%</v>
      </c>
      <c r="Q28" s="101">
        <f t="shared" ca="1" si="1"/>
        <v>7.3814040576000009E-2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>
        <f>VLOOKUP($B29,'Language Penetration'!$B$1:$AY$14,MATCH('Compile data Working'!$H20,'Language Penetration'!$B$1:$AY$1,0),0)</f>
        <v>0.6</v>
      </c>
      <c r="P29" s="103" t="str">
        <f t="shared" ca="1" si="0"/>
        <v>1%</v>
      </c>
      <c r="Q29" s="101">
        <f t="shared" ca="1" si="1"/>
        <v>0.16491347712000004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Working'!$H21,'Language Penetration'!$B$1:$AY$1,0),0)</f>
        <v>#N/A</v>
      </c>
      <c r="P30" s="103" t="str">
        <f t="shared" ca="1" si="0"/>
        <v>2%</v>
      </c>
      <c r="Q30" s="101" t="e">
        <f t="shared" ca="1" si="1"/>
        <v>#N/A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1%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>
        <f>VLOOKUP($B33,'Language Penetration'!$B$1:$AY$14,MATCH('Compile data Working'!$H22,'Language Penetration'!$B$1:$AY$1,0),0)</f>
        <v>0.2</v>
      </c>
      <c r="P33" s="103" t="str">
        <f t="shared" ca="1" si="0"/>
        <v>1%</v>
      </c>
      <c r="Q33" s="101">
        <f t="shared" ca="1" si="1"/>
        <v>3.7082211840000004E-2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Working'!$H23,'Language Penetration'!$B$1:$AY$1,0),0)</f>
        <v>#N/A</v>
      </c>
      <c r="P34" s="103" t="str">
        <f t="shared" ca="1" si="0"/>
        <v>1%</v>
      </c>
      <c r="Q34" s="101" t="e">
        <f t="shared" ca="1" si="1"/>
        <v>#N/A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Working'!$H24,'Language Penetration'!$B$1:$AY$1,0),0)</f>
        <v>0.09</v>
      </c>
      <c r="P35" s="103" t="str">
        <f t="shared" ca="1" si="0"/>
        <v>1%</v>
      </c>
      <c r="Q35" s="101">
        <f t="shared" ca="1" si="1"/>
        <v>2.4876778751999999E-2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>
        <f>VLOOKUP($B36,'Language Penetration'!$B$1:$AY$14,MATCH('Compile data Working'!$H25,'Language Penetration'!$B$1:$AY$1,0),0)</f>
        <v>0.2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1%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Working'!$H26,'Language Penetration'!$B$1:$AY$1,0),0)</f>
        <v>#N/A</v>
      </c>
      <c r="P38" s="103" t="str">
        <f t="shared" ca="1" si="0"/>
        <v>1%</v>
      </c>
      <c r="Q38" s="101" t="e">
        <f t="shared" ca="1" si="1"/>
        <v>#N/A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2%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1%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Working'!$H27,'Language Penetration'!$B$1:$AY$1,0),0)</f>
        <v>#N/A</v>
      </c>
      <c r="P41" s="103" t="str">
        <f t="shared" ca="1" si="0"/>
        <v>2%</v>
      </c>
      <c r="Q41" s="101" t="e">
        <f t="shared" ca="1" si="1"/>
        <v>#N/A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>
        <f>VLOOKUP($B43,'Language Penetration'!$B$1:$AY$14,MATCH('Compile data Working'!$H28,'Language Penetration'!$B$1:$AY$1,0),0)</f>
        <v>0.2</v>
      </c>
      <c r="P43" s="103" t="str">
        <f t="shared" ca="1" si="0"/>
        <v>2%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>
        <f>VLOOKUP($B44,'Language Penetration'!$B$1:$AY$14,MATCH('Compile data Working'!$H29,'Language Penetration'!$B$1:$AY$1,0),0)</f>
        <v>0.12</v>
      </c>
      <c r="P44" s="103" t="str">
        <f t="shared" ca="1" si="0"/>
        <v>1%</v>
      </c>
      <c r="Q44" s="101">
        <f t="shared" ca="1" si="1"/>
        <v>3.2942764800000003E-2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2%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Working'!$H30,'Language Penetration'!$B$1:$AY$1,0),0)</f>
        <v>#N/A</v>
      </c>
      <c r="P47" s="103" t="str">
        <f t="shared" ca="1" si="0"/>
        <v>2%</v>
      </c>
      <c r="Q47" s="101" t="e">
        <f t="shared" ca="1" si="1"/>
        <v>#N/A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2%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2%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2%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39%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32%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29%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20%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17%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13%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9%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6%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5%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37%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30%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30%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25%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17%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14%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10%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6%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4%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2%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 t="e">
        <f>VLOOKUP($B72,'Language Penetration'!$B$1:$AY$14,MATCH('Compile data Working'!$H31,'Language Penetration'!$B$1:$AY$1,0),0)</f>
        <v>#N/A</v>
      </c>
      <c r="P72" s="103" t="str">
        <f t="shared" ca="1" si="2"/>
        <v>40%</v>
      </c>
      <c r="Q72" s="101" t="e">
        <f t="shared" ca="1" si="3"/>
        <v>#N/A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35%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25%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21%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16%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12%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10%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>
        <f>VLOOKUP($B79,'Language Penetration'!$B$1:$AY$14,MATCH('Compile data Working'!$H32,'Language Penetration'!$B$1:$AY$1,0),0)</f>
        <v>0.15</v>
      </c>
      <c r="P79" s="103" t="str">
        <f t="shared" ca="1" si="2"/>
        <v>7%</v>
      </c>
      <c r="Q79" s="101">
        <f t="shared" ca="1" si="3"/>
        <v>6.4221616368000001E-2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5%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>
        <f>VLOOKUP($B81,'Language Penetration'!$B$1:$AY$14,MATCH('Compile data Working'!$H33,'Language Penetration'!$B$1:$AY$1,0),0)</f>
        <v>0.6</v>
      </c>
      <c r="P81" s="103" t="str">
        <f t="shared" ca="1" si="2"/>
        <v>4%</v>
      </c>
      <c r="Q81" s="101">
        <f t="shared" ca="1" si="3"/>
        <v>0.17830835942400003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36%</v>
      </c>
      <c r="Q82" s="101">
        <f t="shared" ca="1" si="3"/>
        <v>1.3349596262400001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33%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Working'!$H34,'Language Penetration'!$B$1:$AY$1,0),0)</f>
        <v>#N/A</v>
      </c>
      <c r="P84" s="103" t="str">
        <f t="shared" ca="1" si="2"/>
        <v>27%</v>
      </c>
      <c r="Q84" s="101" t="e">
        <f t="shared" ca="1" si="3"/>
        <v>#N/A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20%</v>
      </c>
      <c r="Q85" s="101">
        <f t="shared" ca="1" si="3"/>
        <v>2.5896231244800001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17%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10%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9%</v>
      </c>
      <c r="Q88" s="101">
        <f t="shared" ca="1" si="3"/>
        <v>0.82646614655999995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7%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5%</v>
      </c>
      <c r="Q90" s="101">
        <f t="shared" ca="1" si="3"/>
        <v>0.63999663839999998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>
        <f>VLOOKUP($B91,'Language Penetration'!$B$1:$AY$14,MATCH('Compile data Working'!$H36,'Language Penetration'!$B$1:$AY$1,0),0)</f>
        <v>0.6</v>
      </c>
      <c r="P91" s="103" t="str">
        <f t="shared" ca="1" si="2"/>
        <v>3%</v>
      </c>
      <c r="Q91" s="101">
        <f t="shared" ca="1" si="3"/>
        <v>0.32795858534399991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>
        <f>VLOOKUP($B92,'Language Penetration'!$B$1:$AY$14,MATCH('Compile data Working'!$H37,'Language Penetration'!$B$1:$AY$1,0),0)</f>
        <v>0.1</v>
      </c>
      <c r="P92" s="103" t="str">
        <f t="shared" ca="1" si="2"/>
        <v>36%</v>
      </c>
      <c r="Q92" s="101">
        <f t="shared" ca="1" si="3"/>
        <v>9.0478944000000006E-2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Working'!$H38,'Language Penetration'!$B$1:$AY$1,0),0)</f>
        <v>#N/A</v>
      </c>
      <c r="P93" s="103" t="str">
        <f t="shared" ca="1" si="2"/>
        <v>33%</v>
      </c>
      <c r="Q93" s="101" t="e">
        <f t="shared" ca="1" si="3"/>
        <v>#N/A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 t="e">
        <f>VLOOKUP($B94,'Language Penetration'!$B$1:$AY$14,MATCH('Compile data Working'!$H39,'Language Penetration'!$B$1:$AY$1,0),0)</f>
        <v>#N/A</v>
      </c>
      <c r="P94" s="103" t="str">
        <f t="shared" ca="1" si="2"/>
        <v>26%</v>
      </c>
      <c r="Q94" s="101" t="e">
        <f t="shared" ca="1" si="3"/>
        <v>#N/A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Working'!$H40,'Language Penetration'!$B$1:$AY$1,0),0)</f>
        <v>0.2</v>
      </c>
      <c r="P95" s="103" t="str">
        <f t="shared" ca="1" si="2"/>
        <v>21%</v>
      </c>
      <c r="Q95" s="101">
        <f t="shared" ca="1" si="3"/>
        <v>0.1041408144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16%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>
        <f>VLOOKUP($B97,'Language Penetration'!$B$1:$AY$14,MATCH('Compile data Working'!$H41,'Language Penetration'!$B$1:$AY$1,0),0)</f>
        <v>0.1</v>
      </c>
      <c r="P97" s="103" t="str">
        <f t="shared" ca="1" si="2"/>
        <v>14%</v>
      </c>
      <c r="Q97" s="101">
        <f t="shared" ca="1" si="3"/>
        <v>3.4004628000000002E-2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9%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6%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Working'!$H42,'Language Penetration'!$B$1:$AY$1,0),0)</f>
        <v>#N/A</v>
      </c>
      <c r="P100" s="103" t="str">
        <f t="shared" ca="1" si="2"/>
        <v>4%</v>
      </c>
      <c r="Q100" s="101" t="e">
        <f t="shared" ca="1" si="3"/>
        <v>#N/A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2%</v>
      </c>
      <c r="Q101" s="101">
        <f t="shared" ca="1" si="3"/>
        <v>2.2938587999999999E-2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35%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30%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26%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 t="e">
        <f>VLOOKUP($B105,'Language Penetration'!$B$1:$AY$14,MATCH('Compile data Working'!$H44,'Language Penetration'!$B$1:$AY$1,0),0)</f>
        <v>#N/A</v>
      </c>
      <c r="P105" s="103" t="str">
        <f t="shared" ca="1" si="2"/>
        <v>24%</v>
      </c>
      <c r="Q105" s="101" t="e">
        <f t="shared" ca="1" si="3"/>
        <v>#N/A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18%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11%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Working'!$H45,'Language Penetration'!$B$1:$AY$1,0),0)</f>
        <v>#N/A</v>
      </c>
      <c r="P108" s="103" t="str">
        <f t="shared" ca="1" si="2"/>
        <v>9%</v>
      </c>
      <c r="Q108" s="101" t="e">
        <f t="shared" ca="1" si="3"/>
        <v>#N/A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>
        <f>VLOOKUP($B109,'Language Penetration'!$B$1:$AY$14,MATCH('Compile data Working'!$H46,'Language Penetration'!$B$1:$AY$1,0),0)</f>
        <v>0.15</v>
      </c>
      <c r="P109" s="103" t="str">
        <f t="shared" ca="1" si="2"/>
        <v>7%</v>
      </c>
      <c r="Q109" s="101">
        <f t="shared" ca="1" si="3"/>
        <v>0.19391514911999999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4%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>
        <f>VLOOKUP($B111,'Language Penetration'!$B$1:$AY$14,MATCH('Compile data Working'!$H47,'Language Penetration'!$B$1:$AY$1,0),0)</f>
        <v>7.0000000000000007E-2</v>
      </c>
      <c r="P111" s="103" t="str">
        <f t="shared" ca="1" si="2"/>
        <v>2%</v>
      </c>
      <c r="Q111" s="101">
        <f t="shared" ca="1" si="3"/>
        <v>2.5507889971199998E-2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36%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34%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28%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22%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18%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13%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10%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8%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6%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4%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35%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32%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27%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25%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19%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15%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7%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6%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3%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37%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33%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30%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20%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18%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12%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10%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8%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6%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3%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35%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32%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28%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23%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18%</v>
      </c>
      <c r="Q146" s="101">
        <f t="shared" ca="1" si="5"/>
        <v>3.6855360000000004E-2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11%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9%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6%</v>
      </c>
      <c r="Q149" s="101">
        <f t="shared" ca="1" si="5"/>
        <v>1.1673920000000001E-2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6%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35%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31%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27%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17%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14%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8%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6%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4%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2%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35%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32%</v>
      </c>
      <c r="Q163" s="101">
        <f t="shared" ca="1" si="5"/>
        <v>9.4781119999999983E-2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28%</v>
      </c>
      <c r="Q164" s="101">
        <f t="shared" ca="1" si="5"/>
        <v>8.2300399999999982E-2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25%</v>
      </c>
      <c r="Q165" s="101">
        <f t="shared" ca="1" si="5"/>
        <v>7.3482499999999978E-2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19%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13%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9%</v>
      </c>
      <c r="Q168" s="101">
        <f t="shared" ca="1" si="5"/>
        <v>2.645369999999999E-2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7%</v>
      </c>
      <c r="Q169" s="101">
        <f t="shared" ca="1" si="5"/>
        <v>2.0575099999999995E-2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6%</v>
      </c>
      <c r="Q170" s="101">
        <f t="shared" ca="1" si="5"/>
        <v>1.8992399999999993E-2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2%</v>
      </c>
      <c r="Q171" s="101">
        <f t="shared" ca="1" si="5"/>
        <v>4.3604999999999998E-3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35%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32%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26%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21%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19%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15%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8%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8%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4%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2%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40%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30%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29%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22%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15%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10%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10%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6%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4%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3%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39%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31%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25%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21%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16%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13%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9%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6%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4%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3%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Working'!$H48,'Language Penetration'!$B$1:$AY$1,0),0)</f>
        <v>#N/A</v>
      </c>
      <c r="P202" s="103" t="str">
        <f t="shared" ca="1" si="6"/>
        <v>36%</v>
      </c>
      <c r="Q202" s="101" t="e">
        <f t="shared" ca="1" si="7"/>
        <v>#N/A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33%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>
        <f>VLOOKUP($B204,'Language Penetration'!$B$1:$AY$14,MATCH('Compile data Working'!$H49,'Language Penetration'!$B$1:$AY$1,0),0)</f>
        <v>7.0000000000000007E-2</v>
      </c>
      <c r="P204" s="103" t="str">
        <f t="shared" ca="1" si="6"/>
        <v>28%</v>
      </c>
      <c r="Q204" s="101">
        <f t="shared" ca="1" si="7"/>
        <v>0.16568830600000001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 t="e">
        <f>VLOOKUP($B205,'Language Penetration'!$B$1:$AY$14,MATCH('Compile data Working'!$H50,'Language Penetration'!$B$1:$AY$1,0),0)</f>
        <v>#N/A</v>
      </c>
      <c r="P205" s="103" t="str">
        <f t="shared" ca="1" si="6"/>
        <v>22%</v>
      </c>
      <c r="Q205" s="101" t="e">
        <f t="shared" ca="1" si="7"/>
        <v>#N/A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20%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 t="e">
        <f>VLOOKUP($B207,'Language Penetration'!$B$1:$AY$14,MATCH('Compile data Working'!$H51,'Language Penetration'!$B$1:$AY$1,0),0)</f>
        <v>#N/A</v>
      </c>
      <c r="P207" s="103" t="str">
        <f t="shared" ca="1" si="6"/>
        <v>12%</v>
      </c>
      <c r="Q207" s="101" t="e">
        <f t="shared" ca="1" si="7"/>
        <v>#N/A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8%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8%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>
        <f>VLOOKUP($B210,'Language Penetration'!$B$1:$AY$14,MATCH('Compile data Working'!$H52,'Language Penetration'!$B$1:$AY$1,0),0)</f>
        <v>0.15</v>
      </c>
      <c r="P210" s="103" t="str">
        <f t="shared" ca="1" si="6"/>
        <v>6%</v>
      </c>
      <c r="Q210" s="101">
        <f t="shared" ca="1" si="7"/>
        <v>7.6081364999999984E-2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Working'!$H53,'Language Penetration'!$B$1:$AY$1,0),0)</f>
        <v>0.6</v>
      </c>
      <c r="P211" s="103" t="str">
        <f t="shared" ca="1" si="6"/>
        <v>2%</v>
      </c>
      <c r="Q211" s="101">
        <f t="shared" ca="1" si="7"/>
        <v>0.10631102735999999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Working'!$H54,'Language Penetration'!$B$1:$AY$1,0),0)</f>
        <v>#N/A</v>
      </c>
      <c r="P212" s="103" t="str">
        <f t="shared" ca="1" si="6"/>
        <v>36%</v>
      </c>
      <c r="Q212" s="101" t="e">
        <f t="shared" ca="1" si="7"/>
        <v>#N/A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>
        <f>VLOOKUP($B213,'Language Penetration'!$B$1:$AY$14,MATCH('Compile data Working'!$H55,'Language Penetration'!$B$1:$AY$1,0),0)</f>
        <v>0.2</v>
      </c>
      <c r="P213" s="103" t="str">
        <f t="shared" ca="1" si="6"/>
        <v>30%</v>
      </c>
      <c r="Q213" s="101">
        <f t="shared" ca="1" si="7"/>
        <v>0.50720909999999997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29%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Working'!$H56,'Language Penetration'!$B$1:$AY$1,0),0)</f>
        <v>0.2</v>
      </c>
      <c r="P215" s="103" t="str">
        <f t="shared" ca="1" si="6"/>
        <v>21%</v>
      </c>
      <c r="Q215" s="101">
        <f t="shared" ca="1" si="7"/>
        <v>0.36924822479999997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 t="e">
        <f>VLOOKUP($B216,'Language Penetration'!$B$1:$AY$14,MATCH('Compile data Working'!$H57,'Language Penetration'!$B$1:$AY$1,0),0)</f>
        <v>#N/A</v>
      </c>
      <c r="P216" s="103" t="str">
        <f t="shared" ca="1" si="6"/>
        <v>18%</v>
      </c>
      <c r="Q216" s="101" t="e">
        <f t="shared" ca="1" si="7"/>
        <v>#N/A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15%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10%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7%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>
        <f>VLOOKUP($B220,'Language Penetration'!$B$1:$AY$14,MATCH('Compile data Working'!$H58,'Language Penetration'!$B$1:$AY$1,0),0)</f>
        <v>0.2</v>
      </c>
      <c r="P220" s="103" t="str">
        <f t="shared" ca="1" si="6"/>
        <v>4%</v>
      </c>
      <c r="Q220" s="101">
        <f t="shared" ca="1" si="7"/>
        <v>7.1415041280000008E-2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>
        <f>VLOOKUP($B221,'Language Penetration'!$B$1:$AY$14,MATCH('Compile data Working'!$H59,'Language Penetration'!$B$1:$AY$1,0),0)</f>
        <v>0.1</v>
      </c>
      <c r="P221" s="103" t="str">
        <f t="shared" ca="1" si="6"/>
        <v>3%</v>
      </c>
      <c r="Q221" s="101">
        <f t="shared" ca="1" si="7"/>
        <v>2.5360454999999997E-2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39%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Working'!$H60,'Language Penetration'!$B$1:$AY$1,0),0)</f>
        <v>0.6</v>
      </c>
      <c r="P223" s="103" t="str">
        <f t="shared" ca="1" si="6"/>
        <v>35%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30%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20%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15%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 t="e">
        <f>VLOOKUP($B227,'Language Penetration'!$B$1:$AY$14,MATCH('Compile data Working'!$H63,'Language Penetration'!$B$1:$AY$1,0),0)</f>
        <v>#N/A</v>
      </c>
      <c r="P227" s="103" t="str">
        <f t="shared" ca="1" si="6"/>
        <v>15%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>
        <f>VLOOKUP($B228,'Language Penetration'!$B$1:$AY$14,MATCH('Compile data Working'!$H64,'Language Penetration'!$B$1:$AY$1,0),0)</f>
        <v>0.2</v>
      </c>
      <c r="P228" s="103" t="str">
        <f t="shared" ca="1" si="6"/>
        <v>9%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6%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6%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>
        <f>VLOOKUP($B231,'Language Penetration'!$B$1:$AY$14,MATCH('Compile data Working'!$H65,'Language Penetration'!$B$1:$AY$1,0),0)</f>
        <v>0.2</v>
      </c>
      <c r="P231" s="103" t="str">
        <f t="shared" ca="1" si="6"/>
        <v>2%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35%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33%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27%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Working'!$H66,'Language Penetration'!$B$1:$AY$1,0),0)</f>
        <v>0.2</v>
      </c>
      <c r="P235" s="103" t="str">
        <f t="shared" ca="1" si="6"/>
        <v>22%</v>
      </c>
      <c r="Q235" s="101">
        <f t="shared" ca="1" si="7"/>
        <v>1.4257914000000005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17%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12%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9%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6%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Working'!$H67,'Language Penetration'!$B$1:$AY$1,0),0)</f>
        <v>0.2</v>
      </c>
      <c r="P240" s="103" t="str">
        <f t="shared" ca="1" si="6"/>
        <v>5%</v>
      </c>
      <c r="Q240" s="101">
        <f t="shared" ca="1" si="7"/>
        <v>0.29458500000000004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3%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40%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32%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29%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25%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20%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13%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8%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6%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5%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4%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35%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35%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28%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21%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17%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15%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10%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7%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5%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4%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35%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31%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26%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20%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18%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10%</v>
      </c>
      <c r="Q267" s="101">
        <f t="shared" ca="1" si="9"/>
        <v>0.6740440000000002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10%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7%</v>
      </c>
      <c r="Q269" s="101">
        <f t="shared" ca="1" si="9"/>
        <v>0.53994472000000016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4%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39%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31%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27%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23%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20%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11%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9%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8%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4%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3%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35%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30%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25%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23%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20%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11%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8%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8%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5%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2%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39%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30%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>
        <f>VLOOKUP($B294,'Language Penetration'!$B$1:$AY$14,MATCH('Compile data Working'!$H68,'Language Penetration'!$B$1:$AY$1,0),0)</f>
        <v>0.2</v>
      </c>
      <c r="P294" s="103" t="str">
        <f t="shared" ca="1" si="8"/>
        <v>25%</v>
      </c>
      <c r="Q294" s="101">
        <f t="shared" ca="1" si="9"/>
        <v>1.9024508670000004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24%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Working'!$H69,'Language Penetration'!$B$1:$AY$1,0),0)</f>
        <v>0.1</v>
      </c>
      <c r="P296" s="103" t="str">
        <f t="shared" ca="1" si="8"/>
        <v>16%</v>
      </c>
      <c r="Q296" s="101">
        <f t="shared" ca="1" si="9"/>
        <v>0.55573668480000016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13%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Working'!$H70,'Language Penetration'!$B$1:$AY$1,0),0)</f>
        <v>0.6</v>
      </c>
      <c r="P298" s="103" t="str">
        <f t="shared" ca="1" si="8"/>
        <v>9%</v>
      </c>
      <c r="Q298" s="101">
        <f t="shared" ca="1" si="9"/>
        <v>2.1313764900000005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7%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Working'!$H71,'Language Penetration'!$B$1:$AY$1,0),0)</f>
        <v>#N/A</v>
      </c>
      <c r="P300" s="103" t="str">
        <f t="shared" ca="1" si="8"/>
        <v>6%</v>
      </c>
      <c r="Q300" s="101" t="e">
        <f t="shared" ca="1" si="9"/>
        <v>#N/A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>
        <f>VLOOKUP($B301,'Language Penetration'!$B$1:$AY$14,MATCH('Compile data Working'!$H72,'Language Penetration'!$B$1:$AY$1,0),0)</f>
        <v>0.6</v>
      </c>
      <c r="P301" s="103" t="str">
        <f t="shared" ca="1" si="8"/>
        <v>4%</v>
      </c>
      <c r="Q301" s="101">
        <f t="shared" ca="1" si="9"/>
        <v>0.79950300336000002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36%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30%</v>
      </c>
      <c r="Q303" s="101">
        <f t="shared" ca="1" si="9"/>
        <v>5.8534967232000001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28%</v>
      </c>
      <c r="Q304" s="101">
        <f t="shared" ca="1" si="9"/>
        <v>5.4350016000000005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24%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20%</v>
      </c>
      <c r="Q306" s="101">
        <f t="shared" ca="1" si="9"/>
        <v>3.8868025728000006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12%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8%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6%</v>
      </c>
      <c r="Q309" s="101">
        <f t="shared" ca="1" si="9"/>
        <v>1.15951876992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5%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3%</v>
      </c>
      <c r="Q311" s="101">
        <f t="shared" ca="1" si="9"/>
        <v>0.58162281407999983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37%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30%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27%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24%</v>
      </c>
      <c r="Q315" s="101">
        <f t="shared" ca="1" si="9"/>
        <v>4.6511190835199994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19%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>
        <f>VLOOKUP($B317,'Language Penetration'!$B$1:$AY$14,MATCH('Compile data Working'!$H74,'Language Penetration'!$B$1:$AY$1,0),0)</f>
        <v>0.6</v>
      </c>
      <c r="P317" s="103" t="str">
        <f t="shared" ca="1" si="8"/>
        <v>13%</v>
      </c>
      <c r="Q317" s="101">
        <f t="shared" ca="1" si="9"/>
        <v>2.1585829824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9%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8%</v>
      </c>
      <c r="Q319" s="101">
        <f t="shared" ca="1" si="9"/>
        <v>1.5491307417600002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4%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Working'!$H76,'Language Penetration'!$B$1:$AY$1,0),0)</f>
        <v>0.6</v>
      </c>
      <c r="P321" s="103" t="str">
        <f t="shared" ca="1" si="8"/>
        <v>4%</v>
      </c>
      <c r="Q321" s="101">
        <f t="shared" ca="1" si="9"/>
        <v>0.66417937920000003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35%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32%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25%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24%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15%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13%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9%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7%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4%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4%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40%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31%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29%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24%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18%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11%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8%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7%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5%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3%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40%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34%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20%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16%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14%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10%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6%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4%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35%</v>
      </c>
      <c r="Q352" s="101">
        <f t="shared" ca="1" si="11"/>
        <v>2.6560499000000002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31%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 t="e">
        <f>VLOOKUP($B354,'Language Penetration'!$B$1:$AY$14,MATCH('Compile data Working'!$H78,'Language Penetration'!$B$1:$AY$1,0),0)</f>
        <v>#N/A</v>
      </c>
      <c r="P354" s="103" t="str">
        <f t="shared" ca="1" si="10"/>
        <v>29%</v>
      </c>
      <c r="Q354" s="101" t="e">
        <f t="shared" ca="1" si="11"/>
        <v>#N/A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20%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Working'!$H79,'Language Penetration'!$B$1:$AY$1,0),0)</f>
        <v>0.6</v>
      </c>
      <c r="P356" s="103" t="str">
        <f t="shared" ca="1" si="10"/>
        <v>16%</v>
      </c>
      <c r="Q356" s="101">
        <f t="shared" ca="1" si="11"/>
        <v>1.1656264704000001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12%</v>
      </c>
      <c r="Q357" s="101">
        <f t="shared" ca="1" si="11"/>
        <v>0.93796505040000022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9%</v>
      </c>
      <c r="Q358" s="101">
        <f t="shared" ca="1" si="11"/>
        <v>0.73215912672000005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7%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4%</v>
      </c>
      <c r="Q360" s="101">
        <f t="shared" ca="1" si="11"/>
        <v>9.4013325440000045E-2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4%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Working'!$H82,'Language Penetration'!$B$1:$AY$1,0),0)</f>
        <v>0.6</v>
      </c>
      <c r="P362" s="103" t="str">
        <f t="shared" ca="1" si="10"/>
        <v>37%</v>
      </c>
      <c r="Q362" s="101">
        <f t="shared" ca="1" si="11"/>
        <v>1.2075214475999998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 t="e">
        <f>VLOOKUP($B363,'Language Penetration'!$B$1:$AY$14,MATCH('Compile data Working'!$H83,'Language Penetration'!$B$1:$AY$1,0),0)</f>
        <v>#N/A</v>
      </c>
      <c r="P363" s="103" t="str">
        <f t="shared" ca="1" si="10"/>
        <v>34%</v>
      </c>
      <c r="Q363" s="101" t="e">
        <f t="shared" ca="1" si="11"/>
        <v>#N/A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>
        <f>VLOOKUP($B364,'Language Penetration'!$B$1:$AY$14,MATCH('Compile data Working'!$H84,'Language Penetration'!$B$1:$AY$1,0),0)</f>
        <v>0.6</v>
      </c>
      <c r="P364" s="103" t="str">
        <f t="shared" ca="1" si="10"/>
        <v>27%</v>
      </c>
      <c r="Q364" s="101">
        <f t="shared" ca="1" si="11"/>
        <v>0.88116429959999998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 t="e">
        <f>VLOOKUP($B365,'Language Penetration'!$B$1:$AY$14,MATCH('Compile data Working'!$H85,'Language Penetration'!$B$1:$AY$1,0),0)</f>
        <v>#N/A</v>
      </c>
      <c r="P365" s="103" t="str">
        <f t="shared" ca="1" si="10"/>
        <v>21%</v>
      </c>
      <c r="Q365" s="101" t="e">
        <f t="shared" ca="1" si="11"/>
        <v>#N/A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 t="e">
        <f>VLOOKUP($B366,'Language Penetration'!$B$1:$AY$14,MATCH('Compile data Working'!$H86,'Language Penetration'!$B$1:$AY$1,0),0)</f>
        <v>#N/A</v>
      </c>
      <c r="P366" s="103" t="str">
        <f t="shared" ca="1" si="10"/>
        <v>17%</v>
      </c>
      <c r="Q366" s="101" t="e">
        <f t="shared" ca="1" si="11"/>
        <v>#N/A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 t="e">
        <f>VLOOKUP($B367,'Language Penetration'!$B$1:$AY$14,MATCH('Compile data Working'!$H87,'Language Penetration'!$B$1:$AY$1,0),0)</f>
        <v>#N/A</v>
      </c>
      <c r="P367" s="103" t="str">
        <f t="shared" ca="1" si="10"/>
        <v>11%</v>
      </c>
      <c r="Q367" s="101" t="e">
        <f t="shared" ca="1" si="11"/>
        <v>#N/A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Working'!$H88,'Language Penetration'!$B$1:$AY$1,0),0)</f>
        <v>0.6</v>
      </c>
      <c r="P368" s="103" t="str">
        <f t="shared" ca="1" si="10"/>
        <v>9%</v>
      </c>
      <c r="Q368" s="101">
        <f t="shared" ca="1" si="11"/>
        <v>0.30561298919999996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 t="e">
        <f>VLOOKUP($B369,'Language Penetration'!$B$1:$AY$14,MATCH('Compile data Working'!$H89,'Language Penetration'!$B$1:$AY$1,0),0)</f>
        <v>#N/A</v>
      </c>
      <c r="P369" s="103" t="str">
        <f t="shared" ca="1" si="10"/>
        <v>6%</v>
      </c>
      <c r="Q369" s="101" t="e">
        <f t="shared" ca="1" si="11"/>
        <v>#N/A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4%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2%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36%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31%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25%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25%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20%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14%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10%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8%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5%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3%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38%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30%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>
        <f>VLOOKUP($B384,'Language Penetration'!$B$1:$AY$14,MATCH('Compile data Working'!$H90,'Language Penetration'!$B$1:$AY$1,0),0)</f>
        <v>0.6</v>
      </c>
      <c r="P384" s="103" t="str">
        <f t="shared" ca="1" si="10"/>
        <v>27%</v>
      </c>
      <c r="Q384" s="101">
        <f t="shared" ca="1" si="11"/>
        <v>0.93110883480000006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Working'!$H91,'Language Penetration'!$B$1:$AY$1,0),0)</f>
        <v>0.6</v>
      </c>
      <c r="P385" s="103" t="str">
        <f t="shared" ca="1" si="10"/>
        <v>22%</v>
      </c>
      <c r="Q385" s="101">
        <f t="shared" ca="1" si="11"/>
        <v>0.71798572559999985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15%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14%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Working'!$H92,'Language Penetration'!$B$1:$AY$1,0),0)</f>
        <v>#N/A</v>
      </c>
      <c r="P388" s="103" t="str">
        <f t="shared" ca="1" si="10"/>
        <v>9%</v>
      </c>
      <c r="Q388" s="101" t="e">
        <f t="shared" ca="1" si="11"/>
        <v>#N/A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7%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6%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2%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37%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>
        <f>VLOOKUP($B393,'Language Penetration'!$B$1:$AY$14,MATCH('Compile data Working'!$H93,'Language Penetration'!$B$1:$AY$1,0),0)</f>
        <v>0.6</v>
      </c>
      <c r="P393" s="103" t="str">
        <f t="shared" ca="1" si="12"/>
        <v>34%</v>
      </c>
      <c r="Q393" s="101">
        <f t="shared" ca="1" si="13"/>
        <v>1.4627281668480001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Working'!$H94,'Language Penetration'!$B$1:$AY$1,0),0)</f>
        <v>#N/A</v>
      </c>
      <c r="P394" s="103" t="str">
        <f t="shared" ca="1" si="12"/>
        <v>27%</v>
      </c>
      <c r="Q394" s="101" t="e">
        <f t="shared" ca="1" si="13"/>
        <v>#N/A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>
        <f>VLOOKUP($B395,'Language Penetration'!$B$1:$AY$14,MATCH('Compile data Working'!$H95,'Language Penetration'!$B$1:$AY$1,0),0)</f>
        <v>0.6</v>
      </c>
      <c r="P395" s="103" t="str">
        <f t="shared" ca="1" si="12"/>
        <v>22%</v>
      </c>
      <c r="Q395" s="101">
        <f t="shared" ca="1" si="13"/>
        <v>0.86237006169599995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>
        <f>VLOOKUP($B396,'Language Penetration'!$B$1:$AY$14,MATCH('Compile data Working'!$H96,'Language Penetration'!$B$1:$AY$1,0),0)</f>
        <v>0.6</v>
      </c>
      <c r="P396" s="103" t="str">
        <f t="shared" ca="1" si="12"/>
        <v>18%</v>
      </c>
      <c r="Q396" s="101">
        <f t="shared" ca="1" si="13"/>
        <v>0.68263883999999997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11%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10%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8%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4%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>
        <f>VLOOKUP($B401,'Language Penetration'!$B$1:$AY$14,MATCH('Compile data Working'!$H97,'Language Penetration'!$B$1:$AY$1,0),0)</f>
        <v>0.6</v>
      </c>
      <c r="P401" s="103" t="str">
        <f t="shared" ca="1" si="12"/>
        <v>2%</v>
      </c>
      <c r="Q401" s="101">
        <f t="shared" ca="1" si="13"/>
        <v>8.4343821119999995E-2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35%</v>
      </c>
      <c r="Q402" s="101">
        <f t="shared" ca="1" si="13"/>
        <v>4.9806855000000009E-3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35%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26%</v>
      </c>
      <c r="Q404" s="101">
        <f t="shared" ca="1" si="13"/>
        <v>4.8512880000000013E-3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24%</v>
      </c>
      <c r="Q405" s="101">
        <f t="shared" ca="1" si="13"/>
        <v>4.0916448000000005E-3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16%</v>
      </c>
      <c r="Q406" s="101">
        <f t="shared" ca="1" si="13"/>
        <v>2.6633520000000003E-3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10%</v>
      </c>
      <c r="Q407" s="101">
        <f t="shared" ca="1" si="13"/>
        <v>1.8792990000000003E-3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5%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36%</v>
      </c>
      <c r="Q411" s="101">
        <f t="shared" ca="1" si="13"/>
        <v>5.9683877999999998E-3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33%</v>
      </c>
      <c r="Q412" s="101">
        <f t="shared" ca="1" si="13"/>
        <v>5.8031424000000009E-3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28%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21%</v>
      </c>
      <c r="Q414" s="101">
        <f t="shared" ca="1" si="13"/>
        <v>3.5801892000000002E-3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20%</v>
      </c>
      <c r="Q415" s="101">
        <f t="shared" ca="1" si="13"/>
        <v>3.7317600000000006E-3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10%</v>
      </c>
      <c r="Q416" s="101">
        <f t="shared" ca="1" si="13"/>
        <v>1.7048520000000002E-3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8%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6%</v>
      </c>
      <c r="Q418" s="101">
        <f t="shared" ca="1" si="13"/>
        <v>1.0712196000000002E-3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4%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2%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39%</v>
      </c>
      <c r="Q421" s="101">
        <f t="shared" ca="1" si="13"/>
        <v>8.1899999999999973E-2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31%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Working'!$H98,'Language Penetration'!$B$1:$AY$1,0),0)</f>
        <v>#N/A</v>
      </c>
      <c r="P423" s="103" t="str">
        <f t="shared" ca="1" si="12"/>
        <v>25%</v>
      </c>
      <c r="Q423" s="101" t="e">
        <f t="shared" ca="1" si="13"/>
        <v>#N/A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20%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Working'!$H99,'Language Penetration'!$B$1:$AY$1,0),0)</f>
        <v>#N/A</v>
      </c>
      <c r="P425" s="103" t="str">
        <f t="shared" ca="1" si="12"/>
        <v>19%</v>
      </c>
      <c r="Q425" s="101" t="e">
        <f t="shared" ca="1" si="13"/>
        <v>#N/A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Working'!$H100,'Language Penetration'!$B$1:$AY$1,0),0)</f>
        <v>#N/A</v>
      </c>
      <c r="P426" s="103" t="str">
        <f t="shared" ca="1" si="12"/>
        <v>15%</v>
      </c>
      <c r="Q426" s="101" t="e">
        <f t="shared" ca="1" si="13"/>
        <v>#N/A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8%</v>
      </c>
      <c r="Q427" s="101">
        <f t="shared" ca="1" si="13"/>
        <v>1.6239999999999997E-2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6%</v>
      </c>
      <c r="Q428" s="101">
        <f t="shared" ca="1" si="13"/>
        <v>1.1759999999999998E-2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2%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39%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30%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28%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23%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18%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15%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9%</v>
      </c>
      <c r="Q437" s="101">
        <f t="shared" ca="1" si="13"/>
        <v>0.45474911999999995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8%</v>
      </c>
      <c r="Q438" s="101">
        <f t="shared" ca="1" si="13"/>
        <v>1.7853113600000001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5%</v>
      </c>
      <c r="Q439" s="101">
        <f t="shared" ca="1" si="13"/>
        <v>0.84212799999999999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2%</v>
      </c>
      <c r="Q440" s="101">
        <f t="shared" ca="1" si="13"/>
        <v>9.0228000000000003E-2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39%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31%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27%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24%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18%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15%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8%</v>
      </c>
      <c r="Q448" s="101">
        <f t="shared" ca="1" si="13"/>
        <v>1.6539393919999998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5%</v>
      </c>
      <c r="Q449" s="101">
        <f t="shared" ca="1" si="13"/>
        <v>0.80603680000000011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4%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KARTIK</cp:lastModifiedBy>
  <cp:lastPrinted>2026-01-13T09:46:27Z</cp:lastPrinted>
  <dcterms:created xsi:type="dcterms:W3CDTF">2024-10-03T10:22:33Z</dcterms:created>
  <dcterms:modified xsi:type="dcterms:W3CDTF">2026-06-15T11:00:00Z</dcterms:modified>
</cp:coreProperties>
</file>