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S-NEW\Desktop\Cott For Users Uploading File\Kartik Data\Weekly Data\"/>
    </mc:Choice>
  </mc:AlternateContent>
  <xr:revisionPtr revIDLastSave="0" documentId="13_ncr:1_{EC075054-97B9-4D6F-BA8D-A2E972D6AA9A}" xr6:coauthVersionLast="47" xr6:coauthVersionMax="47" xr10:uidLastSave="{00000000-0000-0000-0000-000000000000}"/>
  <bookViews>
    <workbookView xWindow="-120" yWindow="-120" windowWidth="29040" windowHeight="15720" tabRatio="558" xr2:uid="{2717C1BE-F3A3-485B-AE3B-58697426EF0E}"/>
  </bookViews>
  <sheets>
    <sheet name="Top 50 Shows &amp; Movies" sheetId="28" r:id="rId1"/>
    <sheet name="Compile data Working" sheetId="2" r:id="rId2"/>
    <sheet name="ranking" sheetId="21" state="hidden" r:id="rId3"/>
    <sheet name="Updated SES" sheetId="7" state="hidden" r:id="rId4"/>
    <sheet name="Genre Penetration" sheetId="8" state="hidden" r:id="rId5"/>
    <sheet name="Language Penetration" sheetId="9" state="hidden" r:id="rId6"/>
    <sheet name="Sheet1" sheetId="29" state="hidden" r:id="rId7"/>
    <sheet name="Age Breakup" sheetId="1" state="hidden" r:id="rId8"/>
  </sheets>
  <externalReferences>
    <externalReference r:id="rId9"/>
  </externalReferences>
  <definedNames>
    <definedName name="_xlnm._FilterDatabase" localSheetId="7" hidden="1">'Age Breakup'!$B$3:$H$63</definedName>
    <definedName name="_xlnm._FilterDatabase" localSheetId="1" hidden="1">'Compile data Working'!$A$4:$T$145</definedName>
    <definedName name="_xlnm._FilterDatabase" localSheetId="4" hidden="1">'Genre Penetration'!$A$1:$C$688</definedName>
    <definedName name="_xlnm._FilterDatabase" localSheetId="2" hidden="1">ranking!$W$2:$X$9</definedName>
    <definedName name="_xlnm._FilterDatabase" localSheetId="0" hidden="1">'Top 50 Shows &amp; Movies'!$A$7:$M$57</definedName>
    <definedName name="_xlnm._FilterDatabase" localSheetId="3" hidden="1">'Updated SES'!$A$2:$O$45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" i="2" l="1"/>
  <c r="L40" i="2"/>
  <c r="M40" i="2"/>
  <c r="N40" i="2"/>
  <c r="P40" i="2"/>
  <c r="R40" i="2"/>
  <c r="O78" i="2"/>
  <c r="O107" i="2"/>
  <c r="O112" i="2"/>
  <c r="O15" i="2"/>
  <c r="O64" i="2"/>
  <c r="O73" i="2"/>
  <c r="O56" i="2"/>
  <c r="O60" i="2"/>
  <c r="O19" i="2"/>
  <c r="O118" i="2"/>
  <c r="O24" i="2"/>
  <c r="O17" i="2"/>
  <c r="O53" i="2"/>
  <c r="O67" i="2"/>
  <c r="O31" i="2"/>
  <c r="O55" i="2"/>
  <c r="O51" i="2"/>
  <c r="O47" i="2"/>
  <c r="O122" i="2"/>
  <c r="O27" i="2"/>
  <c r="O39" i="2"/>
  <c r="O38" i="2"/>
  <c r="O58" i="2"/>
  <c r="O36" i="2"/>
  <c r="O54" i="2"/>
  <c r="O61" i="2"/>
  <c r="O77" i="2"/>
  <c r="O83" i="2"/>
  <c r="O135" i="2"/>
  <c r="O143" i="2"/>
  <c r="O57" i="2"/>
  <c r="O49" i="2"/>
  <c r="O7" i="2"/>
  <c r="O45" i="2"/>
  <c r="O66" i="2"/>
  <c r="O37" i="2"/>
  <c r="O35" i="2"/>
  <c r="O48" i="2"/>
  <c r="O86" i="2"/>
  <c r="O12" i="2"/>
  <c r="O141" i="2"/>
  <c r="O139" i="2"/>
  <c r="O28" i="2"/>
  <c r="O14" i="2"/>
  <c r="O71" i="2"/>
  <c r="O62" i="2"/>
  <c r="O138" i="2"/>
  <c r="O43" i="2"/>
  <c r="O70" i="2"/>
  <c r="O136" i="2"/>
  <c r="O59" i="2"/>
  <c r="O68" i="2"/>
  <c r="O142" i="2"/>
  <c r="O144" i="2"/>
  <c r="O123" i="2"/>
  <c r="O34" i="2"/>
  <c r="O124" i="2"/>
  <c r="O126" i="2"/>
  <c r="O52" i="2"/>
  <c r="O137" i="2"/>
  <c r="O32" i="2"/>
  <c r="O46" i="2"/>
  <c r="O87" i="2"/>
  <c r="O94" i="2"/>
  <c r="O110" i="2"/>
  <c r="O108" i="2"/>
  <c r="O117" i="2"/>
  <c r="O129" i="2"/>
  <c r="O130" i="2"/>
  <c r="O140" i="2"/>
  <c r="O11" i="2"/>
  <c r="O20" i="2"/>
  <c r="O33" i="2"/>
  <c r="O41" i="2"/>
  <c r="O44" i="2"/>
  <c r="O21" i="2"/>
  <c r="O93" i="2"/>
  <c r="O69" i="2"/>
  <c r="O22" i="2"/>
  <c r="O23" i="2"/>
  <c r="O10" i="2"/>
  <c r="O16" i="2"/>
  <c r="O85" i="2"/>
  <c r="O29" i="2"/>
  <c r="O9" i="2"/>
  <c r="O18" i="2"/>
  <c r="O25" i="2"/>
  <c r="O30" i="2"/>
  <c r="O26" i="2"/>
  <c r="O72" i="2"/>
  <c r="O74" i="2"/>
  <c r="O13" i="2"/>
  <c r="O8" i="2"/>
  <c r="O42" i="2"/>
  <c r="O63" i="2"/>
  <c r="O81" i="2"/>
  <c r="O65" i="2"/>
  <c r="O50" i="2"/>
  <c r="O79" i="2"/>
  <c r="O88" i="2"/>
  <c r="O80" i="2"/>
  <c r="O98" i="2"/>
  <c r="O76" i="2"/>
  <c r="O121" i="2"/>
  <c r="O75" i="2"/>
  <c r="O100" i="2"/>
  <c r="O82" i="2"/>
  <c r="O101" i="2"/>
  <c r="O90" i="2"/>
  <c r="O92" i="2"/>
  <c r="O102" i="2"/>
  <c r="O97" i="2"/>
  <c r="O111" i="2"/>
  <c r="O133" i="2"/>
  <c r="O131" i="2"/>
  <c r="O115" i="2"/>
  <c r="O106" i="2"/>
  <c r="O113" i="2"/>
  <c r="O119" i="2"/>
  <c r="O103" i="2"/>
  <c r="O128" i="2"/>
  <c r="O120" i="2"/>
  <c r="O109" i="2"/>
  <c r="O104" i="2"/>
  <c r="O125" i="2"/>
  <c r="O116" i="2"/>
  <c r="O6" i="2"/>
  <c r="O84" i="2"/>
  <c r="O91" i="2"/>
  <c r="O89" i="2"/>
  <c r="O95" i="2"/>
  <c r="O96" i="2"/>
  <c r="O99" i="2"/>
  <c r="O105" i="2"/>
  <c r="O114" i="2"/>
  <c r="O127" i="2"/>
  <c r="O132" i="2"/>
  <c r="O134" i="2"/>
  <c r="O145" i="2"/>
  <c r="O5" i="2"/>
  <c r="L78" i="2"/>
  <c r="L107" i="2"/>
  <c r="L112" i="2"/>
  <c r="L15" i="2"/>
  <c r="L64" i="2"/>
  <c r="L73" i="2"/>
  <c r="L56" i="2"/>
  <c r="L60" i="2"/>
  <c r="L19" i="2"/>
  <c r="L118" i="2"/>
  <c r="L24" i="2"/>
  <c r="L17" i="2"/>
  <c r="L53" i="2"/>
  <c r="L67" i="2"/>
  <c r="L31" i="2"/>
  <c r="L55" i="2"/>
  <c r="L51" i="2"/>
  <c r="L47" i="2"/>
  <c r="L122" i="2"/>
  <c r="L27" i="2"/>
  <c r="L39" i="2"/>
  <c r="L38" i="2"/>
  <c r="L58" i="2"/>
  <c r="L36" i="2"/>
  <c r="L54" i="2"/>
  <c r="L61" i="2"/>
  <c r="L77" i="2"/>
  <c r="L83" i="2"/>
  <c r="L135" i="2"/>
  <c r="L143" i="2"/>
  <c r="L57" i="2"/>
  <c r="L49" i="2"/>
  <c r="L7" i="2"/>
  <c r="L45" i="2"/>
  <c r="L66" i="2"/>
  <c r="L37" i="2"/>
  <c r="L35" i="2"/>
  <c r="L48" i="2"/>
  <c r="L86" i="2"/>
  <c r="L12" i="2"/>
  <c r="L141" i="2"/>
  <c r="L139" i="2"/>
  <c r="L28" i="2"/>
  <c r="L14" i="2"/>
  <c r="L71" i="2"/>
  <c r="L62" i="2"/>
  <c r="L138" i="2"/>
  <c r="L43" i="2"/>
  <c r="L70" i="2"/>
  <c r="L136" i="2"/>
  <c r="L59" i="2"/>
  <c r="L68" i="2"/>
  <c r="L142" i="2"/>
  <c r="L144" i="2"/>
  <c r="L123" i="2"/>
  <c r="L34" i="2"/>
  <c r="L124" i="2"/>
  <c r="L126" i="2"/>
  <c r="L52" i="2"/>
  <c r="L137" i="2"/>
  <c r="L32" i="2"/>
  <c r="L46" i="2"/>
  <c r="L87" i="2"/>
  <c r="L94" i="2"/>
  <c r="L110" i="2"/>
  <c r="L108" i="2"/>
  <c r="L117" i="2"/>
  <c r="L129" i="2"/>
  <c r="L130" i="2"/>
  <c r="L140" i="2"/>
  <c r="L11" i="2"/>
  <c r="L20" i="2"/>
  <c r="L33" i="2"/>
  <c r="L41" i="2"/>
  <c r="L44" i="2"/>
  <c r="L21" i="2"/>
  <c r="L93" i="2"/>
  <c r="L69" i="2"/>
  <c r="L22" i="2"/>
  <c r="L23" i="2"/>
  <c r="L10" i="2"/>
  <c r="L16" i="2"/>
  <c r="L85" i="2"/>
  <c r="L29" i="2"/>
  <c r="L9" i="2"/>
  <c r="L18" i="2"/>
  <c r="L25" i="2"/>
  <c r="L30" i="2"/>
  <c r="L26" i="2"/>
  <c r="L72" i="2"/>
  <c r="L74" i="2"/>
  <c r="L13" i="2"/>
  <c r="L8" i="2"/>
  <c r="L42" i="2"/>
  <c r="L63" i="2"/>
  <c r="L81" i="2"/>
  <c r="L65" i="2"/>
  <c r="L50" i="2"/>
  <c r="L79" i="2"/>
  <c r="L88" i="2"/>
  <c r="L80" i="2"/>
  <c r="L98" i="2"/>
  <c r="L76" i="2"/>
  <c r="L121" i="2"/>
  <c r="L75" i="2"/>
  <c r="L100" i="2"/>
  <c r="L82" i="2"/>
  <c r="L101" i="2"/>
  <c r="L90" i="2"/>
  <c r="L92" i="2"/>
  <c r="L102" i="2"/>
  <c r="L97" i="2"/>
  <c r="L111" i="2"/>
  <c r="L133" i="2"/>
  <c r="L131" i="2"/>
  <c r="L115" i="2"/>
  <c r="L106" i="2"/>
  <c r="L113" i="2"/>
  <c r="L119" i="2"/>
  <c r="L103" i="2"/>
  <c r="L128" i="2"/>
  <c r="L120" i="2"/>
  <c r="L109" i="2"/>
  <c r="L104" i="2"/>
  <c r="L125" i="2"/>
  <c r="L116" i="2"/>
  <c r="L6" i="2"/>
  <c r="L84" i="2"/>
  <c r="L91" i="2"/>
  <c r="L89" i="2"/>
  <c r="L95" i="2"/>
  <c r="L96" i="2"/>
  <c r="L99" i="2"/>
  <c r="L105" i="2"/>
  <c r="L114" i="2"/>
  <c r="L127" i="2"/>
  <c r="L132" i="2"/>
  <c r="L134" i="2"/>
  <c r="L145" i="2"/>
  <c r="M84" i="2"/>
  <c r="N84" i="2"/>
  <c r="P84" i="2"/>
  <c r="R84" i="2"/>
  <c r="M91" i="2"/>
  <c r="N91" i="2"/>
  <c r="P91" i="2"/>
  <c r="R91" i="2"/>
  <c r="M89" i="2"/>
  <c r="N89" i="2"/>
  <c r="P89" i="2"/>
  <c r="R89" i="2"/>
  <c r="M95" i="2"/>
  <c r="N95" i="2"/>
  <c r="P95" i="2"/>
  <c r="R95" i="2"/>
  <c r="M96" i="2"/>
  <c r="N96" i="2"/>
  <c r="P96" i="2"/>
  <c r="R96" i="2"/>
  <c r="M99" i="2"/>
  <c r="N99" i="2"/>
  <c r="P99" i="2"/>
  <c r="R99" i="2"/>
  <c r="M105" i="2"/>
  <c r="N105" i="2"/>
  <c r="P105" i="2"/>
  <c r="R105" i="2"/>
  <c r="M114" i="2"/>
  <c r="N114" i="2"/>
  <c r="P114" i="2"/>
  <c r="R114" i="2"/>
  <c r="M127" i="2"/>
  <c r="N127" i="2"/>
  <c r="P127" i="2"/>
  <c r="R127" i="2"/>
  <c r="M132" i="2"/>
  <c r="N132" i="2"/>
  <c r="P132" i="2"/>
  <c r="R132" i="2"/>
  <c r="M134" i="2"/>
  <c r="N134" i="2"/>
  <c r="P134" i="2"/>
  <c r="R134" i="2"/>
  <c r="M145" i="2"/>
  <c r="N145" i="2"/>
  <c r="P145" i="2"/>
  <c r="R145" i="2"/>
  <c r="Q40" i="2" l="1"/>
  <c r="S40" i="2" s="1"/>
  <c r="Q99" i="2"/>
  <c r="S99" i="2" s="1"/>
  <c r="Q96" i="2"/>
  <c r="S96" i="2" s="1"/>
  <c r="Q105" i="2"/>
  <c r="S105" i="2" s="1"/>
  <c r="Q95" i="2"/>
  <c r="S95" i="2" s="1"/>
  <c r="Q145" i="2"/>
  <c r="S145" i="2" s="1"/>
  <c r="Q132" i="2"/>
  <c r="S132" i="2" s="1"/>
  <c r="Q91" i="2"/>
  <c r="S91" i="2" s="1"/>
  <c r="Q114" i="2"/>
  <c r="S114" i="2" s="1"/>
  <c r="Q134" i="2"/>
  <c r="S134" i="2" s="1"/>
  <c r="Q89" i="2"/>
  <c r="S89" i="2" s="1"/>
  <c r="Q127" i="2"/>
  <c r="S127" i="2" s="1"/>
  <c r="Q84" i="2"/>
  <c r="S84" i="2" s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3" i="7"/>
  <c r="K9" i="28" l="1"/>
  <c r="BJ14" i="9"/>
  <c r="BH14" i="9"/>
  <c r="BG14" i="9"/>
  <c r="P103" i="2"/>
  <c r="R103" i="2"/>
  <c r="P115" i="2"/>
  <c r="R115" i="2"/>
  <c r="P50" i="2"/>
  <c r="R50" i="2"/>
  <c r="P8" i="2"/>
  <c r="R8" i="2"/>
  <c r="P75" i="2"/>
  <c r="R75" i="2"/>
  <c r="P26" i="2"/>
  <c r="R26" i="2"/>
  <c r="P111" i="2"/>
  <c r="R111" i="2"/>
  <c r="P100" i="2"/>
  <c r="R100" i="2"/>
  <c r="P63" i="2"/>
  <c r="R63" i="2"/>
  <c r="P74" i="2"/>
  <c r="R74" i="2"/>
  <c r="P90" i="2"/>
  <c r="R90" i="2"/>
  <c r="P88" i="2"/>
  <c r="R88" i="2"/>
  <c r="P112" i="2"/>
  <c r="R112" i="2"/>
  <c r="P78" i="2"/>
  <c r="R78" i="2"/>
  <c r="P48" i="2"/>
  <c r="R48" i="2"/>
  <c r="P32" i="2"/>
  <c r="R32" i="2"/>
  <c r="P11" i="2"/>
  <c r="R11" i="2"/>
  <c r="P69" i="2"/>
  <c r="R69" i="2"/>
  <c r="P23" i="2"/>
  <c r="R23" i="2"/>
  <c r="P9" i="2"/>
  <c r="R9" i="2"/>
  <c r="P13" i="2"/>
  <c r="R13" i="2"/>
  <c r="P97" i="2"/>
  <c r="R97" i="2"/>
  <c r="P113" i="2"/>
  <c r="R113" i="2"/>
  <c r="P119" i="2"/>
  <c r="R119" i="2"/>
  <c r="P128" i="2"/>
  <c r="R128" i="2"/>
  <c r="P6" i="2"/>
  <c r="R6" i="2"/>
  <c r="P5" i="2"/>
  <c r="R5" i="2"/>
  <c r="P65" i="2"/>
  <c r="R65" i="2"/>
  <c r="P141" i="2"/>
  <c r="R141" i="2"/>
  <c r="P64" i="2"/>
  <c r="R64" i="2"/>
  <c r="P25" i="2"/>
  <c r="R25" i="2"/>
  <c r="P47" i="2"/>
  <c r="R47" i="2"/>
  <c r="P135" i="2"/>
  <c r="R135" i="2"/>
  <c r="P107" i="2"/>
  <c r="R107" i="2"/>
  <c r="P122" i="2"/>
  <c r="R122" i="2"/>
  <c r="P72" i="2"/>
  <c r="R72" i="2"/>
  <c r="P136" i="2"/>
  <c r="R136" i="2"/>
  <c r="P18" i="2"/>
  <c r="R18" i="2"/>
  <c r="P34" i="2"/>
  <c r="R34" i="2"/>
  <c r="P81" i="2"/>
  <c r="R81" i="2"/>
  <c r="P85" i="2"/>
  <c r="R85" i="2"/>
  <c r="P62" i="2"/>
  <c r="R62" i="2"/>
  <c r="R142" i="2"/>
  <c r="R57" i="2"/>
  <c r="R30" i="2"/>
  <c r="R52" i="2"/>
  <c r="R54" i="2"/>
  <c r="R108" i="2"/>
  <c r="R42" i="2"/>
  <c r="R45" i="2"/>
  <c r="R124" i="2"/>
  <c r="R83" i="2"/>
  <c r="R133" i="2"/>
  <c r="R27" i="2"/>
  <c r="R80" i="2"/>
  <c r="R129" i="2"/>
  <c r="R116" i="2"/>
  <c r="R68" i="2"/>
  <c r="R66" i="2"/>
  <c r="R24" i="2"/>
  <c r="R104" i="2"/>
  <c r="R79" i="2"/>
  <c r="R137" i="2"/>
  <c r="R7" i="2"/>
  <c r="R140" i="2"/>
  <c r="R109" i="2"/>
  <c r="R14" i="2"/>
  <c r="R94" i="2"/>
  <c r="R77" i="2"/>
  <c r="R126" i="2"/>
  <c r="R58" i="2"/>
  <c r="R43" i="2"/>
  <c r="R118" i="2"/>
  <c r="R29" i="2"/>
  <c r="R22" i="2"/>
  <c r="R101" i="2"/>
  <c r="R59" i="2"/>
  <c r="R12" i="2"/>
  <c r="R19" i="2"/>
  <c r="R20" i="2"/>
  <c r="R33" i="2"/>
  <c r="R53" i="2"/>
  <c r="R28" i="2"/>
  <c r="R16" i="2"/>
  <c r="R70" i="2"/>
  <c r="R110" i="2"/>
  <c r="R55" i="2"/>
  <c r="R125" i="2"/>
  <c r="R87" i="2"/>
  <c r="R38" i="2"/>
  <c r="R71" i="2"/>
  <c r="R35" i="2"/>
  <c r="R31" i="2"/>
  <c r="R15" i="2"/>
  <c r="R120" i="2"/>
  <c r="R117" i="2"/>
  <c r="R49" i="2"/>
  <c r="R46" i="2"/>
  <c r="R60" i="2"/>
  <c r="R36" i="2"/>
  <c r="R86" i="2"/>
  <c r="R67" i="2"/>
  <c r="R39" i="2"/>
  <c r="R82" i="2"/>
  <c r="R121" i="2"/>
  <c r="R61" i="2"/>
  <c r="R144" i="2"/>
  <c r="R131" i="2"/>
  <c r="R73" i="2"/>
  <c r="R93" i="2"/>
  <c r="R10" i="2"/>
  <c r="R143" i="2"/>
  <c r="R106" i="2"/>
  <c r="R76" i="2"/>
  <c r="R102" i="2"/>
  <c r="R44" i="2"/>
  <c r="R130" i="2"/>
  <c r="R98" i="2"/>
  <c r="R56" i="2"/>
  <c r="R92" i="2"/>
  <c r="R41" i="2"/>
  <c r="R17" i="2"/>
  <c r="R51" i="2"/>
  <c r="R139" i="2"/>
  <c r="R21" i="2"/>
  <c r="R37" i="2"/>
  <c r="R138" i="2"/>
  <c r="P142" i="2"/>
  <c r="P57" i="2"/>
  <c r="P30" i="2"/>
  <c r="P52" i="2"/>
  <c r="P54" i="2"/>
  <c r="P108" i="2"/>
  <c r="P42" i="2"/>
  <c r="P45" i="2"/>
  <c r="P124" i="2"/>
  <c r="P83" i="2"/>
  <c r="P133" i="2"/>
  <c r="P27" i="2"/>
  <c r="P80" i="2"/>
  <c r="P129" i="2"/>
  <c r="P116" i="2"/>
  <c r="P68" i="2"/>
  <c r="P66" i="2"/>
  <c r="P24" i="2"/>
  <c r="P104" i="2"/>
  <c r="P79" i="2"/>
  <c r="P137" i="2"/>
  <c r="P7" i="2"/>
  <c r="P140" i="2"/>
  <c r="P109" i="2"/>
  <c r="P14" i="2"/>
  <c r="P94" i="2"/>
  <c r="P77" i="2"/>
  <c r="P126" i="2"/>
  <c r="P58" i="2"/>
  <c r="P43" i="2"/>
  <c r="P118" i="2"/>
  <c r="P29" i="2"/>
  <c r="P22" i="2"/>
  <c r="P101" i="2"/>
  <c r="P59" i="2"/>
  <c r="P12" i="2"/>
  <c r="P19" i="2"/>
  <c r="P20" i="2"/>
  <c r="P33" i="2"/>
  <c r="P53" i="2"/>
  <c r="P28" i="2"/>
  <c r="P16" i="2"/>
  <c r="P70" i="2"/>
  <c r="P110" i="2"/>
  <c r="P55" i="2"/>
  <c r="P125" i="2"/>
  <c r="P87" i="2"/>
  <c r="P38" i="2"/>
  <c r="P71" i="2"/>
  <c r="P35" i="2"/>
  <c r="P31" i="2"/>
  <c r="P15" i="2"/>
  <c r="P120" i="2"/>
  <c r="P117" i="2"/>
  <c r="P49" i="2"/>
  <c r="P46" i="2"/>
  <c r="P60" i="2"/>
  <c r="P36" i="2"/>
  <c r="P86" i="2"/>
  <c r="P67" i="2"/>
  <c r="P39" i="2"/>
  <c r="P82" i="2"/>
  <c r="P121" i="2"/>
  <c r="P61" i="2"/>
  <c r="P144" i="2"/>
  <c r="P131" i="2"/>
  <c r="P73" i="2"/>
  <c r="P93" i="2"/>
  <c r="P10" i="2"/>
  <c r="P143" i="2"/>
  <c r="P106" i="2"/>
  <c r="P76" i="2"/>
  <c r="P102" i="2"/>
  <c r="P44" i="2"/>
  <c r="P130" i="2"/>
  <c r="P98" i="2"/>
  <c r="P56" i="2"/>
  <c r="P92" i="2"/>
  <c r="P41" i="2"/>
  <c r="P17" i="2"/>
  <c r="P51" i="2"/>
  <c r="P139" i="2"/>
  <c r="P21" i="2"/>
  <c r="P37" i="2"/>
  <c r="P138" i="2"/>
  <c r="BF14" i="9"/>
  <c r="P123" i="2"/>
  <c r="R123" i="2"/>
  <c r="C62" i="28" l="1"/>
  <c r="D62" i="28"/>
  <c r="C63" i="28"/>
  <c r="D63" i="28"/>
  <c r="C64" i="28"/>
  <c r="D64" i="28"/>
  <c r="C65" i="28"/>
  <c r="D65" i="28"/>
  <c r="C66" i="28"/>
  <c r="D66" i="28"/>
  <c r="R20" i="9" l="1"/>
  <c r="BE14" i="9"/>
  <c r="BD14" i="9"/>
  <c r="BC14" i="9"/>
  <c r="AQ14" i="9"/>
  <c r="AG14" i="9"/>
  <c r="AK14" i="9"/>
  <c r="AZ14" i="9"/>
  <c r="BB14" i="9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N111" i="2" l="1"/>
  <c r="M88" i="2"/>
  <c r="N48" i="2"/>
  <c r="M23" i="2"/>
  <c r="N97" i="2"/>
  <c r="M5" i="2"/>
  <c r="N23" i="2"/>
  <c r="M115" i="2"/>
  <c r="N115" i="2"/>
  <c r="M26" i="2"/>
  <c r="N63" i="2"/>
  <c r="M78" i="2"/>
  <c r="N11" i="2"/>
  <c r="M13" i="2"/>
  <c r="N119" i="2"/>
  <c r="M8" i="2"/>
  <c r="N26" i="2"/>
  <c r="M90" i="2"/>
  <c r="N78" i="2"/>
  <c r="M69" i="2"/>
  <c r="N13" i="2"/>
  <c r="M6" i="2"/>
  <c r="M103" i="2"/>
  <c r="N8" i="2"/>
  <c r="M100" i="2"/>
  <c r="N90" i="2"/>
  <c r="M32" i="2"/>
  <c r="N69" i="2"/>
  <c r="M113" i="2"/>
  <c r="N6" i="2"/>
  <c r="N113" i="2"/>
  <c r="M65" i="2"/>
  <c r="N5" i="2"/>
  <c r="N103" i="2"/>
  <c r="M75" i="2"/>
  <c r="N100" i="2"/>
  <c r="M112" i="2"/>
  <c r="N32" i="2"/>
  <c r="M9" i="2"/>
  <c r="M119" i="2"/>
  <c r="M50" i="2"/>
  <c r="N75" i="2"/>
  <c r="M74" i="2"/>
  <c r="N112" i="2"/>
  <c r="N9" i="2"/>
  <c r="M128" i="2"/>
  <c r="N65" i="2"/>
  <c r="M11" i="2"/>
  <c r="N50" i="2"/>
  <c r="M111" i="2"/>
  <c r="N74" i="2"/>
  <c r="M48" i="2"/>
  <c r="M97" i="2"/>
  <c r="N128" i="2"/>
  <c r="L5" i="2"/>
  <c r="M63" i="2"/>
  <c r="N88" i="2"/>
  <c r="M141" i="2"/>
  <c r="N47" i="2"/>
  <c r="N34" i="2"/>
  <c r="M57" i="2"/>
  <c r="M108" i="2"/>
  <c r="M45" i="2"/>
  <c r="M27" i="2"/>
  <c r="M68" i="2"/>
  <c r="M24" i="2"/>
  <c r="M7" i="2"/>
  <c r="M94" i="2"/>
  <c r="M126" i="2"/>
  <c r="M118" i="2"/>
  <c r="M101" i="2"/>
  <c r="M20" i="2"/>
  <c r="N141" i="2"/>
  <c r="M107" i="2"/>
  <c r="M81" i="2"/>
  <c r="N57" i="2"/>
  <c r="N108" i="2"/>
  <c r="N45" i="2"/>
  <c r="N27" i="2"/>
  <c r="N68" i="2"/>
  <c r="N24" i="2"/>
  <c r="N7" i="2"/>
  <c r="N94" i="2"/>
  <c r="N126" i="2"/>
  <c r="N118" i="2"/>
  <c r="N101" i="2"/>
  <c r="N20" i="2"/>
  <c r="M25" i="2"/>
  <c r="N107" i="2"/>
  <c r="M18" i="2"/>
  <c r="N81" i="2"/>
  <c r="M30" i="2"/>
  <c r="M124" i="2"/>
  <c r="M80" i="2"/>
  <c r="M104" i="2"/>
  <c r="M140" i="2"/>
  <c r="M77" i="2"/>
  <c r="M29" i="2"/>
  <c r="M59" i="2"/>
  <c r="M33" i="2"/>
  <c r="N25" i="2"/>
  <c r="M72" i="2"/>
  <c r="N18" i="2"/>
  <c r="M62" i="2"/>
  <c r="N30" i="2"/>
  <c r="N124" i="2"/>
  <c r="N80" i="2"/>
  <c r="N104" i="2"/>
  <c r="N140" i="2"/>
  <c r="N77" i="2"/>
  <c r="N29" i="2"/>
  <c r="N59" i="2"/>
  <c r="N33" i="2"/>
  <c r="M135" i="2"/>
  <c r="M64" i="2"/>
  <c r="N135" i="2"/>
  <c r="M136" i="2"/>
  <c r="N52" i="2"/>
  <c r="N42" i="2"/>
  <c r="N83" i="2"/>
  <c r="N129" i="2"/>
  <c r="N66" i="2"/>
  <c r="N79" i="2"/>
  <c r="N109" i="2"/>
  <c r="N58" i="2"/>
  <c r="N22" i="2"/>
  <c r="N12" i="2"/>
  <c r="N53" i="2"/>
  <c r="N110" i="2"/>
  <c r="N38" i="2"/>
  <c r="N15" i="2"/>
  <c r="N49" i="2"/>
  <c r="N86" i="2"/>
  <c r="N121" i="2"/>
  <c r="N73" i="2"/>
  <c r="N143" i="2"/>
  <c r="N102" i="2"/>
  <c r="N98" i="2"/>
  <c r="N139" i="2"/>
  <c r="M56" i="2"/>
  <c r="M21" i="2"/>
  <c r="M125" i="2"/>
  <c r="M117" i="2"/>
  <c r="M39" i="2"/>
  <c r="M130" i="2"/>
  <c r="M17" i="2"/>
  <c r="N16" i="2"/>
  <c r="N35" i="2"/>
  <c r="N60" i="2"/>
  <c r="N144" i="2"/>
  <c r="N92" i="2"/>
  <c r="N64" i="2"/>
  <c r="M122" i="2"/>
  <c r="N136" i="2"/>
  <c r="M85" i="2"/>
  <c r="M142" i="2"/>
  <c r="M54" i="2"/>
  <c r="M133" i="2"/>
  <c r="M116" i="2"/>
  <c r="M137" i="2"/>
  <c r="M14" i="2"/>
  <c r="M43" i="2"/>
  <c r="M19" i="2"/>
  <c r="M28" i="2"/>
  <c r="M55" i="2"/>
  <c r="M71" i="2"/>
  <c r="M120" i="2"/>
  <c r="M46" i="2"/>
  <c r="M67" i="2"/>
  <c r="M61" i="2"/>
  <c r="M93" i="2"/>
  <c r="M106" i="2"/>
  <c r="M44" i="2"/>
  <c r="M47" i="2"/>
  <c r="N122" i="2"/>
  <c r="M34" i="2"/>
  <c r="N85" i="2"/>
  <c r="N142" i="2"/>
  <c r="N54" i="2"/>
  <c r="N133" i="2"/>
  <c r="N116" i="2"/>
  <c r="N137" i="2"/>
  <c r="N14" i="2"/>
  <c r="N43" i="2"/>
  <c r="N19" i="2"/>
  <c r="N28" i="2"/>
  <c r="N55" i="2"/>
  <c r="N71" i="2"/>
  <c r="N120" i="2"/>
  <c r="N46" i="2"/>
  <c r="N67" i="2"/>
  <c r="N61" i="2"/>
  <c r="N93" i="2"/>
  <c r="N106" i="2"/>
  <c r="N44" i="2"/>
  <c r="N56" i="2"/>
  <c r="N21" i="2"/>
  <c r="M123" i="2"/>
  <c r="M16" i="2"/>
  <c r="M35" i="2"/>
  <c r="M60" i="2"/>
  <c r="M144" i="2"/>
  <c r="M92" i="2"/>
  <c r="M37" i="2"/>
  <c r="N125" i="2"/>
  <c r="N117" i="2"/>
  <c r="N39" i="2"/>
  <c r="N130" i="2"/>
  <c r="N17" i="2"/>
  <c r="N37" i="2"/>
  <c r="N123" i="2"/>
  <c r="N62" i="2"/>
  <c r="M110" i="2"/>
  <c r="M87" i="2"/>
  <c r="M49" i="2"/>
  <c r="N131" i="2"/>
  <c r="M139" i="2"/>
  <c r="M82" i="2"/>
  <c r="M52" i="2"/>
  <c r="M58" i="2"/>
  <c r="N87" i="2"/>
  <c r="M36" i="2"/>
  <c r="M73" i="2"/>
  <c r="M138" i="2"/>
  <c r="M12" i="2"/>
  <c r="M86" i="2"/>
  <c r="M41" i="2"/>
  <c r="N41" i="2"/>
  <c r="N76" i="2"/>
  <c r="M131" i="2"/>
  <c r="M42" i="2"/>
  <c r="M22" i="2"/>
  <c r="M38" i="2"/>
  <c r="N36" i="2"/>
  <c r="M10" i="2"/>
  <c r="M98" i="2"/>
  <c r="N138" i="2"/>
  <c r="M31" i="2"/>
  <c r="N10" i="2"/>
  <c r="M143" i="2"/>
  <c r="M51" i="2"/>
  <c r="M109" i="2"/>
  <c r="N51" i="2"/>
  <c r="M83" i="2"/>
  <c r="N72" i="2"/>
  <c r="M129" i="2"/>
  <c r="M53" i="2"/>
  <c r="N31" i="2"/>
  <c r="M66" i="2"/>
  <c r="M70" i="2"/>
  <c r="M15" i="2"/>
  <c r="N82" i="2"/>
  <c r="M76" i="2"/>
  <c r="M79" i="2"/>
  <c r="N70" i="2"/>
  <c r="M121" i="2"/>
  <c r="M102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26" i="2" l="1"/>
  <c r="S26" i="2" s="1"/>
  <c r="Q13" i="2"/>
  <c r="S13" i="2" s="1"/>
  <c r="Q65" i="2"/>
  <c r="S65" i="2" s="1"/>
  <c r="Q32" i="2"/>
  <c r="S32" i="2" s="1"/>
  <c r="Q8" i="2"/>
  <c r="S8" i="2" s="1"/>
  <c r="Q78" i="2"/>
  <c r="S78" i="2" s="1"/>
  <c r="Q113" i="2"/>
  <c r="S113" i="2" s="1"/>
  <c r="Q88" i="2"/>
  <c r="S88" i="2" s="1"/>
  <c r="Q115" i="2"/>
  <c r="S115" i="2" s="1"/>
  <c r="Q5" i="2"/>
  <c r="S5" i="2" s="1"/>
  <c r="Q50" i="2"/>
  <c r="S50" i="2" s="1"/>
  <c r="Q75" i="2"/>
  <c r="S75" i="2" s="1"/>
  <c r="Q11" i="2"/>
  <c r="S11" i="2" s="1"/>
  <c r="Q48" i="2"/>
  <c r="S48" i="2" s="1"/>
  <c r="Q69" i="2"/>
  <c r="S69" i="2" s="1"/>
  <c r="Q9" i="2"/>
  <c r="S9" i="2" s="1"/>
  <c r="Q100" i="2"/>
  <c r="S100" i="2" s="1"/>
  <c r="Q23" i="2"/>
  <c r="S23" i="2" s="1"/>
  <c r="Q63" i="2"/>
  <c r="S63" i="2" s="1"/>
  <c r="Q111" i="2"/>
  <c r="S111" i="2" s="1"/>
  <c r="Q128" i="2"/>
  <c r="S128" i="2" s="1"/>
  <c r="Q90" i="2"/>
  <c r="S90" i="2" s="1"/>
  <c r="Q74" i="2"/>
  <c r="S74" i="2" s="1"/>
  <c r="Q112" i="2"/>
  <c r="S112" i="2" s="1"/>
  <c r="Q103" i="2"/>
  <c r="S103" i="2" s="1"/>
  <c r="Q119" i="2"/>
  <c r="S119" i="2" s="1"/>
  <c r="Q97" i="2"/>
  <c r="S97" i="2" s="1"/>
  <c r="Q6" i="2"/>
  <c r="S6" i="2" s="1"/>
  <c r="Q104" i="2"/>
  <c r="S104" i="2" s="1"/>
  <c r="Q30" i="2"/>
  <c r="S30" i="2" s="1"/>
  <c r="Q57" i="2"/>
  <c r="S57" i="2" s="1"/>
  <c r="Q21" i="2"/>
  <c r="S21" i="2" s="1"/>
  <c r="Q142" i="2"/>
  <c r="S142" i="2" s="1"/>
  <c r="Q106" i="2"/>
  <c r="S106" i="2" s="1"/>
  <c r="Q141" i="2"/>
  <c r="S141" i="2" s="1"/>
  <c r="Q20" i="2"/>
  <c r="S20" i="2" s="1"/>
  <c r="Q45" i="2"/>
  <c r="S45" i="2" s="1"/>
  <c r="Q29" i="2"/>
  <c r="S29" i="2" s="1"/>
  <c r="Q28" i="2"/>
  <c r="S28" i="2" s="1"/>
  <c r="Q24" i="2"/>
  <c r="S24" i="2" s="1"/>
  <c r="Q43" i="2"/>
  <c r="S43" i="2" s="1"/>
  <c r="Q136" i="2"/>
  <c r="S136" i="2" s="1"/>
  <c r="Q46" i="2"/>
  <c r="S46" i="2" s="1"/>
  <c r="Q121" i="2"/>
  <c r="S121" i="2" s="1"/>
  <c r="Q67" i="2"/>
  <c r="S67" i="2" s="1"/>
  <c r="Q55" i="2"/>
  <c r="S55" i="2" s="1"/>
  <c r="Q110" i="2"/>
  <c r="S110" i="2" s="1"/>
  <c r="Q130" i="2"/>
  <c r="S130" i="2" s="1"/>
  <c r="Q51" i="2"/>
  <c r="S51" i="2" s="1"/>
  <c r="Q12" i="2"/>
  <c r="S12" i="2" s="1"/>
  <c r="Q120" i="2"/>
  <c r="S120" i="2" s="1"/>
  <c r="Q31" i="2"/>
  <c r="S31" i="2" s="1"/>
  <c r="Q35" i="2"/>
  <c r="S35" i="2" s="1"/>
  <c r="Q85" i="2"/>
  <c r="S85" i="2" s="1"/>
  <c r="Q135" i="2"/>
  <c r="S135" i="2" s="1"/>
  <c r="Q116" i="2"/>
  <c r="S116" i="2" s="1"/>
  <c r="Q102" i="2"/>
  <c r="S102" i="2" s="1"/>
  <c r="Q66" i="2"/>
  <c r="S66" i="2" s="1"/>
  <c r="Q117" i="2"/>
  <c r="S117" i="2" s="1"/>
  <c r="Q138" i="2"/>
  <c r="S138" i="2" s="1"/>
  <c r="Q37" i="2"/>
  <c r="S37" i="2" s="1"/>
  <c r="Q122" i="2"/>
  <c r="S122" i="2" s="1"/>
  <c r="Q53" i="2"/>
  <c r="S53" i="2" s="1"/>
  <c r="Q22" i="2"/>
  <c r="S22" i="2" s="1"/>
  <c r="Q38" i="2"/>
  <c r="S38" i="2" s="1"/>
  <c r="Q83" i="2"/>
  <c r="S83" i="2" s="1"/>
  <c r="Q54" i="2"/>
  <c r="S54" i="2" s="1"/>
  <c r="Q47" i="2"/>
  <c r="S47" i="2" s="1"/>
  <c r="Q36" i="2"/>
  <c r="S36" i="2" s="1"/>
  <c r="Q60" i="2"/>
  <c r="S60" i="2" s="1"/>
  <c r="Q139" i="2"/>
  <c r="S139" i="2" s="1"/>
  <c r="Q143" i="2"/>
  <c r="S143" i="2" s="1"/>
  <c r="Q39" i="2"/>
  <c r="S39" i="2" s="1"/>
  <c r="Q58" i="2"/>
  <c r="S58" i="2" s="1"/>
  <c r="Q17" i="2"/>
  <c r="S17" i="2" s="1"/>
  <c r="Q19" i="2"/>
  <c r="S19" i="2" s="1"/>
  <c r="Q70" i="2"/>
  <c r="S70" i="2" s="1"/>
  <c r="Q16" i="2"/>
  <c r="S16" i="2" s="1"/>
  <c r="Q72" i="2"/>
  <c r="S72" i="2" s="1"/>
  <c r="Q18" i="2"/>
  <c r="S18" i="2" s="1"/>
  <c r="Q79" i="2"/>
  <c r="S79" i="2" s="1"/>
  <c r="Q87" i="2"/>
  <c r="S87" i="2" s="1"/>
  <c r="Q71" i="2"/>
  <c r="S71" i="2" s="1"/>
  <c r="Q125" i="2"/>
  <c r="S125" i="2" s="1"/>
  <c r="Q109" i="2"/>
  <c r="S109" i="2" s="1"/>
  <c r="Q14" i="2"/>
  <c r="S14" i="2" s="1"/>
  <c r="Q59" i="2"/>
  <c r="S59" i="2" s="1"/>
  <c r="Q101" i="2"/>
  <c r="S101" i="2" s="1"/>
  <c r="Q81" i="2"/>
  <c r="S81" i="2" s="1"/>
  <c r="Q118" i="2"/>
  <c r="S118" i="2" s="1"/>
  <c r="Q133" i="2"/>
  <c r="S133" i="2" s="1"/>
  <c r="Q126" i="2"/>
  <c r="S126" i="2" s="1"/>
  <c r="Q61" i="2"/>
  <c r="S61" i="2" s="1"/>
  <c r="Q56" i="2"/>
  <c r="S56" i="2" s="1"/>
  <c r="Q129" i="2"/>
  <c r="S129" i="2" s="1"/>
  <c r="Q123" i="2"/>
  <c r="S123" i="2" s="1"/>
  <c r="Q73" i="2"/>
  <c r="S73" i="2" s="1"/>
  <c r="Q34" i="2"/>
  <c r="S34" i="2" s="1"/>
  <c r="Q41" i="2"/>
  <c r="S41" i="2" s="1"/>
  <c r="Q140" i="2"/>
  <c r="S140" i="2" s="1"/>
  <c r="Q92" i="2"/>
  <c r="S92" i="2" s="1"/>
  <c r="Q7" i="2"/>
  <c r="S7" i="2" s="1"/>
  <c r="Q25" i="2"/>
  <c r="S25" i="2" s="1"/>
  <c r="Q77" i="2"/>
  <c r="S77" i="2" s="1"/>
  <c r="Q137" i="2"/>
  <c r="S137" i="2" s="1"/>
  <c r="Q44" i="2"/>
  <c r="S44" i="2" s="1"/>
  <c r="Q86" i="2"/>
  <c r="S86" i="2" s="1"/>
  <c r="Q52" i="2"/>
  <c r="S52" i="2" s="1"/>
  <c r="Q94" i="2"/>
  <c r="S94" i="2" s="1"/>
  <c r="Q76" i="2"/>
  <c r="S76" i="2" s="1"/>
  <c r="Q68" i="2"/>
  <c r="S68" i="2" s="1"/>
  <c r="Q107" i="2"/>
  <c r="S107" i="2" s="1"/>
  <c r="Q42" i="2"/>
  <c r="S42" i="2" s="1"/>
  <c r="Q82" i="2"/>
  <c r="S82" i="2" s="1"/>
  <c r="Q49" i="2"/>
  <c r="S49" i="2" s="1"/>
  <c r="Q98" i="2"/>
  <c r="S98" i="2" s="1"/>
  <c r="Q10" i="2"/>
  <c r="S10" i="2" s="1"/>
  <c r="Q15" i="2"/>
  <c r="S15" i="2" s="1"/>
  <c r="Q27" i="2"/>
  <c r="S27" i="2" s="1"/>
  <c r="Q131" i="2"/>
  <c r="S131" i="2" s="1"/>
  <c r="Q124" i="2"/>
  <c r="S124" i="2" s="1"/>
  <c r="Q144" i="2"/>
  <c r="S144" i="2" s="1"/>
  <c r="Q62" i="2"/>
  <c r="S62" i="2" s="1"/>
  <c r="Q80" i="2"/>
  <c r="S80" i="2" s="1"/>
  <c r="Q33" i="2"/>
  <c r="S33" i="2" s="1"/>
  <c r="Q108" i="2"/>
  <c r="S108" i="2" s="1"/>
  <c r="Q93" i="2"/>
  <c r="S93" i="2" s="1"/>
  <c r="Q64" i="2"/>
  <c r="S64" i="2" s="1"/>
  <c r="Q138" i="29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AP10" i="9" s="1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AH13" i="9" l="1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K10" i="28" l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  <c r="K57" i="28" s="1"/>
</calcChain>
</file>

<file path=xl/sharedStrings.xml><?xml version="1.0" encoding="utf-8"?>
<sst xmlns="http://schemas.openxmlformats.org/spreadsheetml/2006/main" count="10235" uniqueCount="1949">
  <si>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</si>
  <si>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</si>
  <si>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</si>
  <si>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</si>
  <si>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</si>
  <si>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</si>
  <si>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</si>
  <si>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</si>
  <si>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</si>
  <si>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</si>
  <si>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</si>
  <si>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</si>
  <si>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</si>
  <si>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</si>
  <si>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</si>
  <si>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</si>
  <si>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</si>
  <si>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</si>
  <si>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</si>
  <si>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</si>
  <si>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</si>
  <si>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</si>
  <si>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</si>
  <si>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</si>
  <si>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</si>
  <si>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</si>
  <si>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</si>
  <si>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</si>
  <si>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</si>
  <si>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</si>
  <si>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</si>
  <si>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</si>
  <si>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</si>
  <si>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</si>
  <si>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</si>
  <si>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</si>
  <si>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</si>
  <si>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</si>
  <si>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</si>
  <si>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</si>
  <si>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</si>
  <si>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</si>
  <si>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</si>
  <si>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</si>
  <si>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</si>
  <si>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</si>
  <si>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</si>
  <si>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</si>
  <si>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</si>
  <si>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</si>
  <si>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</si>
  <si>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</si>
  <si>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</si>
  <si>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</si>
  <si>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</si>
  <si>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</si>
  <si>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</si>
  <si>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</si>
  <si>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</si>
  <si>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</si>
  <si>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</si>
  <si>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</si>
  <si>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</si>
  <si>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</si>
  <si>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</si>
  <si>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</si>
  <si>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</si>
  <si>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</si>
  <si>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</si>
  <si>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</si>
  <si>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</si>
  <si>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</si>
  <si>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</si>
  <si>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</si>
  <si>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</si>
  <si>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</si>
  <si>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</si>
  <si>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</si>
  <si>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</si>
  <si>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</si>
  <si>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</si>
  <si>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</si>
  <si>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</si>
  <si>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</si>
  <si>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</si>
  <si>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</si>
  <si>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</si>
  <si>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</si>
  <si>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</si>
  <si>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</si>
  <si>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</si>
  <si>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</si>
  <si>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</si>
  <si>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</si>
  <si>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</si>
  <si>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</si>
  <si>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</si>
  <si>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</si>
  <si>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</si>
  <si>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</si>
  <si>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</si>
  <si>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</si>
  <si>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</si>
  <si>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</si>
  <si>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</si>
  <si>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</si>
  <si>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</si>
  <si>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</si>
  <si>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</si>
  <si>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</si>
  <si>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</si>
  <si>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</si>
  <si>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</si>
  <si>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</si>
  <si>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</si>
  <si>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</si>
  <si>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</si>
  <si>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</si>
  <si>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</si>
  <si>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</si>
  <si>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</si>
  <si>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</si>
  <si>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</si>
  <si>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</si>
  <si>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</si>
  <si>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</si>
  <si>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</si>
  <si>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</si>
  <si>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</si>
  <si>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</si>
  <si>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</si>
  <si>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</si>
  <si>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</si>
  <si>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</si>
  <si>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</si>
  <si>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</si>
  <si>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</si>
  <si>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</si>
  <si>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</si>
  <si>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</si>
  <si>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</si>
  <si>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</si>
  <si>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</si>
  <si>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</si>
  <si>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</si>
  <si>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</si>
  <si>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</si>
  <si>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</si>
  <si>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</si>
  <si>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</si>
  <si>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</si>
  <si>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</si>
  <si>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</si>
  <si>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</si>
  <si>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</si>
  <si>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</si>
  <si>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</si>
  <si>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</si>
  <si>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</si>
  <si>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</si>
  <si>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</si>
  <si>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</si>
  <si>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</si>
  <si>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</si>
  <si>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</si>
  <si>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</si>
  <si>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</si>
  <si>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</si>
  <si>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</si>
  <si>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</si>
  <si>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</si>
  <si>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</si>
  <si>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</si>
  <si>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</si>
  <si>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</si>
  <si>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</si>
  <si>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</si>
  <si>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</si>
  <si>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</si>
  <si>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</si>
  <si>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</si>
  <si>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</si>
  <si>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</si>
  <si>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</si>
  <si>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</si>
  <si>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</si>
  <si>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</si>
  <si>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</si>
  <si>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</si>
  <si>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</si>
  <si>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</si>
  <si>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</si>
  <si>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</si>
  <si>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</si>
  <si>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</si>
  <si>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</si>
  <si>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</si>
  <si>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</si>
  <si>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</si>
  <si>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</si>
  <si>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</si>
  <si>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</si>
  <si>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</si>
  <si>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</si>
  <si>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</si>
  <si>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</si>
  <si>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</si>
  <si>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</si>
  <si>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</si>
  <si>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</si>
  <si>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</si>
  <si>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</si>
  <si>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</si>
  <si>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</si>
  <si>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</si>
  <si>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</si>
  <si>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</si>
  <si>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</si>
  <si>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</si>
  <si>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</si>
  <si>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</si>
  <si>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</si>
  <si>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</si>
  <si>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</si>
  <si>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</si>
  <si>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</si>
  <si>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</si>
  <si>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</si>
  <si>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</si>
  <si>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</si>
  <si>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</si>
  <si>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</si>
  <si>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</si>
  <si>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</si>
  <si>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</si>
  <si>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</si>
  <si>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</si>
  <si>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</si>
  <si>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</si>
  <si>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</si>
  <si>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</si>
  <si>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</si>
  <si>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</si>
  <si>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</si>
  <si>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</si>
  <si>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</si>
  <si>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</si>
  <si>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</si>
  <si>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</si>
  <si>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</si>
  <si>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</si>
  <si>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</si>
  <si>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</si>
  <si>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</si>
  <si>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</si>
  <si>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</si>
  <si>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</si>
  <si>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</si>
  <si>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</si>
  <si>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</si>
  <si>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</si>
  <si>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</si>
  <si>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</si>
  <si>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</si>
  <si>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</si>
  <si>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</si>
  <si>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</si>
  <si>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</si>
  <si>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</si>
  <si>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</si>
  <si>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</si>
  <si>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</si>
  <si>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</si>
  <si>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</si>
  <si>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</si>
  <si>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</si>
  <si>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</si>
  <si>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</si>
  <si>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</si>
  <si>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</si>
  <si>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</si>
  <si>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</si>
  <si>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</si>
  <si>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</si>
  <si>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</si>
  <si>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</si>
  <si>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</si>
  <si>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</si>
  <si>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</si>
  <si>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</si>
  <si>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</si>
  <si>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</si>
  <si>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</si>
  <si>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</si>
  <si>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</si>
  <si>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</si>
  <si>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</si>
  <si>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</si>
  <si>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</si>
  <si>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</si>
  <si>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</si>
  <si>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</si>
  <si>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</si>
  <si>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</si>
  <si>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</si>
  <si>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</si>
  <si>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</si>
  <si>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</si>
  <si>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</si>
  <si>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</si>
  <si>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</si>
  <si>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</si>
  <si>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</si>
  <si>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</si>
  <si>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</si>
  <si>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</si>
  <si>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</si>
  <si>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</si>
  <si>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</si>
  <si>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</si>
  <si>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</si>
  <si>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</si>
  <si>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</si>
  <si>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</si>
  <si>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</si>
  <si>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</si>
  <si>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</si>
  <si>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</si>
  <si>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</si>
  <si>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</si>
  <si>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</si>
  <si>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</si>
  <si>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</si>
  <si>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</si>
  <si>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</si>
  <si>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</si>
  <si>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</si>
  <si>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</si>
  <si>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</si>
  <si>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</si>
  <si>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</si>
  <si>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</si>
  <si>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</si>
  <si>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</si>
  <si>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</si>
  <si>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</si>
  <si>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</si>
  <si>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</si>
  <si>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</si>
  <si>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</si>
  <si>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</si>
  <si>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</si>
  <si>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</si>
  <si>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</si>
  <si>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</si>
  <si>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</si>
  <si>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</si>
  <si>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</si>
  <si>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</si>
  <si>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</si>
  <si>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</si>
  <si>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</si>
  <si>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</si>
  <si>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</si>
  <si>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</si>
  <si>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</si>
  <si>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</si>
  <si>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</si>
  <si>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</si>
  <si>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</si>
  <si>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</si>
  <si>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</si>
  <si>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</si>
  <si>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</si>
  <si>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</si>
  <si>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</si>
  <si>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</si>
  <si>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</si>
  <si>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</si>
  <si>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</si>
  <si>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</si>
  <si>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</si>
  <si>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</si>
  <si>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</si>
  <si>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</si>
  <si>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</si>
  <si>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</si>
  <si>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</si>
  <si>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</si>
  <si>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</si>
  <si>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</si>
  <si>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</si>
  <si>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</si>
  <si>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</si>
  <si>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</si>
  <si>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</si>
  <si>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</si>
  <si>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</si>
  <si>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</si>
  <si>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</si>
  <si>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</si>
  <si>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</si>
  <si>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</si>
  <si>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</si>
  <si>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</si>
  <si>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</si>
  <si>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</si>
  <si>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</si>
  <si>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</si>
  <si>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</si>
  <si>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</si>
  <si>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</si>
  <si>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</si>
  <si>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</si>
  <si>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</si>
  <si>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</si>
  <si>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</si>
  <si>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</si>
  <si>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</si>
  <si>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</si>
  <si>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</si>
  <si>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</si>
  <si>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</si>
  <si>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</si>
  <si>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</si>
  <si>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</si>
  <si>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</si>
  <si>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</si>
  <si>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</si>
  <si>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</si>
  <si>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</si>
  <si>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</si>
  <si>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</si>
  <si>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</si>
  <si>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</si>
  <si>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</si>
  <si>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</si>
  <si>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</si>
  <si>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</si>
  <si>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</si>
  <si>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</si>
  <si>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</si>
  <si>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</si>
  <si>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</si>
  <si>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</si>
  <si>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</si>
  <si>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</si>
  <si>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</si>
  <si>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</si>
  <si>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</si>
  <si>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</si>
  <si>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</si>
  <si>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</si>
  <si>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</si>
  <si>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</si>
  <si>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</si>
  <si>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</si>
  <si>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</si>
  <si>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</si>
  <si>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</si>
  <si>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</si>
  <si>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</si>
  <si>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</si>
  <si>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</si>
  <si>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</si>
  <si>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</si>
  <si>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</si>
  <si>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</si>
  <si>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</si>
  <si>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</si>
  <si>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</si>
  <si>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</si>
  <si>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</si>
  <si>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</si>
  <si>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</si>
  <si>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</si>
  <si>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</si>
  <si>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</si>
  <si>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</si>
  <si>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</si>
  <si>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</si>
  <si>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</si>
  <si>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</si>
  <si>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</si>
  <si>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</si>
  <si>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</si>
  <si>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</si>
  <si>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</si>
  <si>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</si>
  <si>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</si>
  <si>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</si>
  <si>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</si>
  <si>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</si>
  <si>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</si>
  <si>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</si>
  <si>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</si>
  <si>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</si>
  <si>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</si>
  <si>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</si>
  <si>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</si>
  <si>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</si>
  <si>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</si>
  <si>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</si>
  <si>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</si>
  <si>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</si>
  <si>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</si>
  <si>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</si>
  <si>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</si>
  <si>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</si>
  <si>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</si>
  <si>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</si>
  <si>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</si>
  <si>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</si>
  <si>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</si>
  <si>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</si>
  <si>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</si>
  <si>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</si>
  <si>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</si>
  <si>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</si>
  <si>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</si>
  <si>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</si>
  <si>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</si>
  <si>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</si>
  <si>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</si>
  <si>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</si>
  <si>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</si>
  <si>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</si>
  <si>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</si>
  <si>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</si>
  <si>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</si>
  <si>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</si>
  <si>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</si>
  <si>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</si>
  <si>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</si>
  <si>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</si>
  <si>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</si>
  <si>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</si>
  <si>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</si>
  <si>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</si>
  <si>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</si>
  <si>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</si>
  <si>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</si>
  <si>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</si>
  <si>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</si>
  <si>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</si>
  <si>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</si>
  <si>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</si>
  <si>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</si>
  <si>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</si>
  <si>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</si>
  <si>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</si>
  <si>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</si>
  <si>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</si>
  <si>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</si>
  <si>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</si>
  <si>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</si>
  <si>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</si>
  <si>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</si>
  <si>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</si>
  <si>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</si>
  <si>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</si>
  <si>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</si>
  <si>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</si>
  <si>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</si>
  <si>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</si>
  <si>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</si>
  <si>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</si>
  <si>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</si>
  <si>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</si>
  <si>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</si>
  <si>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</si>
  <si>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</si>
  <si>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</si>
  <si>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</si>
  <si>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</si>
  <si>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</si>
  <si>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</si>
  <si>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</si>
  <si>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</si>
  <si>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</si>
  <si>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</si>
  <si>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</si>
  <si>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</si>
  <si>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</si>
  <si>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</si>
  <si>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</si>
  <si>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</si>
  <si>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</si>
  <si>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</si>
  <si>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</si>
  <si>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</si>
  <si>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</si>
  <si>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</si>
  <si>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</si>
  <si>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</si>
  <si>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</si>
  <si>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</si>
  <si>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</si>
  <si>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</si>
  <si>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</si>
  <si>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</si>
  <si>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</si>
  <si>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</si>
  <si>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</si>
  <si>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</si>
  <si>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</si>
  <si>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</si>
  <si>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</si>
  <si>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</si>
  <si>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</si>
  <si>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</si>
  <si>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</si>
  <si>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</si>
  <si>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</si>
  <si>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</si>
  <si>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</si>
  <si>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</si>
  <si>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</si>
  <si>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</si>
  <si>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</si>
  <si>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</si>
  <si>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</si>
  <si>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</si>
  <si>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</si>
  <si>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</si>
  <si>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</si>
  <si>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</si>
  <si>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</si>
  <si>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</si>
  <si>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</si>
  <si>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</si>
  <si>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</si>
  <si>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</si>
  <si>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</si>
  <si>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</si>
  <si>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</si>
  <si>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</si>
  <si>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</si>
  <si>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</si>
  <si>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</si>
  <si>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</si>
  <si>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</si>
  <si>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</si>
  <si>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</si>
  <si>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</si>
  <si>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</si>
  <si>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</si>
  <si>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</si>
  <si>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</si>
  <si>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</si>
  <si>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</si>
  <si>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</si>
  <si>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</si>
  <si>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</si>
  <si>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</si>
  <si>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</si>
  <si>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</si>
  <si>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</si>
  <si>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</si>
  <si>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</si>
  <si>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</si>
  <si>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</si>
  <si>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</si>
  <si>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</si>
  <si>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</si>
  <si>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</si>
  <si>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</si>
  <si>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</si>
  <si>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</si>
  <si>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</si>
  <si>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</si>
  <si>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</si>
  <si>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</si>
  <si>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</si>
  <si>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</si>
  <si>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</si>
  <si>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</si>
  <si>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</si>
  <si>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</si>
  <si>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</si>
  <si>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</si>
  <si>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</si>
  <si>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</si>
  <si>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</si>
  <si>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</si>
  <si>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</si>
  <si>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</si>
  <si>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</si>
  <si>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</si>
  <si>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</si>
  <si>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</si>
  <si>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</si>
  <si>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</si>
  <si>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</si>
  <si>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</si>
  <si>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</si>
  <si>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</si>
  <si>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</si>
  <si>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</si>
  <si>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</si>
  <si>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</si>
  <si>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</si>
  <si>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</si>
  <si>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</si>
  <si>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</si>
  <si>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</si>
  <si>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</si>
  <si>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</si>
  <si>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</si>
  <si>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</si>
  <si>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</si>
  <si>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</si>
  <si>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</si>
  <si>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</si>
  <si>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</si>
  <si>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</si>
  <si>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</si>
  <si>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</si>
  <si>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</si>
  <si>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</si>
  <si>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</si>
  <si>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</si>
  <si>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</si>
  <si>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</si>
  <si>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</si>
  <si>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</si>
  <si>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</si>
  <si>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</si>
  <si>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</si>
  <si>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</si>
  <si>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</si>
  <si>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</si>
  <si>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</si>
  <si>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</si>
  <si>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</si>
  <si>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</si>
  <si>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</si>
  <si>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</si>
  <si>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</si>
  <si>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</si>
  <si>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</si>
  <si>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</si>
  <si>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</si>
  <si>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</si>
  <si>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</si>
  <si>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</si>
  <si>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</si>
  <si>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</si>
  <si>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</si>
  <si>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</si>
  <si>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</si>
  <si>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</si>
  <si>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</si>
  <si>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</si>
  <si>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</si>
  <si>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</si>
  <si>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</si>
  <si>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</si>
  <si>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</si>
  <si>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</si>
  <si>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</si>
  <si>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</si>
  <si>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</si>
  <si>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</si>
  <si>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</si>
  <si>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</si>
  <si>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</si>
  <si>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</si>
  <si>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</si>
  <si>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</si>
  <si>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</si>
  <si>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</si>
  <si>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</si>
  <si>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</si>
  <si>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</si>
  <si>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</si>
  <si>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</si>
  <si>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</si>
  <si>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</si>
  <si>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</si>
  <si>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</si>
  <si>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</si>
  <si>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</si>
  <si>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</si>
  <si>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</si>
  <si>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</si>
  <si>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</si>
  <si>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</si>
  <si>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</si>
  <si>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</si>
  <si>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</si>
  <si>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</si>
  <si>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</si>
  <si>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</si>
  <si>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</si>
  <si>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</si>
  <si>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</si>
  <si>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</si>
  <si>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</si>
  <si>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</si>
  <si>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</si>
  <si>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</si>
  <si>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</si>
  <si>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</si>
  <si>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</si>
  <si>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</si>
  <si>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</si>
  <si>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</si>
  <si>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</si>
  <si>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</si>
  <si>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</si>
  <si>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</si>
  <si>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</si>
  <si>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</si>
  <si>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</si>
  <si>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</si>
  <si>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</si>
  <si>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</si>
  <si>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</si>
  <si>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</si>
  <si>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</si>
  <si>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</si>
  <si>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</si>
  <si>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</si>
  <si>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</si>
  <si>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</si>
  <si>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</si>
  <si>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</si>
  <si>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</si>
  <si>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</si>
  <si>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</si>
  <si>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</si>
  <si>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</si>
  <si>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</si>
  <si>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</si>
  <si>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</si>
  <si>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</si>
  <si>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</si>
  <si>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</si>
  <si>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</si>
  <si>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</si>
  <si>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</si>
  <si>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</si>
  <si>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</si>
  <si>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</si>
  <si>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</si>
  <si>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</si>
  <si>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</si>
  <si>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</si>
  <si>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</si>
  <si>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</si>
  <si>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</si>
  <si>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</si>
  <si>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</si>
  <si>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</si>
  <si>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</si>
  <si>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</si>
  <si>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</si>
  <si>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</si>
  <si>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</si>
  <si>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</si>
  <si>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</si>
  <si>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</si>
  <si>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</si>
  <si>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</si>
  <si>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</si>
  <si>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</si>
  <si>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</si>
  <si>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</si>
  <si>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</si>
  <si>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</si>
  <si>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</si>
  <si>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</si>
  <si>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</si>
  <si>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</si>
  <si>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</si>
  <si>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</si>
  <si>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</si>
  <si>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</si>
  <si>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</si>
  <si>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</si>
  <si>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</si>
  <si>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</si>
  <si>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</si>
  <si>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</si>
  <si>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</si>
  <si>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</si>
  <si>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</si>
  <si>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</si>
  <si>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</si>
  <si>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</si>
  <si>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</si>
  <si>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</si>
  <si>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</si>
  <si>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</si>
  <si>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</si>
  <si>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</si>
  <si>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</si>
  <si>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</si>
  <si>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</si>
  <si>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</si>
  <si>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</si>
  <si>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</si>
  <si>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</si>
  <si>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</si>
  <si>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</si>
  <si>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</si>
  <si>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</si>
  <si>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</si>
  <si>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</si>
  <si>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</si>
  <si>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</si>
  <si>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</si>
  <si>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</si>
  <si>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</si>
  <si>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</si>
  <si>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</si>
  <si>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</si>
  <si>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</si>
  <si>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</si>
  <si>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</si>
  <si>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</si>
  <si>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</si>
  <si>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</si>
  <si>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</si>
  <si>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</si>
  <si>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</si>
  <si>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</si>
  <si>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</si>
  <si>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</si>
  <si>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</si>
  <si>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</si>
  <si>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</si>
  <si>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</si>
  <si>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</si>
  <si>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</si>
  <si>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</si>
  <si>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</si>
  <si>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</si>
  <si>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</si>
  <si>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</si>
  <si>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</si>
  <si>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</si>
  <si>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</si>
  <si>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</si>
  <si>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</si>
  <si>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</si>
  <si>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</si>
  <si>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</si>
  <si>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</si>
  <si>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</si>
  <si>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</si>
  <si>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</si>
  <si>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</si>
  <si>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</si>
  <si>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</si>
  <si>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</si>
  <si>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</si>
  <si>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</si>
  <si>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</si>
  <si>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</si>
  <si>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</si>
  <si>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</si>
  <si>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</si>
  <si>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</si>
  <si>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</si>
  <si>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</si>
  <si>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</si>
  <si>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</si>
  <si>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</si>
  <si>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</si>
  <si>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</si>
  <si>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</si>
  <si>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</si>
  <si>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</si>
  <si>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</si>
  <si>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</si>
  <si>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</si>
  <si>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</si>
  <si>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</si>
  <si>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</si>
  <si>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</si>
  <si>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</si>
  <si>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</si>
  <si>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</si>
  <si>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</si>
  <si>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</si>
  <si>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</si>
  <si>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</si>
  <si>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</si>
  <si>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</si>
  <si>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</si>
  <si>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</si>
  <si>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</si>
  <si>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</si>
  <si>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</si>
  <si>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</si>
  <si>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</si>
  <si>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</si>
  <si>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</si>
  <si>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</si>
  <si>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</si>
  <si>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</si>
  <si>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</si>
  <si>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</si>
  <si>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</si>
  <si>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</si>
  <si>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</si>
  <si>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</si>
  <si>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</si>
  <si>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</si>
  <si>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</si>
  <si>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</si>
  <si>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</si>
  <si>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</si>
  <si>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</si>
  <si>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</si>
  <si>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</si>
  <si>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</si>
  <si>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</si>
  <si>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</si>
  <si>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</si>
  <si>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</si>
  <si>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</si>
  <si>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</si>
  <si>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</si>
  <si>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</si>
  <si>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</si>
  <si>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</si>
  <si>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</si>
  <si>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</si>
  <si>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</si>
  <si>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</si>
  <si>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</si>
  <si>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</si>
  <si>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</si>
  <si>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</si>
  <si>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</si>
  <si>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</si>
  <si>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</si>
  <si>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</si>
  <si>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</si>
  <si>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</si>
  <si>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</si>
  <si>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</si>
  <si>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</si>
  <si>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</si>
  <si>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</si>
  <si>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</si>
  <si>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</si>
  <si>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</si>
  <si>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</si>
  <si>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</si>
  <si>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</si>
  <si>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</si>
  <si>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</si>
  <si>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</si>
  <si>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</si>
  <si>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</si>
  <si>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</si>
  <si>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</si>
  <si>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</si>
  <si>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</si>
  <si>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</si>
  <si>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</si>
  <si>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</si>
  <si>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</si>
  <si>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</si>
  <si>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</si>
  <si>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</si>
  <si>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</si>
  <si>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</si>
  <si>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</si>
  <si>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</si>
  <si>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</si>
  <si>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</si>
  <si>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</si>
  <si>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</si>
  <si>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</si>
  <si>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</si>
  <si>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</si>
  <si>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</si>
  <si>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</si>
  <si>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</si>
  <si>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</si>
  <si>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</si>
  <si>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</si>
  <si>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</si>
  <si>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</si>
  <si>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</si>
  <si>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</si>
  <si>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</si>
  <si>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</si>
  <si>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</si>
  <si>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</si>
  <si>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</si>
  <si>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</si>
  <si>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</si>
  <si>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</si>
  <si>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</si>
  <si>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</si>
  <si>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</si>
  <si>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</si>
  <si>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</si>
  <si>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</si>
  <si>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</si>
  <si>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</si>
  <si>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</si>
  <si>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</si>
  <si>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</si>
  <si>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</si>
  <si>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</si>
  <si>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</si>
  <si>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</si>
  <si>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</si>
  <si>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</si>
  <si>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</si>
  <si>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</si>
  <si>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</si>
  <si>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</si>
  <si>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</si>
  <si>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</si>
  <si>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</si>
  <si>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</si>
  <si>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</si>
  <si>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</si>
  <si>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</si>
  <si>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</si>
  <si>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</si>
  <si>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</si>
  <si>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</si>
  <si>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</si>
  <si>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</si>
  <si>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</si>
  <si>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</si>
  <si>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</si>
  <si>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</si>
  <si>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</si>
  <si>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</si>
  <si>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</si>
  <si>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</si>
  <si>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</si>
  <si>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</si>
  <si>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</si>
  <si>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</si>
  <si>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</si>
  <si>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</si>
  <si>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</si>
  <si>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</si>
  <si>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</si>
  <si>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</si>
  <si>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</si>
  <si>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</si>
  <si>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</si>
  <si>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</si>
  <si>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</si>
  <si>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</si>
  <si>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</si>
  <si>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</si>
  <si>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</si>
  <si>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</si>
  <si>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</si>
  <si>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</si>
  <si>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</si>
  <si>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</si>
  <si>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</si>
  <si>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</si>
  <si>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</si>
  <si>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</si>
  <si>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</si>
  <si>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</si>
  <si>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</si>
  <si>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</si>
  <si>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</si>
  <si>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</si>
  <si>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</si>
  <si>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</si>
  <si>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</si>
  <si>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</si>
  <si>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</si>
  <si>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</si>
  <si>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</si>
  <si>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</si>
  <si>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</si>
  <si>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</si>
  <si>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</si>
  <si>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</si>
  <si>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</si>
  <si>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</si>
  <si>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</si>
  <si>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</si>
  <si>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</si>
  <si>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</si>
  <si>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</si>
  <si>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</si>
  <si>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</si>
  <si>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</si>
  <si>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</si>
  <si>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</si>
  <si>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</si>
  <si>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</si>
  <si>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</si>
  <si>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</si>
  <si>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</si>
  <si>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</si>
  <si>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</si>
  <si>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</si>
  <si>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</si>
  <si>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</si>
  <si>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</si>
  <si>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</si>
  <si>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</si>
  <si>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</si>
  <si>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</si>
  <si>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</si>
  <si>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</si>
  <si>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</si>
  <si>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</si>
  <si>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</si>
  <si>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</si>
  <si>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</si>
  <si>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</si>
  <si>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</si>
  <si>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</si>
  <si>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</si>
  <si>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</si>
  <si>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</si>
  <si>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</si>
  <si>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</si>
  <si>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</si>
  <si>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</si>
  <si>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</si>
  <si>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</si>
  <si>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</si>
  <si>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</si>
  <si>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</si>
  <si>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</si>
  <si>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</si>
  <si>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</si>
  <si>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</si>
  <si>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</si>
  <si>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</si>
  <si>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</si>
  <si>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</si>
  <si>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</si>
  <si>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</si>
  <si>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</si>
  <si>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</si>
  <si>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</si>
  <si>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</si>
  <si>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</si>
  <si>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</si>
  <si>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</si>
  <si>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</si>
  <si>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</si>
  <si>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</si>
  <si>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</si>
  <si>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</si>
  <si>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</si>
  <si>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</si>
  <si>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</si>
  <si>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</si>
  <si>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</si>
  <si>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</si>
  <si>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</si>
  <si>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</si>
  <si>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</si>
  <si>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</si>
  <si>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</si>
  <si>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</si>
  <si>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</si>
  <si>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</si>
  <si>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</si>
  <si>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</si>
  <si>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</si>
  <si>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</si>
  <si>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</si>
  <si>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</si>
  <si>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</si>
  <si>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</si>
  <si>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</si>
  <si>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</si>
  <si>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</si>
  <si>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</si>
  <si>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</si>
  <si>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</si>
  <si>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</si>
  <si>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</si>
  <si>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</si>
  <si>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</si>
  <si>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</si>
  <si>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</si>
  <si>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</si>
  <si>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</si>
  <si>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</si>
  <si>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</si>
  <si>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</si>
  <si>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</si>
  <si>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</si>
  <si>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</si>
  <si>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</si>
  <si>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</si>
  <si>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</si>
  <si>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</si>
  <si>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</si>
  <si>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</si>
  <si>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</si>
  <si>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</si>
  <si>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</si>
  <si>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</si>
  <si>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</si>
  <si>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</si>
  <si>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</si>
  <si>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</si>
  <si>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</si>
  <si>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</si>
  <si>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</si>
  <si>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</si>
  <si>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</si>
  <si>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</si>
  <si>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</si>
  <si>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</si>
  <si>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</si>
  <si>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</si>
  <si>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</si>
  <si>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</si>
  <si>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</si>
  <si>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</si>
  <si>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</si>
  <si>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</si>
  <si>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</si>
  <si>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</si>
  <si>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</si>
  <si>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</si>
  <si>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</si>
  <si>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</si>
  <si>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</si>
  <si>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</si>
  <si>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</si>
  <si>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</si>
  <si>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</si>
  <si>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</si>
  <si>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</si>
  <si>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</si>
  <si>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</si>
  <si>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</si>
  <si>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</si>
  <si>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</si>
  <si>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</si>
  <si>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</si>
  <si>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</si>
  <si>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</si>
  <si>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</si>
  <si>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</si>
  <si>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</si>
  <si>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</si>
  <si>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</si>
  <si>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</si>
  <si>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</si>
  <si>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</si>
  <si>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</si>
  <si>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</si>
  <si>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</si>
  <si>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</si>
  <si>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</si>
  <si>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</si>
  <si>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</si>
  <si>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</si>
  <si>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</si>
  <si>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</si>
  <si>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</si>
  <si>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</si>
  <si>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</si>
  <si>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</si>
  <si>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</si>
  <si>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</si>
  <si>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</si>
  <si>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</si>
  <si>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</si>
  <si>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</si>
  <si>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</si>
  <si>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</si>
  <si>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</si>
  <si>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</si>
  <si>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</si>
  <si>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</si>
  <si>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</si>
  <si>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</si>
  <si>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</si>
  <si>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</si>
  <si>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</si>
  <si>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</si>
  <si>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</si>
  <si>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</si>
  <si>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</si>
  <si>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</si>
  <si>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</si>
  <si>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</si>
  <si>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</si>
  <si>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</si>
  <si>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</si>
  <si>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</si>
  <si>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</si>
  <si>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</si>
  <si>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</si>
  <si>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</si>
  <si>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</si>
  <si>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</si>
  <si>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</si>
  <si>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</si>
  <si>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</si>
  <si>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</si>
  <si>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</si>
  <si>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</si>
  <si>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</si>
  <si>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</si>
  <si>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</si>
  <si>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</si>
  <si>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</si>
  <si>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</si>
  <si>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</si>
  <si>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</si>
  <si>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</si>
  <si>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</si>
  <si>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</si>
  <si>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</si>
  <si>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</si>
  <si>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</si>
  <si>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</si>
  <si>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</si>
  <si>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</si>
  <si>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</si>
  <si>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</si>
  <si>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</si>
  <si>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</si>
  <si>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</si>
  <si>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</si>
  <si>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</si>
  <si>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</si>
  <si>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</si>
  <si>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</si>
  <si>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</si>
  <si>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</si>
  <si>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</si>
  <si>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</si>
  <si>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</si>
  <si>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</si>
  <si>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</si>
  <si>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</si>
  <si>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</si>
  <si>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</si>
  <si>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</si>
  <si>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</si>
  <si>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</si>
  <si>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</si>
  <si>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</si>
  <si>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</si>
  <si>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</si>
  <si>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</si>
  <si>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</si>
  <si>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</si>
  <si>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</si>
  <si>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</si>
  <si>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</si>
  <si>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</si>
  <si>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</si>
  <si>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</si>
  <si>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</si>
  <si>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</si>
  <si>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</si>
  <si>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</si>
  <si>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</si>
  <si>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</si>
  <si>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</si>
  <si>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</si>
  <si>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</si>
  <si>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</si>
  <si>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</si>
  <si>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</si>
  <si>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</si>
  <si>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</si>
  <si>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</si>
  <si>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</si>
  <si>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</si>
  <si>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</si>
  <si>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</si>
  <si>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</si>
  <si>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</si>
  <si>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</si>
  <si>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</si>
  <si>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</si>
  <si>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</si>
  <si>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</si>
  <si>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</si>
  <si>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</si>
  <si>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</si>
  <si>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</si>
  <si>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</si>
  <si>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</si>
  <si>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</si>
  <si>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</si>
  <si>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</si>
  <si>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</si>
  <si>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</si>
  <si>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</si>
  <si>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</si>
  <si>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</si>
  <si>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</si>
  <si>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</si>
  <si>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</si>
  <si>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</si>
  <si>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</si>
  <si>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</si>
  <si>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</si>
  <si>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</si>
  <si>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</si>
  <si>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</si>
  <si>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</si>
  <si>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</si>
  <si>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</si>
  <si>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</si>
  <si>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</si>
  <si>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</si>
  <si>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</si>
  <si>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</si>
  <si>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</si>
  <si>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</si>
  <si>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</si>
  <si>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</si>
  <si>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</si>
  <si>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</si>
  <si>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</si>
  <si>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</si>
  <si>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</si>
  <si>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</si>
  <si>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</si>
  <si>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</si>
  <si>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</si>
  <si>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</si>
  <si>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</si>
  <si>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</si>
  <si>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</si>
  <si>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</si>
  <si>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</si>
  <si>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</si>
  <si>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</si>
  <si>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</si>
  <si>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</si>
  <si>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</si>
  <si>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</si>
  <si>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</si>
  <si>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</si>
  <si>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</si>
  <si>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</si>
  <si>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</si>
  <si>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</si>
  <si>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</si>
  <si>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</si>
  <si>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</si>
  <si>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</si>
  <si>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</si>
  <si>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</si>
  <si>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</si>
  <si>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</si>
  <si>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</si>
  <si>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</si>
  <si>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</si>
  <si>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</si>
  <si>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</si>
  <si>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</si>
  <si>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</si>
  <si>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</si>
  <si>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</si>
  <si>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</si>
  <si>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</si>
  <si>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</si>
  <si>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</si>
  <si>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</si>
  <si>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</si>
  <si>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</si>
  <si>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</si>
  <si>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</si>
  <si>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</si>
  <si>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</si>
  <si>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</si>
  <si>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</si>
  <si>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</si>
  <si>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</si>
  <si>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</si>
  <si>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</si>
  <si>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</si>
  <si>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</si>
  <si>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</si>
  <si>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</si>
  <si>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</si>
  <si>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</si>
  <si>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</si>
  <si>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</si>
  <si>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</si>
  <si>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</si>
  <si>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</si>
  <si>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</si>
  <si>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</si>
  <si>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</si>
  <si>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</si>
  <si>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</si>
  <si>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</si>
  <si>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</si>
  <si>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</si>
  <si>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</si>
  <si>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</si>
  <si>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</si>
  <si>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</si>
  <si>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</si>
  <si>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</si>
  <si>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</si>
  <si>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</si>
  <si>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</si>
  <si>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</si>
  <si>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</si>
  <si>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</si>
  <si>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</si>
  <si>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</si>
  <si>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</si>
  <si>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</si>
  <si>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</si>
  <si>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</si>
  <si>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</si>
  <si>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</si>
  <si>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</si>
  <si>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</si>
  <si>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</si>
  <si>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</si>
  <si>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</si>
  <si>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</si>
  <si>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</si>
  <si>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</si>
  <si>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</si>
  <si>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</si>
  <si>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</si>
  <si>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</si>
  <si>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</si>
  <si>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</si>
  <si>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</si>
  <si>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</si>
  <si>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</si>
  <si>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</si>
  <si>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</si>
  <si>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</si>
  <si>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</si>
  <si>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</si>
  <si>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</si>
  <si>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</si>
  <si>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</si>
  <si>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</si>
  <si>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</si>
  <si>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</si>
  <si>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</si>
  <si>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</si>
  <si>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</si>
  <si>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</si>
  <si>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</si>
  <si>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</si>
  <si>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</si>
  <si>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</si>
  <si>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</si>
  <si>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</si>
  <si>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</si>
  <si>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</si>
  <si>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</si>
  <si>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</si>
  <si>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</si>
  <si>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</si>
  <si>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</si>
  <si>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</si>
  <si>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</si>
  <si>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</si>
  <si>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</si>
  <si>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</si>
  <si>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</si>
  <si>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</si>
  <si>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</si>
  <si>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</si>
  <si>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</si>
  <si>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</si>
  <si>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</si>
  <si>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</si>
  <si>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</si>
  <si>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</si>
  <si>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</si>
  <si>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</si>
  <si>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</si>
  <si>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</si>
  <si>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</si>
  <si>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</si>
  <si>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</si>
  <si>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</si>
  <si>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</si>
  <si>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</si>
  <si>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</si>
  <si>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</si>
  <si>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</si>
  <si>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</si>
  <si>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</si>
  <si>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</si>
  <si>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</si>
  <si>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</si>
  <si>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</si>
  <si>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</si>
  <si>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</si>
  <si>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</si>
  <si>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</si>
  <si>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</si>
  <si>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</si>
  <si>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</si>
  <si>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</si>
  <si>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</si>
  <si>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</si>
  <si>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</si>
  <si>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</si>
  <si>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</si>
  <si>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</si>
  <si>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</si>
  <si>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</si>
  <si>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</si>
  <si>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</si>
  <si>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</si>
  <si>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</si>
  <si>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</si>
  <si>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</si>
  <si>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</si>
  <si>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</si>
  <si>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</si>
  <si>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</si>
  <si>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</si>
  <si>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</si>
  <si>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</si>
  <si>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</si>
  <si>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</si>
  <si>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</si>
  <si>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</si>
  <si>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</si>
  <si>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</si>
  <si>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</si>
  <si>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</si>
  <si>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</si>
  <si>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</si>
  <si>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</si>
  <si>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</si>
  <si>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</si>
  <si>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</si>
  <si>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</si>
  <si>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</si>
  <si>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</si>
  <si>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</si>
  <si>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</si>
  <si>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</si>
  <si>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</si>
  <si>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</si>
  <si>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</si>
  <si>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</si>
  <si>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</si>
  <si>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</si>
  <si>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</si>
  <si>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</si>
  <si>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</si>
  <si>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</si>
  <si>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</si>
  <si>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</si>
  <si>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</si>
  <si>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</si>
  <si>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</si>
  <si>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</si>
  <si>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</si>
  <si>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</si>
  <si>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</si>
  <si>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</si>
  <si>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</si>
  <si>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</si>
  <si>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</si>
  <si>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</si>
  <si>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</si>
  <si>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</si>
  <si>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Odia</t>
  </si>
  <si>
    <t>Gyaarah Gyaarah</t>
  </si>
  <si>
    <t>Laughter Chefs S3</t>
  </si>
  <si>
    <t>Off Campus</t>
  </si>
  <si>
    <t>Campus Beats Season 6</t>
  </si>
  <si>
    <t>Kaptaan</t>
  </si>
  <si>
    <t>Famously Fit With Sophie</t>
  </si>
  <si>
    <t>Sankalp</t>
  </si>
  <si>
    <t>Bindiya Ke Bahubali Season 2</t>
  </si>
  <si>
    <t>The Kerala Story 2</t>
  </si>
  <si>
    <t>Assi</t>
  </si>
  <si>
    <t>English,Hindi</t>
  </si>
  <si>
    <t>English,Hindi,Punjabi</t>
  </si>
  <si>
    <t>Tula Japnar Aahe</t>
  </si>
  <si>
    <t>Vimal Khanna</t>
  </si>
  <si>
    <t>Me Savitribai Jyotirao Phule</t>
  </si>
  <si>
    <t>Siragadikka Aasai</t>
  </si>
  <si>
    <t>Thai Maaman</t>
  </si>
  <si>
    <t>Made in India – A Titan Story</t>
  </si>
  <si>
    <t>Brown</t>
  </si>
  <si>
    <t>Gullak Season 5</t>
  </si>
  <si>
    <t>Patriot</t>
  </si>
  <si>
    <t>Teach You a Lesson</t>
  </si>
  <si>
    <t>Kannada,Tamil,Telugu</t>
  </si>
  <si>
    <t>Hastinapur Ke Veer</t>
  </si>
  <si>
    <t>India's Best Dancer</t>
  </si>
  <si>
    <t xml:space="preserve"> </t>
  </si>
  <si>
    <t>JioHotstar</t>
  </si>
  <si>
    <t>Bhooth Bangla</t>
  </si>
  <si>
    <t>Maa Hai Na</t>
  </si>
  <si>
    <t>Raakh</t>
  </si>
  <si>
    <t>Dhurandhar: The Revenge</t>
  </si>
  <si>
    <t>Ab Hoga Hisaab</t>
  </si>
  <si>
    <t>I Will Find You</t>
  </si>
  <si>
    <t>Athiradi</t>
  </si>
  <si>
    <t>Thukra Ke Mera Pyaar Season 2</t>
  </si>
  <si>
    <t>Tv catchup</t>
  </si>
  <si>
    <t>Bengali,Bhojpuri,Hindi,Kannada,Malayalam,Marathi,Tamil,Telugu</t>
  </si>
  <si>
    <t>Hindi,Kannada,Malayalam,Tamil</t>
  </si>
  <si>
    <t>Bengali,Hindi,Kannada,Marathi,Tamil,Telugu</t>
  </si>
  <si>
    <t>Bengali,Hindi,Marathi,Tamil,Telugu</t>
  </si>
  <si>
    <t>Kannada,Malayalam,Telugu</t>
  </si>
  <si>
    <t>Bangla,Bhojpuri,English,Haryanvi,Hindi,Kannada,Tamil,Telugu</t>
  </si>
  <si>
    <t>Bangali,Hindi,Kannada,Malayalam,Marathi,Tamil,Telugu</t>
  </si>
  <si>
    <t>Bengali,English,Hindi,Kannada,Marathi,Tamil,Telugu</t>
  </si>
  <si>
    <t>English,Hindi,Marathi,Tamil,Telugu</t>
  </si>
  <si>
    <t>Kannada,Malayalam,Tamil,Telugu,Telugu</t>
  </si>
  <si>
    <t>English,Gujarati,Hindi,Kannada,Malayalam,Marathi,Tamil,Telugu</t>
  </si>
  <si>
    <t>Bengali,Bhojpuri,English,Hindi,Kannada,Marathi,Odia,Punjabi,Tamil,Telugu</t>
  </si>
  <si>
    <t>English,Hindi,Malayalam</t>
  </si>
  <si>
    <t>Bengali,Bhojpuri,English,Haryanvi,Hindi,Kannada,Malayalam,Marathi,Tamil,Telugu</t>
  </si>
  <si>
    <t>Bengali,Hindi,Kannada,Punjabi,Tamil,Telugu</t>
  </si>
  <si>
    <t>Bengali,Hindi,Kannada,Malayalam,Tamil,Telugu</t>
  </si>
  <si>
    <t>Bengali,Bhojpuri,Gujarati,Haryanvi,Hindi,Kannada,Malayalam,Marathi,Odia,Rajasthani,Tamil,Telugu</t>
  </si>
  <si>
    <t>Gram Chikitsalay S2</t>
  </si>
  <si>
    <t>The Sheep Detectives</t>
  </si>
  <si>
    <t>Alliance</t>
  </si>
  <si>
    <t>Resort</t>
  </si>
  <si>
    <t>House of the Dragon Season 3</t>
  </si>
  <si>
    <t>Blast</t>
  </si>
  <si>
    <t>Avatar the Last Airbender Season 2</t>
  </si>
  <si>
    <t>India’s Got Latent Season 2</t>
  </si>
  <si>
    <t>Perfect Family Season 2</t>
  </si>
  <si>
    <t>FIFA World Cup 2026</t>
  </si>
  <si>
    <t>Agent Kim Reactivated</t>
  </si>
  <si>
    <t>Lock Upp</t>
  </si>
  <si>
    <t>Isakapatnam</t>
  </si>
  <si>
    <t>Super Subbu</t>
  </si>
  <si>
    <t>Daadi Ki Shaadi</t>
  </si>
  <si>
    <t>Karakkam</t>
  </si>
  <si>
    <t>Pritam And Pedro</t>
  </si>
  <si>
    <t>Project Hail Mary</t>
  </si>
  <si>
    <t>Bengali,Bhojpuri,English,Haryanvi,Hindi,Kannada,Tamil,Telugu</t>
  </si>
  <si>
    <t>Bengali,English,Hindi,Malayalam</t>
  </si>
  <si>
    <t>Bengali,Bhojpuri,Haryanvi,Hindi,Kannada,Marathi,Tamil,Telugu</t>
  </si>
  <si>
    <t>AVOD Originals Shows</t>
  </si>
  <si>
    <t>Sing Geetham</t>
  </si>
  <si>
    <t>Balti</t>
  </si>
  <si>
    <t>Peddi</t>
  </si>
  <si>
    <t>Dose</t>
  </si>
  <si>
    <t>Frame</t>
  </si>
  <si>
    <t>Ikka</t>
  </si>
  <si>
    <t>Mukhbir: The Story of a Spy – The Movie</t>
  </si>
  <si>
    <t>Nari Choritro Bejay Jotil</t>
  </si>
  <si>
    <t>Parimala &amp; Co</t>
  </si>
  <si>
    <t>Pati Patni Aur Woh Do</t>
  </si>
  <si>
    <t>Battleground S2</t>
  </si>
  <si>
    <t>Undekhi S3</t>
  </si>
  <si>
    <t>Aadu 3</t>
  </si>
  <si>
    <t>Detective Sherdil</t>
  </si>
  <si>
    <t>Mukhbir - The Story of a Spy</t>
  </si>
  <si>
    <t>Sunflower Season 2</t>
  </si>
  <si>
    <t>Khoj - Parchaiyo Ke Uss Paar</t>
  </si>
  <si>
    <t>Jeet Ki Zid</t>
  </si>
  <si>
    <t>The Broken News Season 2</t>
  </si>
  <si>
    <t xml:space="preserve"> Tumm Se Tumm Tak</t>
  </si>
  <si>
    <t>Hindi,Punjabi,Tamil,Telugu</t>
  </si>
  <si>
    <t>England vs India ODI Series 2026</t>
  </si>
  <si>
    <t>Dark Face</t>
  </si>
  <si>
    <t>Inheritance (Daayam)</t>
  </si>
  <si>
    <t>Kalla Kamukan</t>
  </si>
  <si>
    <t>The Apartment Job</t>
  </si>
  <si>
    <t>Golden Kamuy -The Abashiri Prison Raid-</t>
  </si>
  <si>
    <t>Hot Ones: Extra Heat</t>
  </si>
  <si>
    <t>Murder 101</t>
  </si>
  <si>
    <t>On Purpose with Jay Shetty Season 2</t>
  </si>
  <si>
    <t>Passenger</t>
  </si>
  <si>
    <t>Pavithram Season 2</t>
  </si>
  <si>
    <t>Second Love</t>
  </si>
  <si>
    <t>Wuthering Heights</t>
  </si>
  <si>
    <t>City of Dreams</t>
  </si>
  <si>
    <t>Oru Vadakkan Velicham</t>
  </si>
  <si>
    <t>Quarterback Season 3</t>
  </si>
  <si>
    <t>Switched on Pop</t>
  </si>
  <si>
    <t>The Odyssey: The Making of an Epic</t>
  </si>
  <si>
    <t>Honey Bunch</t>
  </si>
  <si>
    <t>Lucky (2026)</t>
  </si>
  <si>
    <t>Ride or Die</t>
  </si>
  <si>
    <t>Spidey and His Amazing Friends Season 5</t>
  </si>
  <si>
    <t>Stranger Things: VHS Special Edition</t>
  </si>
  <si>
    <t>The Tick Season 2</t>
  </si>
  <si>
    <t>The Ultimatum: Marry or Move On Season 4</t>
  </si>
  <si>
    <t>Young Sheldon Season 6</t>
  </si>
  <si>
    <t>A Brief History of Cricket Down Under: Changing of the Guard</t>
  </si>
  <si>
    <t>A Mighty Wind</t>
  </si>
  <si>
    <t>Father Figures</t>
  </si>
  <si>
    <t>Khushkhabri</t>
  </si>
  <si>
    <t>Madhuraapuri Sadana</t>
  </si>
  <si>
    <t>Me Before Me</t>
  </si>
  <si>
    <t>Night Patrol</t>
  </si>
  <si>
    <t>Raktanchal Season 3</t>
  </si>
  <si>
    <t>Speed Demon</t>
  </si>
  <si>
    <t>The Breadwinner</t>
  </si>
  <si>
    <t>The Hawk</t>
  </si>
  <si>
    <t>Unexplainable</t>
  </si>
  <si>
    <t>23 000 Lives</t>
  </si>
  <si>
    <t>Abar Hawa Bodol</t>
  </si>
  <si>
    <t>Chand Mera Dil</t>
  </si>
  <si>
    <t>Chithini</t>
  </si>
  <si>
    <t>Desert Warrior</t>
  </si>
  <si>
    <t>Desire</t>
  </si>
  <si>
    <t>Ek Din</t>
  </si>
  <si>
    <t>Gedelaraju Kakinada Taluka</t>
  </si>
  <si>
    <t>Heartstopper Forever</t>
  </si>
  <si>
    <t>Kamal Sridevi</t>
  </si>
  <si>
    <t>Maa Inti Bangaram</t>
  </si>
  <si>
    <t>Quarantine 2: Terminal</t>
  </si>
  <si>
    <t>Rabba Rabba Meeh Barsa</t>
  </si>
  <si>
    <t>Ready or Not: Here I Come</t>
  </si>
  <si>
    <t>Sannidhanam P.O.</t>
  </si>
  <si>
    <t>Saptadingar Guptodhon</t>
  </si>
  <si>
    <t>Somewhere Sometime</t>
  </si>
  <si>
    <t>The Devil</t>
  </si>
  <si>
    <t>The Map of Longing</t>
  </si>
  <si>
    <t>Transfer Trimurthulu</t>
  </si>
  <si>
    <t>Vowels</t>
  </si>
  <si>
    <t>Young Farts Trailer Parts</t>
  </si>
  <si>
    <t>Zalimpur</t>
  </si>
  <si>
    <t>The East Palace</t>
  </si>
  <si>
    <t>WK-28'2026</t>
  </si>
  <si>
    <t>WK-28, 2026 ( 11 Jul 2026 - 17 Jul 2026 )</t>
  </si>
  <si>
    <t>WK-28 Reach</t>
  </si>
  <si>
    <t>Sniper: No Nation</t>
  </si>
  <si>
    <t>WK-28,2026</t>
  </si>
  <si>
    <t>Reality Tv</t>
  </si>
  <si>
    <t>Total Time Spent (In Mins)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</si>
</sst>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0000%"/>
    <numFmt numFmtId="166" formatCode="[$-409]d\-mmm\-yy;@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4" borderId="13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2" fillId="7" borderId="13" xfId="0" applyFont="1" applyFill="1" applyBorder="1" applyAlignment="1">
      <alignment horizontal="center" wrapText="1"/>
    </xf>
    <xf numFmtId="0" fontId="0" fillId="0" borderId="13" xfId="1" applyNumberFormat="1" applyFont="1" applyBorder="1" applyAlignment="1">
      <alignment horizontal="center"/>
    </xf>
    <xf numFmtId="0" fontId="0" fillId="0" borderId="13" xfId="1" applyNumberFormat="1" applyFont="1" applyFill="1" applyBorder="1" applyAlignment="1">
      <alignment horizontal="center"/>
    </xf>
    <xf numFmtId="15" fontId="0" fillId="0" borderId="13" xfId="1" applyNumberFormat="1" applyFont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167" fontId="0" fillId="0" borderId="13" xfId="0" applyNumberFormat="1" applyBorder="1" applyAlignment="1">
      <alignment horizontal="center"/>
    </xf>
    <xf numFmtId="167" fontId="0" fillId="0" borderId="13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D0F4B4C8-B582-4B90-9FCB-FACEA06C6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964BA759-4E9F-455E-A54B-11379949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98B0649A-A358-446C-B489-98835267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6C7A5ACD-631C-409F-9DC1-B27F6B5A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34A071A9-26CE-40C4-80FE-0C3FA01E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898C3355-0F5F-4CC0-A37B-39CFAF7E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47111679-1F23-4537-BD43-E99A13B8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318D82C3-AE2D-40CE-88D5-59A885F0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934FFF4C-9F48-4627-A411-A9AEC6C3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9525</xdr:colOff>
      <xdr:row>30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DDFF5C26-2019-425C-A669-A42D4264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71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13" name="Picture 12" descr="Margo’s Got Money Troubles">
          <a:extLst>
            <a:ext uri="{FF2B5EF4-FFF2-40B4-BE49-F238E27FC236}">
              <a16:creationId xmlns:a16="http://schemas.microsoft.com/office/drawing/2014/main" id="{6F8C78D8-6AC6-435C-8DB4-328C1A1D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14" name="Picture 13" descr="Margo’s Got Money Troubles">
          <a:extLst>
            <a:ext uri="{FF2B5EF4-FFF2-40B4-BE49-F238E27FC236}">
              <a16:creationId xmlns:a16="http://schemas.microsoft.com/office/drawing/2014/main" id="{53F551A7-DC75-4B32-B57B-CCA15B7D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B0E6D23A-284F-42AB-8642-C97909CB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15EAA942-BE44-4FB2-B0B5-9D27630A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08852112-51EB-4E50-9E81-55BADD66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D49161D7-2E7F-47F0-98B5-67F041D1A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313C30D6-44EF-45CB-8C51-B503E336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20" name="Picture 19" descr="Margo’s Got Money Troubles">
          <a:extLst>
            <a:ext uri="{FF2B5EF4-FFF2-40B4-BE49-F238E27FC236}">
              <a16:creationId xmlns:a16="http://schemas.microsoft.com/office/drawing/2014/main" id="{F306FF46-1220-4EBD-AF78-4A9D5EA9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62394C06-337F-48A2-B502-4C71672F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28E18FCB-3700-432B-8D7C-5151B421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9525</xdr:colOff>
      <xdr:row>30</xdr:row>
      <xdr:rowOff>0</xdr:rowOff>
    </xdr:to>
    <xdr:pic>
      <xdr:nvPicPr>
        <xdr:cNvPr id="23" name="Picture 22" descr="Margo’s Got Money Troubles">
          <a:extLst>
            <a:ext uri="{FF2B5EF4-FFF2-40B4-BE49-F238E27FC236}">
              <a16:creationId xmlns:a16="http://schemas.microsoft.com/office/drawing/2014/main" id="{60BCD2E2-5226-4EE3-A8AD-71BF4698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52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</xdr:colOff>
      <xdr:row>48</xdr:row>
      <xdr:rowOff>0</xdr:rowOff>
    </xdr:to>
    <xdr:pic>
      <xdr:nvPicPr>
        <xdr:cNvPr id="24" name="Picture 23" descr="Margo’s Got Money Troubles">
          <a:extLst>
            <a:ext uri="{FF2B5EF4-FFF2-40B4-BE49-F238E27FC236}">
              <a16:creationId xmlns:a16="http://schemas.microsoft.com/office/drawing/2014/main" id="{FD048842-C858-4E5E-8376-D334B252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</xdr:colOff>
      <xdr:row>48</xdr:row>
      <xdr:rowOff>0</xdr:rowOff>
    </xdr:to>
    <xdr:pic>
      <xdr:nvPicPr>
        <xdr:cNvPr id="25" name="Picture 24" descr="Margo’s Got Money Troubles">
          <a:extLst>
            <a:ext uri="{FF2B5EF4-FFF2-40B4-BE49-F238E27FC236}">
              <a16:creationId xmlns:a16="http://schemas.microsoft.com/office/drawing/2014/main" id="{DAF312C0-B247-4BF5-87AA-A637E150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914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9525</xdr:colOff>
      <xdr:row>54</xdr:row>
      <xdr:rowOff>0</xdr:rowOff>
    </xdr:to>
    <xdr:pic>
      <xdr:nvPicPr>
        <xdr:cNvPr id="26" name="Picture 25" descr="Margo’s Got Money Troubles">
          <a:extLst>
            <a:ext uri="{FF2B5EF4-FFF2-40B4-BE49-F238E27FC236}">
              <a16:creationId xmlns:a16="http://schemas.microsoft.com/office/drawing/2014/main" id="{1D36E985-74C3-4994-925C-377127DE4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028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0</xdr:rowOff>
    </xdr:to>
    <xdr:pic>
      <xdr:nvPicPr>
        <xdr:cNvPr id="27" name="Picture 26" descr="Margo’s Got Money Troubles">
          <a:extLst>
            <a:ext uri="{FF2B5EF4-FFF2-40B4-BE49-F238E27FC236}">
              <a16:creationId xmlns:a16="http://schemas.microsoft.com/office/drawing/2014/main" id="{8E7829C8-0CC3-4802-9DBA-BC25B54A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5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9525</xdr:colOff>
      <xdr:row>9</xdr:row>
      <xdr:rowOff>0</xdr:rowOff>
    </xdr:to>
    <xdr:pic>
      <xdr:nvPicPr>
        <xdr:cNvPr id="28" name="Picture 27" descr="Margo’s Got Money Troubles">
          <a:extLst>
            <a:ext uri="{FF2B5EF4-FFF2-40B4-BE49-F238E27FC236}">
              <a16:creationId xmlns:a16="http://schemas.microsoft.com/office/drawing/2014/main" id="{4443390D-66B3-4679-A095-0BE2FC4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7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0</xdr:rowOff>
    </xdr:to>
    <xdr:pic>
      <xdr:nvPicPr>
        <xdr:cNvPr id="29" name="Picture 28" descr="Margo’s Got Money Troubles">
          <a:extLst>
            <a:ext uri="{FF2B5EF4-FFF2-40B4-BE49-F238E27FC236}">
              <a16:creationId xmlns:a16="http://schemas.microsoft.com/office/drawing/2014/main" id="{25A85638-2C4C-4955-89B1-4558C1E7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6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0" name="Picture 29" descr="Margo’s Got Money Troubles">
          <a:extLst>
            <a:ext uri="{FF2B5EF4-FFF2-40B4-BE49-F238E27FC236}">
              <a16:creationId xmlns:a16="http://schemas.microsoft.com/office/drawing/2014/main" id="{1AE30E9F-DE86-496F-A1DC-BEC95FA3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1" name="Picture 30" descr="Margo’s Got Money Troubles">
          <a:extLst>
            <a:ext uri="{FF2B5EF4-FFF2-40B4-BE49-F238E27FC236}">
              <a16:creationId xmlns:a16="http://schemas.microsoft.com/office/drawing/2014/main" id="{F3E954F5-A022-4D40-A358-2ECA6973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2" name="Picture 31" descr="Margo’s Got Money Troubles">
          <a:extLst>
            <a:ext uri="{FF2B5EF4-FFF2-40B4-BE49-F238E27FC236}">
              <a16:creationId xmlns:a16="http://schemas.microsoft.com/office/drawing/2014/main" id="{D38A5971-6E2C-4AA8-87F4-ED3A0D15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3" name="Picture 32" descr="Margo’s Got Money Troubles">
          <a:extLst>
            <a:ext uri="{FF2B5EF4-FFF2-40B4-BE49-F238E27FC236}">
              <a16:creationId xmlns:a16="http://schemas.microsoft.com/office/drawing/2014/main" id="{968F33E9-9C47-48AB-8781-7CB56A53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4" name="Picture 33" descr="Margo’s Got Money Troubles">
          <a:extLst>
            <a:ext uri="{FF2B5EF4-FFF2-40B4-BE49-F238E27FC236}">
              <a16:creationId xmlns:a16="http://schemas.microsoft.com/office/drawing/2014/main" id="{0FFEB2BA-47C6-4980-B486-34B1CDBAB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5" name="Picture 34" descr="Margo’s Got Money Troubles">
          <a:extLst>
            <a:ext uri="{FF2B5EF4-FFF2-40B4-BE49-F238E27FC236}">
              <a16:creationId xmlns:a16="http://schemas.microsoft.com/office/drawing/2014/main" id="{7C371032-F490-4699-84D2-D41302087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6" name="Picture 35" descr="Margo’s Got Money Troubles">
          <a:extLst>
            <a:ext uri="{FF2B5EF4-FFF2-40B4-BE49-F238E27FC236}">
              <a16:creationId xmlns:a16="http://schemas.microsoft.com/office/drawing/2014/main" id="{484607D9-CC6A-4611-96C1-7BB3F26E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7" name="Picture 36" descr="Margo’s Got Money Troubles">
          <a:extLst>
            <a:ext uri="{FF2B5EF4-FFF2-40B4-BE49-F238E27FC236}">
              <a16:creationId xmlns:a16="http://schemas.microsoft.com/office/drawing/2014/main" id="{84C6AF24-B8BF-4498-8A6F-057F18F61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0</xdr:rowOff>
    </xdr:to>
    <xdr:pic>
      <xdr:nvPicPr>
        <xdr:cNvPr id="38" name="Picture 37" descr="Margo’s Got Money Troubles">
          <a:extLst>
            <a:ext uri="{FF2B5EF4-FFF2-40B4-BE49-F238E27FC236}">
              <a16:creationId xmlns:a16="http://schemas.microsoft.com/office/drawing/2014/main" id="{37D2AD8D-E000-4406-8C13-0F42E55F5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0</xdr:rowOff>
    </xdr:to>
    <xdr:pic>
      <xdr:nvPicPr>
        <xdr:cNvPr id="39" name="Picture 38" descr="Margo’s Got Money Troubles">
          <a:extLst>
            <a:ext uri="{FF2B5EF4-FFF2-40B4-BE49-F238E27FC236}">
              <a16:creationId xmlns:a16="http://schemas.microsoft.com/office/drawing/2014/main" id="{5C90D281-46E5-4C15-B9AD-3696FAF6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9525</xdr:colOff>
      <xdr:row>44</xdr:row>
      <xdr:rowOff>0</xdr:rowOff>
    </xdr:to>
    <xdr:pic>
      <xdr:nvPicPr>
        <xdr:cNvPr id="40" name="Picture 39" descr="Margo’s Got Money Troubles">
          <a:extLst>
            <a:ext uri="{FF2B5EF4-FFF2-40B4-BE49-F238E27FC236}">
              <a16:creationId xmlns:a16="http://schemas.microsoft.com/office/drawing/2014/main" id="{8B4A8955-AA07-4B60-825E-F199A68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191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41" name="Picture 40" descr="Margo’s Got Money Troubles">
          <a:extLst>
            <a:ext uri="{FF2B5EF4-FFF2-40B4-BE49-F238E27FC236}">
              <a16:creationId xmlns:a16="http://schemas.microsoft.com/office/drawing/2014/main" id="{63430ACC-8B5C-4BB0-98DB-27B62DF7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667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0</xdr:rowOff>
    </xdr:to>
    <xdr:pic>
      <xdr:nvPicPr>
        <xdr:cNvPr id="42" name="Picture 41" descr="Margo’s Got Money Troubles">
          <a:extLst>
            <a:ext uri="{FF2B5EF4-FFF2-40B4-BE49-F238E27FC236}">
              <a16:creationId xmlns:a16="http://schemas.microsoft.com/office/drawing/2014/main" id="{12BE1708-6B05-4081-948E-BB5D5B2EB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04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9525</xdr:colOff>
      <xdr:row>43</xdr:row>
      <xdr:rowOff>0</xdr:rowOff>
    </xdr:to>
    <xdr:pic>
      <xdr:nvPicPr>
        <xdr:cNvPr id="43" name="Picture 42" descr="Margo’s Got Money Troubles">
          <a:extLst>
            <a:ext uri="{FF2B5EF4-FFF2-40B4-BE49-F238E27FC236}">
              <a16:creationId xmlns:a16="http://schemas.microsoft.com/office/drawing/2014/main" id="{74F76D57-72A2-4618-89F1-9BF0EE1E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00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44" name="Picture 43" descr="Margo’s Got Money Troubles">
          <a:extLst>
            <a:ext uri="{FF2B5EF4-FFF2-40B4-BE49-F238E27FC236}">
              <a16:creationId xmlns:a16="http://schemas.microsoft.com/office/drawing/2014/main" id="{E4BE8F37-F8B9-4369-B20B-4EABE7C3D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0</xdr:rowOff>
    </xdr:to>
    <xdr:pic>
      <xdr:nvPicPr>
        <xdr:cNvPr id="45" name="Picture 44" descr="Margo’s Got Money Troubles">
          <a:extLst>
            <a:ext uri="{FF2B5EF4-FFF2-40B4-BE49-F238E27FC236}">
              <a16:creationId xmlns:a16="http://schemas.microsoft.com/office/drawing/2014/main" id="{A881E16B-941A-4027-B1AF-263AD037B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47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0</xdr:rowOff>
    </xdr:to>
    <xdr:pic>
      <xdr:nvPicPr>
        <xdr:cNvPr id="46" name="Picture 45" descr="Margo’s Got Money Troubles">
          <a:extLst>
            <a:ext uri="{FF2B5EF4-FFF2-40B4-BE49-F238E27FC236}">
              <a16:creationId xmlns:a16="http://schemas.microsoft.com/office/drawing/2014/main" id="{E317F4C2-BA64-47E6-AD82-354A9E9A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9525</xdr:colOff>
      <xdr:row>27</xdr:row>
      <xdr:rowOff>0</xdr:rowOff>
    </xdr:to>
    <xdr:pic>
      <xdr:nvPicPr>
        <xdr:cNvPr id="47" name="Picture 46" descr="Margo’s Got Money Troubles">
          <a:extLst>
            <a:ext uri="{FF2B5EF4-FFF2-40B4-BE49-F238E27FC236}">
              <a16:creationId xmlns:a16="http://schemas.microsoft.com/office/drawing/2014/main" id="{E2EDE1C3-1629-4664-8AD5-2E2056E9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49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9525</xdr:colOff>
      <xdr:row>43</xdr:row>
      <xdr:rowOff>0</xdr:rowOff>
    </xdr:to>
    <xdr:pic>
      <xdr:nvPicPr>
        <xdr:cNvPr id="48" name="Picture 47" descr="Margo’s Got Money Troubles">
          <a:extLst>
            <a:ext uri="{FF2B5EF4-FFF2-40B4-BE49-F238E27FC236}">
              <a16:creationId xmlns:a16="http://schemas.microsoft.com/office/drawing/2014/main" id="{FAC6387C-FB26-4995-A0D4-8085594E3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001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0</xdr:rowOff>
    </xdr:to>
    <xdr:pic>
      <xdr:nvPicPr>
        <xdr:cNvPr id="49" name="Picture 48" descr="Margo’s Got Money Troubles">
          <a:extLst>
            <a:ext uri="{FF2B5EF4-FFF2-40B4-BE49-F238E27FC236}">
              <a16:creationId xmlns:a16="http://schemas.microsoft.com/office/drawing/2014/main" id="{3FA3C0E0-2821-429E-B4BD-B3F1C8ACB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858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0</xdr:rowOff>
    </xdr:to>
    <xdr:pic>
      <xdr:nvPicPr>
        <xdr:cNvPr id="50" name="Picture 49" descr="Margo’s Got Money Troubles">
          <a:extLst>
            <a:ext uri="{FF2B5EF4-FFF2-40B4-BE49-F238E27FC236}">
              <a16:creationId xmlns:a16="http://schemas.microsoft.com/office/drawing/2014/main" id="{DC5666D1-A756-4FCE-8CB8-DBC3F1C4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4762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0</xdr:rowOff>
    </xdr:to>
    <xdr:pic>
      <xdr:nvPicPr>
        <xdr:cNvPr id="51" name="Picture 50" descr="Margo’s Got Money Troubles">
          <a:extLst>
            <a:ext uri="{FF2B5EF4-FFF2-40B4-BE49-F238E27FC236}">
              <a16:creationId xmlns:a16="http://schemas.microsoft.com/office/drawing/2014/main" id="{6456FE42-CFDA-4D0F-A9F5-1C9DCBB45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3238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9525</xdr:colOff>
      <xdr:row>27</xdr:row>
      <xdr:rowOff>0</xdr:rowOff>
    </xdr:to>
    <xdr:pic>
      <xdr:nvPicPr>
        <xdr:cNvPr id="52" name="Picture 51" descr="Margo’s Got Money Troubles">
          <a:extLst>
            <a:ext uri="{FF2B5EF4-FFF2-40B4-BE49-F238E27FC236}">
              <a16:creationId xmlns:a16="http://schemas.microsoft.com/office/drawing/2014/main" id="{55C90B01-7852-467F-9EB1-9803D6292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4953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222248</xdr:colOff>
      <xdr:row>0</xdr:row>
      <xdr:rowOff>127000</xdr:rowOff>
    </xdr:from>
    <xdr:to>
      <xdr:col>1</xdr:col>
      <xdr:colOff>0</xdr:colOff>
      <xdr:row>5</xdr:row>
      <xdr:rowOff>21167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979463F-4D93-447E-84F5-BC2B5E051A6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48" y="127000"/>
          <a:ext cx="857252" cy="84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9525</xdr:colOff>
      <xdr:row>59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9525</xdr:colOff>
      <xdr:row>40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128</xdr:row>
      <xdr:rowOff>0</xdr:rowOff>
    </xdr:from>
    <xdr:to>
      <xdr:col>6</xdr:col>
      <xdr:colOff>9525</xdr:colOff>
      <xdr:row>128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9525</xdr:colOff>
      <xdr:row>34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D6F2E4CE-D117-442E-80B6-CBF9E743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5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9525</xdr:colOff>
      <xdr:row>142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619603F4-97C6-4515-B146-D903559F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18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9525</xdr:colOff>
      <xdr:row>23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CE463227-23D8-45E0-BD73-055BD2FC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5FC917BF-2529-4571-A591-FB2D8123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14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9525</xdr:colOff>
      <xdr:row>24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8570DCB7-5D80-4356-AABE-61A614BC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21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T%2025-26%20White%20Paper%20data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a's digital landscape"/>
      <sheetName val="Revenue share"/>
      <sheetName val="Unique Viewers By Device"/>
      <sheetName val="Dec to Jan OTT app subs cmprsn"/>
      <sheetName val="Live Event"/>
      <sheetName val="Female Protagonist Content"/>
      <sheetName val="Theatrical Releases"/>
      <sheetName val="Svod Originals Movies"/>
      <sheetName val="Svod Originals Shows"/>
      <sheetName val="TV Catch Up (SVOD)"/>
      <sheetName val="TV Catch Up (AVOD)"/>
    </sheetNames>
    <sheetDataSet>
      <sheetData sheetId="0"/>
      <sheetData sheetId="1">
        <row r="6">
          <cell r="C6" t="str">
            <v>OTT Platforms</v>
          </cell>
          <cell r="D6" t="str">
            <v>Revenue 2025-26 (In CR)</v>
          </cell>
          <cell r="E6" t="str">
            <v>Subscription</v>
          </cell>
          <cell r="F6" t="str">
            <v>Advertisement</v>
          </cell>
          <cell r="G6" t="str">
            <v>%age Revenue Share</v>
          </cell>
          <cell r="H6" t="str">
            <v>Total Unique Viewers In Mn (2025-26)</v>
          </cell>
        </row>
        <row r="7">
          <cell r="C7" t="str">
            <v>YouTube</v>
          </cell>
          <cell r="D7">
            <v>17500</v>
          </cell>
          <cell r="E7">
            <v>2000</v>
          </cell>
          <cell r="F7">
            <v>15500</v>
          </cell>
          <cell r="G7">
            <v>0.39042455882024851</v>
          </cell>
          <cell r="H7">
            <v>745</v>
          </cell>
          <cell r="I7">
            <v>1</v>
          </cell>
          <cell r="J7">
            <v>745</v>
          </cell>
        </row>
        <row r="8">
          <cell r="C8" t="str">
            <v>JioHotstar</v>
          </cell>
          <cell r="D8">
            <v>9738</v>
          </cell>
          <cell r="E8">
            <v>3500</v>
          </cell>
          <cell r="F8">
            <v>6238</v>
          </cell>
          <cell r="G8">
            <v>0.217254534502376</v>
          </cell>
          <cell r="H8">
            <v>345</v>
          </cell>
          <cell r="I8">
            <v>1.2</v>
          </cell>
          <cell r="J8">
            <v>414</v>
          </cell>
        </row>
        <row r="9">
          <cell r="C9" t="str">
            <v>Amazon Prime Video</v>
          </cell>
          <cell r="D9">
            <v>3150</v>
          </cell>
          <cell r="E9">
            <v>3000</v>
          </cell>
          <cell r="F9">
            <v>150</v>
          </cell>
          <cell r="G9">
            <v>7.0276420587644731E-2</v>
          </cell>
          <cell r="H9">
            <v>52</v>
          </cell>
          <cell r="I9">
            <v>1.5</v>
          </cell>
          <cell r="J9">
            <v>78</v>
          </cell>
        </row>
        <row r="10">
          <cell r="C10" t="str">
            <v>Netflix</v>
          </cell>
          <cell r="D10">
            <v>3600</v>
          </cell>
          <cell r="E10">
            <v>3600</v>
          </cell>
          <cell r="F10">
            <v>0</v>
          </cell>
          <cell r="G10">
            <v>8.0315909243022551E-2</v>
          </cell>
          <cell r="H10">
            <v>15</v>
          </cell>
          <cell r="I10">
            <v>3.2</v>
          </cell>
          <cell r="J10">
            <v>48</v>
          </cell>
        </row>
        <row r="11">
          <cell r="C11" t="str">
            <v>Zee5</v>
          </cell>
          <cell r="D11">
            <v>1200</v>
          </cell>
          <cell r="E11">
            <v>400</v>
          </cell>
          <cell r="F11">
            <v>800</v>
          </cell>
          <cell r="G11">
            <v>2.6771969747674186E-2</v>
          </cell>
          <cell r="H11">
            <v>85</v>
          </cell>
          <cell r="I11">
            <v>1</v>
          </cell>
          <cell r="J11">
            <v>85</v>
          </cell>
        </row>
        <row r="12">
          <cell r="C12" t="str">
            <v>Sony Liv</v>
          </cell>
          <cell r="D12">
            <v>1350</v>
          </cell>
          <cell r="E12">
            <v>450</v>
          </cell>
          <cell r="F12">
            <v>900</v>
          </cell>
          <cell r="G12">
            <v>3.0118465966133458E-2</v>
          </cell>
          <cell r="H12">
            <v>27</v>
          </cell>
          <cell r="I12">
            <v>1.3</v>
          </cell>
          <cell r="J12">
            <v>35.1</v>
          </cell>
        </row>
        <row r="13">
          <cell r="C13" t="str">
            <v>Sun NXT</v>
          </cell>
          <cell r="D13">
            <v>525</v>
          </cell>
          <cell r="E13">
            <v>325</v>
          </cell>
          <cell r="F13">
            <v>200</v>
          </cell>
          <cell r="G13">
            <v>1.1712736764607457E-2</v>
          </cell>
          <cell r="H13">
            <v>19</v>
          </cell>
          <cell r="I13">
            <v>1.6</v>
          </cell>
          <cell r="J13">
            <v>30.400000000000002</v>
          </cell>
        </row>
        <row r="14">
          <cell r="C14" t="str">
            <v>Amazon MX Player</v>
          </cell>
          <cell r="D14">
            <v>1300</v>
          </cell>
          <cell r="E14">
            <v>0</v>
          </cell>
          <cell r="F14">
            <v>1300</v>
          </cell>
          <cell r="G14">
            <v>2.9002967226647035E-2</v>
          </cell>
          <cell r="H14">
            <v>140</v>
          </cell>
          <cell r="I14">
            <v>1.2</v>
          </cell>
          <cell r="J14">
            <v>168</v>
          </cell>
        </row>
        <row r="15">
          <cell r="C15" t="str">
            <v>Hoichoi</v>
          </cell>
          <cell r="D15">
            <v>260</v>
          </cell>
          <cell r="E15">
            <v>160</v>
          </cell>
          <cell r="F15">
            <v>100</v>
          </cell>
          <cell r="G15">
            <v>5.8005934453294068E-3</v>
          </cell>
          <cell r="H15">
            <v>17</v>
          </cell>
          <cell r="I15">
            <v>1.3</v>
          </cell>
          <cell r="J15">
            <v>22.1</v>
          </cell>
        </row>
        <row r="16">
          <cell r="C16" t="str">
            <v>Stage</v>
          </cell>
          <cell r="D16">
            <v>700</v>
          </cell>
          <cell r="E16">
            <v>200</v>
          </cell>
          <cell r="F16">
            <v>500</v>
          </cell>
          <cell r="G16">
            <v>1.5616982352809941E-2</v>
          </cell>
          <cell r="H16">
            <v>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M66"/>
  <sheetViews>
    <sheetView showGridLines="0" tabSelected="1" zoomScale="90" zoomScaleNormal="90" workbookViewId="0">
      <selection activeCell="M7" sqref="M7"/>
    </sheetView>
  </sheetViews>
  <sheetFormatPr defaultRowHeight="15" x14ac:dyDescent="0.25"/>
  <cols>
    <col min="1" max="1" width="16.140625" customWidth="1"/>
    <col min="2" max="2" width="9.5703125" bestFit="1" customWidth="1"/>
    <col min="3" max="3" width="19.85546875" bestFit="1" customWidth="1"/>
    <col min="4" max="4" width="21.7109375" bestFit="1" customWidth="1"/>
    <col min="5" max="5" width="10.28515625" bestFit="1" customWidth="1"/>
    <col min="6" max="6" width="12.85546875" bestFit="1" customWidth="1"/>
    <col min="7" max="7" width="46.28515625" bestFit="1" customWidth="1"/>
    <col min="8" max="8" width="60.5703125" bestFit="1" customWidth="1"/>
    <col min="9" max="9" width="27.140625" bestFit="1" customWidth="1"/>
    <col min="10" max="10" width="12.5703125" bestFit="1" customWidth="1"/>
    <col min="11" max="11" width="5.28515625" bestFit="1" customWidth="1"/>
    <col min="12" max="12" width="7.140625" bestFit="1" customWidth="1"/>
    <col min="13" max="13" width="16.85546875" customWidth="1"/>
  </cols>
  <sheetData>
    <row r="1" spans="1:13" x14ac:dyDescent="0.25">
      <c r="A1" t="s">
        <v>1809</v>
      </c>
      <c r="F1" s="72" t="s">
        <v>1943</v>
      </c>
    </row>
    <row r="2" spans="1:13" x14ac:dyDescent="0.25">
      <c r="F2" s="52"/>
    </row>
    <row r="3" spans="1:13" x14ac:dyDescent="0.25">
      <c r="F3" s="52"/>
    </row>
    <row r="7" spans="1:13" s="1" customFormat="1" ht="30" x14ac:dyDescent="0.25">
      <c r="A7" s="119" t="s">
        <v>205</v>
      </c>
      <c r="B7" s="119" t="s">
        <v>257</v>
      </c>
      <c r="C7" s="119" t="s">
        <v>204</v>
      </c>
      <c r="D7" s="119" t="s">
        <v>430</v>
      </c>
      <c r="E7" s="119" t="s">
        <v>210</v>
      </c>
      <c r="F7" s="119" t="s">
        <v>206</v>
      </c>
      <c r="G7" s="119" t="s">
        <v>207</v>
      </c>
      <c r="H7" s="119" t="s">
        <v>13</v>
      </c>
      <c r="I7" s="119" t="s">
        <v>209</v>
      </c>
      <c r="J7" s="119" t="s">
        <v>208</v>
      </c>
      <c r="K7" s="119" t="s">
        <v>253</v>
      </c>
      <c r="L7" s="119" t="s">
        <v>857</v>
      </c>
      <c r="M7" s="119" t="s">
        <v>1948</v>
      </c>
    </row>
    <row r="8" spans="1:13" x14ac:dyDescent="0.25">
      <c r="A8" s="46" t="s">
        <v>1946</v>
      </c>
      <c r="B8" s="46" t="s">
        <v>85</v>
      </c>
      <c r="C8" s="46" t="s">
        <v>1810</v>
      </c>
      <c r="D8" s="46" t="s">
        <v>437</v>
      </c>
      <c r="E8" s="46" t="s">
        <v>211</v>
      </c>
      <c r="F8" s="46" t="s">
        <v>451</v>
      </c>
      <c r="G8" s="53" t="s">
        <v>1880</v>
      </c>
      <c r="H8" s="46" t="s">
        <v>1855</v>
      </c>
      <c r="I8" s="46" t="s">
        <v>902</v>
      </c>
      <c r="J8" s="53">
        <v>46217</v>
      </c>
      <c r="K8" s="46">
        <v>1</v>
      </c>
      <c r="L8" s="101">
        <v>92.983875303290006</v>
      </c>
      <c r="M8" s="132">
        <v>10187.410337175101</v>
      </c>
    </row>
    <row r="9" spans="1:13" x14ac:dyDescent="0.25">
      <c r="A9" s="46" t="s">
        <v>1946</v>
      </c>
      <c r="B9" s="46" t="s">
        <v>85</v>
      </c>
      <c r="C9" s="46" t="s">
        <v>150</v>
      </c>
      <c r="D9" s="46" t="s">
        <v>437</v>
      </c>
      <c r="E9" s="46" t="s">
        <v>211</v>
      </c>
      <c r="F9" s="46" t="s">
        <v>451</v>
      </c>
      <c r="G9" s="46" t="s">
        <v>1846</v>
      </c>
      <c r="H9" s="46" t="s">
        <v>1856</v>
      </c>
      <c r="I9" s="125" t="s">
        <v>902</v>
      </c>
      <c r="J9" s="53">
        <v>46185</v>
      </c>
      <c r="K9" s="46">
        <f t="shared" ref="K9:K40" si="0">K8+1</f>
        <v>2</v>
      </c>
      <c r="L9" s="101">
        <v>54.261232353089497</v>
      </c>
      <c r="M9" s="132">
        <v>816.84195070064095</v>
      </c>
    </row>
    <row r="10" spans="1:13" x14ac:dyDescent="0.25">
      <c r="A10" s="46" t="s">
        <v>1946</v>
      </c>
      <c r="B10" s="46" t="s">
        <v>85</v>
      </c>
      <c r="C10" s="46" t="s">
        <v>879</v>
      </c>
      <c r="D10" s="46" t="s">
        <v>1858</v>
      </c>
      <c r="E10" s="46" t="s">
        <v>219</v>
      </c>
      <c r="F10" s="46" t="s">
        <v>215</v>
      </c>
      <c r="G10" s="46" t="s">
        <v>1913</v>
      </c>
      <c r="H10" s="46" t="s">
        <v>40</v>
      </c>
      <c r="I10" s="46" t="s">
        <v>87</v>
      </c>
      <c r="J10" s="53">
        <v>46219</v>
      </c>
      <c r="K10" s="46">
        <f t="shared" si="0"/>
        <v>3</v>
      </c>
      <c r="L10" s="101">
        <v>31.519333030441299</v>
      </c>
      <c r="M10" s="132">
        <v>4174.1199087637397</v>
      </c>
    </row>
    <row r="11" spans="1:13" x14ac:dyDescent="0.25">
      <c r="A11" s="46" t="s">
        <v>1946</v>
      </c>
      <c r="B11" s="46" t="s">
        <v>85</v>
      </c>
      <c r="C11" s="46" t="s">
        <v>123</v>
      </c>
      <c r="D11" s="46" t="s">
        <v>431</v>
      </c>
      <c r="E11" s="46" t="s">
        <v>211</v>
      </c>
      <c r="F11" s="46" t="s">
        <v>215</v>
      </c>
      <c r="G11" s="46" t="s">
        <v>1848</v>
      </c>
      <c r="H11" s="46" t="s">
        <v>19</v>
      </c>
      <c r="I11" s="46" t="s">
        <v>1947</v>
      </c>
      <c r="J11" s="53">
        <v>46200</v>
      </c>
      <c r="K11" s="46">
        <f t="shared" si="0"/>
        <v>4</v>
      </c>
      <c r="L11" s="101">
        <v>24.197959346048801</v>
      </c>
      <c r="M11" s="132">
        <v>4106.8412762464604</v>
      </c>
    </row>
    <row r="12" spans="1:13" x14ac:dyDescent="0.25">
      <c r="A12" s="46" t="s">
        <v>1946</v>
      </c>
      <c r="B12" s="46" t="s">
        <v>85</v>
      </c>
      <c r="C12" s="46" t="s">
        <v>123</v>
      </c>
      <c r="D12" s="46" t="s">
        <v>1013</v>
      </c>
      <c r="E12" s="46" t="s">
        <v>211</v>
      </c>
      <c r="F12" s="46" t="s">
        <v>213</v>
      </c>
      <c r="G12" s="46" t="s">
        <v>1864</v>
      </c>
      <c r="H12" s="46" t="s">
        <v>77</v>
      </c>
      <c r="I12" s="46" t="s">
        <v>202</v>
      </c>
      <c r="J12" s="53">
        <v>46213</v>
      </c>
      <c r="K12" s="46">
        <f t="shared" si="0"/>
        <v>5</v>
      </c>
      <c r="L12" s="101">
        <v>22.341902363669199</v>
      </c>
      <c r="M12" s="132">
        <v>1074.28157558047</v>
      </c>
    </row>
    <row r="13" spans="1:13" x14ac:dyDescent="0.25">
      <c r="A13" s="46" t="s">
        <v>1946</v>
      </c>
      <c r="B13" s="46" t="s">
        <v>85</v>
      </c>
      <c r="C13" s="46" t="s">
        <v>1810</v>
      </c>
      <c r="D13" s="46" t="s">
        <v>431</v>
      </c>
      <c r="E13" s="46" t="s">
        <v>211</v>
      </c>
      <c r="F13" s="46" t="s">
        <v>215</v>
      </c>
      <c r="G13" s="53" t="s">
        <v>1853</v>
      </c>
      <c r="H13" s="46" t="s">
        <v>1857</v>
      </c>
      <c r="I13" s="46" t="s">
        <v>202</v>
      </c>
      <c r="J13" s="53">
        <v>46206</v>
      </c>
      <c r="K13" s="46">
        <f t="shared" si="0"/>
        <v>6</v>
      </c>
      <c r="L13" s="101">
        <v>21.809853649417501</v>
      </c>
      <c r="M13" s="132">
        <v>1101.15451334464</v>
      </c>
    </row>
    <row r="14" spans="1:13" x14ac:dyDescent="0.25">
      <c r="A14" s="46" t="s">
        <v>1946</v>
      </c>
      <c r="B14" s="46" t="s">
        <v>85</v>
      </c>
      <c r="C14" s="46" t="s">
        <v>64</v>
      </c>
      <c r="D14" s="46" t="s">
        <v>431</v>
      </c>
      <c r="E14" s="46" t="s">
        <v>211</v>
      </c>
      <c r="F14" s="46" t="s">
        <v>215</v>
      </c>
      <c r="G14" s="53" t="s">
        <v>1839</v>
      </c>
      <c r="H14" s="46" t="s">
        <v>19</v>
      </c>
      <c r="I14" s="46" t="s">
        <v>1947</v>
      </c>
      <c r="J14" s="53">
        <v>46199</v>
      </c>
      <c r="K14" s="46">
        <f t="shared" si="0"/>
        <v>7</v>
      </c>
      <c r="L14" s="101">
        <v>21.303522730254301</v>
      </c>
      <c r="M14" s="132">
        <v>1716.4377889443999</v>
      </c>
    </row>
    <row r="15" spans="1:13" x14ac:dyDescent="0.25">
      <c r="A15" s="46" t="s">
        <v>1946</v>
      </c>
      <c r="B15" s="46" t="s">
        <v>85</v>
      </c>
      <c r="C15" s="46" t="s">
        <v>1810</v>
      </c>
      <c r="D15" s="46" t="s">
        <v>859</v>
      </c>
      <c r="E15" s="46" t="s">
        <v>211</v>
      </c>
      <c r="F15" s="46" t="s">
        <v>213</v>
      </c>
      <c r="G15" s="46" t="s">
        <v>1920</v>
      </c>
      <c r="H15" s="46" t="s">
        <v>19</v>
      </c>
      <c r="I15" s="46" t="s">
        <v>172</v>
      </c>
      <c r="J15" s="53">
        <v>46220</v>
      </c>
      <c r="K15" s="46">
        <f t="shared" si="0"/>
        <v>8</v>
      </c>
      <c r="L15" s="101">
        <v>20.892084002227602</v>
      </c>
      <c r="M15" s="132">
        <v>311.47395098387398</v>
      </c>
    </row>
    <row r="16" spans="1:13" x14ac:dyDescent="0.25">
      <c r="A16" s="46" t="s">
        <v>1946</v>
      </c>
      <c r="B16" s="46" t="s">
        <v>85</v>
      </c>
      <c r="C16" s="46" t="s">
        <v>123</v>
      </c>
      <c r="D16" s="46" t="s">
        <v>431</v>
      </c>
      <c r="E16" s="46" t="s">
        <v>211</v>
      </c>
      <c r="F16" s="46" t="s">
        <v>215</v>
      </c>
      <c r="G16" s="46" t="s">
        <v>1844</v>
      </c>
      <c r="H16" s="46" t="s">
        <v>19</v>
      </c>
      <c r="I16" s="46" t="s">
        <v>124</v>
      </c>
      <c r="J16" s="53">
        <v>46193</v>
      </c>
      <c r="K16" s="46">
        <f t="shared" si="0"/>
        <v>9</v>
      </c>
      <c r="L16" s="101">
        <v>20.5853424682793</v>
      </c>
      <c r="M16" s="132">
        <v>1041.74677019298</v>
      </c>
    </row>
    <row r="17" spans="1:13" x14ac:dyDescent="0.25">
      <c r="A17" s="46" t="s">
        <v>1946</v>
      </c>
      <c r="B17" s="46" t="s">
        <v>85</v>
      </c>
      <c r="C17" s="46" t="s">
        <v>64</v>
      </c>
      <c r="D17" s="46" t="s">
        <v>859</v>
      </c>
      <c r="E17" s="46" t="s">
        <v>211</v>
      </c>
      <c r="F17" s="46" t="s">
        <v>213</v>
      </c>
      <c r="G17" s="46" t="s">
        <v>1924</v>
      </c>
      <c r="H17" s="46" t="s">
        <v>40</v>
      </c>
      <c r="I17" s="46" t="s">
        <v>172</v>
      </c>
      <c r="J17" s="53">
        <v>46220</v>
      </c>
      <c r="K17" s="46">
        <f t="shared" si="0"/>
        <v>10</v>
      </c>
      <c r="L17" s="101">
        <v>19.822691925407764</v>
      </c>
      <c r="M17" s="132">
        <v>655.39330661333281</v>
      </c>
    </row>
    <row r="18" spans="1:13" x14ac:dyDescent="0.25">
      <c r="A18" s="46" t="s">
        <v>1946</v>
      </c>
      <c r="B18" s="46" t="s">
        <v>85</v>
      </c>
      <c r="C18" s="46" t="s">
        <v>123</v>
      </c>
      <c r="D18" s="46" t="s">
        <v>1012</v>
      </c>
      <c r="E18" s="46" t="s">
        <v>211</v>
      </c>
      <c r="F18" s="46" t="s">
        <v>215</v>
      </c>
      <c r="G18" s="53" t="s">
        <v>1884</v>
      </c>
      <c r="H18" s="46" t="s">
        <v>1794</v>
      </c>
      <c r="I18" s="46" t="s">
        <v>202</v>
      </c>
      <c r="J18" s="53">
        <v>46214</v>
      </c>
      <c r="K18" s="46">
        <f t="shared" si="0"/>
        <v>11</v>
      </c>
      <c r="L18" s="101">
        <v>19.571276184096199</v>
      </c>
      <c r="M18" s="132">
        <v>613</v>
      </c>
    </row>
    <row r="19" spans="1:13" x14ac:dyDescent="0.25">
      <c r="A19" s="46" t="s">
        <v>1946</v>
      </c>
      <c r="B19" s="46" t="s">
        <v>85</v>
      </c>
      <c r="C19" s="46" t="s">
        <v>1810</v>
      </c>
      <c r="D19" s="46" t="s">
        <v>431</v>
      </c>
      <c r="E19" s="46" t="s">
        <v>211</v>
      </c>
      <c r="F19" s="46" t="s">
        <v>215</v>
      </c>
      <c r="G19" s="46" t="s">
        <v>1841</v>
      </c>
      <c r="H19" s="46" t="s">
        <v>77</v>
      </c>
      <c r="I19" s="46" t="s">
        <v>62</v>
      </c>
      <c r="J19" s="53">
        <v>46195</v>
      </c>
      <c r="K19" s="46">
        <f t="shared" si="0"/>
        <v>12</v>
      </c>
      <c r="L19" s="101">
        <v>19.4190630016707</v>
      </c>
      <c r="M19" s="132">
        <v>1189.45531161851</v>
      </c>
    </row>
    <row r="20" spans="1:13" x14ac:dyDescent="0.25">
      <c r="A20" s="46" t="s">
        <v>1946</v>
      </c>
      <c r="B20" s="46" t="s">
        <v>85</v>
      </c>
      <c r="C20" s="46" t="s">
        <v>1810</v>
      </c>
      <c r="D20" s="46" t="s">
        <v>859</v>
      </c>
      <c r="E20" s="46" t="s">
        <v>211</v>
      </c>
      <c r="F20" s="46" t="s">
        <v>213</v>
      </c>
      <c r="G20" s="46" t="s">
        <v>1892</v>
      </c>
      <c r="H20" s="46" t="s">
        <v>1794</v>
      </c>
      <c r="I20" s="46" t="s">
        <v>172</v>
      </c>
      <c r="J20" s="53">
        <v>46216</v>
      </c>
      <c r="K20" s="46">
        <f t="shared" si="0"/>
        <v>13</v>
      </c>
      <c r="L20" s="101">
        <v>18.7912331684302</v>
      </c>
      <c r="M20" s="131">
        <v>209.57395098353837</v>
      </c>
    </row>
    <row r="21" spans="1:13" x14ac:dyDescent="0.25">
      <c r="A21" s="46" t="s">
        <v>1946</v>
      </c>
      <c r="B21" s="46" t="s">
        <v>85</v>
      </c>
      <c r="C21" s="46" t="s">
        <v>123</v>
      </c>
      <c r="D21" s="46" t="s">
        <v>859</v>
      </c>
      <c r="E21" s="46" t="s">
        <v>211</v>
      </c>
      <c r="F21" s="46" t="s">
        <v>213</v>
      </c>
      <c r="G21" s="46" t="s">
        <v>1868</v>
      </c>
      <c r="H21" s="46" t="s">
        <v>19</v>
      </c>
      <c r="I21" s="46" t="s">
        <v>145</v>
      </c>
      <c r="J21" s="53">
        <v>46213</v>
      </c>
      <c r="K21" s="46">
        <f t="shared" si="0"/>
        <v>14</v>
      </c>
      <c r="L21" s="101">
        <v>18.315602181848501</v>
      </c>
      <c r="M21" s="132">
        <v>643.73686727023824</v>
      </c>
    </row>
    <row r="22" spans="1:13" x14ac:dyDescent="0.25">
      <c r="A22" s="46" t="s">
        <v>1946</v>
      </c>
      <c r="B22" s="46" t="s">
        <v>85</v>
      </c>
      <c r="C22" s="46" t="s">
        <v>64</v>
      </c>
      <c r="D22" s="46" t="s">
        <v>859</v>
      </c>
      <c r="E22" s="46" t="s">
        <v>211</v>
      </c>
      <c r="F22" s="46" t="s">
        <v>213</v>
      </c>
      <c r="G22" s="46" t="s">
        <v>1889</v>
      </c>
      <c r="H22" s="46" t="s">
        <v>1794</v>
      </c>
      <c r="I22" s="46" t="s">
        <v>162</v>
      </c>
      <c r="J22" s="53">
        <v>46216</v>
      </c>
      <c r="K22" s="46">
        <f t="shared" si="0"/>
        <v>15</v>
      </c>
      <c r="L22" s="101">
        <v>18.170800931623788</v>
      </c>
      <c r="M22" s="131">
        <v>412.15411291355298</v>
      </c>
    </row>
    <row r="23" spans="1:13" x14ac:dyDescent="0.25">
      <c r="A23" s="46" t="s">
        <v>1946</v>
      </c>
      <c r="B23" s="46" t="s">
        <v>85</v>
      </c>
      <c r="C23" s="46" t="s">
        <v>64</v>
      </c>
      <c r="D23" s="46" t="s">
        <v>431</v>
      </c>
      <c r="E23" s="46" t="s">
        <v>211</v>
      </c>
      <c r="F23" s="46" t="s">
        <v>215</v>
      </c>
      <c r="G23" s="46" t="s">
        <v>1837</v>
      </c>
      <c r="H23" s="46" t="s">
        <v>19</v>
      </c>
      <c r="I23" s="46" t="s">
        <v>138</v>
      </c>
      <c r="J23" s="53">
        <v>46196</v>
      </c>
      <c r="K23" s="46">
        <f t="shared" si="0"/>
        <v>16</v>
      </c>
      <c r="L23" s="101">
        <v>17.147690564256862</v>
      </c>
      <c r="M23" s="132">
        <v>904.54364523265406</v>
      </c>
    </row>
    <row r="24" spans="1:13" x14ac:dyDescent="0.25">
      <c r="A24" s="46" t="s">
        <v>1946</v>
      </c>
      <c r="B24" s="46" t="s">
        <v>85</v>
      </c>
      <c r="C24" s="46" t="s">
        <v>64</v>
      </c>
      <c r="D24" s="46" t="s">
        <v>431</v>
      </c>
      <c r="E24" s="46" t="s">
        <v>211</v>
      </c>
      <c r="F24" s="46" t="s">
        <v>215</v>
      </c>
      <c r="G24" s="46" t="s">
        <v>1849</v>
      </c>
      <c r="H24" s="46" t="s">
        <v>1058</v>
      </c>
      <c r="I24" s="46" t="s">
        <v>87</v>
      </c>
      <c r="J24" s="53">
        <v>46205</v>
      </c>
      <c r="K24" s="46">
        <f t="shared" si="0"/>
        <v>17</v>
      </c>
      <c r="L24" s="101">
        <v>16.765524087650363</v>
      </c>
      <c r="M24" s="131">
        <v>417.46317727758998</v>
      </c>
    </row>
    <row r="25" spans="1:13" x14ac:dyDescent="0.25">
      <c r="A25" s="46" t="s">
        <v>1946</v>
      </c>
      <c r="B25" s="46" t="s">
        <v>85</v>
      </c>
      <c r="C25" s="46" t="s">
        <v>1810</v>
      </c>
      <c r="D25" s="46" t="s">
        <v>431</v>
      </c>
      <c r="E25" s="46" t="s">
        <v>211</v>
      </c>
      <c r="F25" s="46" t="s">
        <v>215</v>
      </c>
      <c r="G25" s="46" t="s">
        <v>1818</v>
      </c>
      <c r="H25" s="46" t="s">
        <v>1820</v>
      </c>
      <c r="I25" s="46" t="s">
        <v>279</v>
      </c>
      <c r="J25" s="53">
        <v>46192</v>
      </c>
      <c r="K25" s="46">
        <f t="shared" si="0"/>
        <v>18</v>
      </c>
      <c r="L25" s="101">
        <v>16.7447846190205</v>
      </c>
      <c r="M25" s="132">
        <v>815.51066852675297</v>
      </c>
    </row>
    <row r="26" spans="1:13" x14ac:dyDescent="0.25">
      <c r="A26" s="46" t="s">
        <v>1946</v>
      </c>
      <c r="B26" s="46" t="s">
        <v>85</v>
      </c>
      <c r="C26" s="46" t="s">
        <v>1810</v>
      </c>
      <c r="D26" s="46" t="s">
        <v>456</v>
      </c>
      <c r="E26" s="46" t="s">
        <v>211</v>
      </c>
      <c r="F26" s="46" t="s">
        <v>1819</v>
      </c>
      <c r="G26" s="46" t="s">
        <v>1785</v>
      </c>
      <c r="H26" s="46" t="s">
        <v>19</v>
      </c>
      <c r="I26" s="46" t="s">
        <v>1122</v>
      </c>
      <c r="J26" s="53">
        <v>45983</v>
      </c>
      <c r="K26" s="46">
        <f t="shared" si="0"/>
        <v>19</v>
      </c>
      <c r="L26" s="101">
        <v>16.6299481802534</v>
      </c>
      <c r="M26" s="132">
        <v>281.811218031409</v>
      </c>
    </row>
    <row r="27" spans="1:13" x14ac:dyDescent="0.25">
      <c r="A27" s="46" t="s">
        <v>1946</v>
      </c>
      <c r="B27" s="46" t="s">
        <v>85</v>
      </c>
      <c r="C27" s="46" t="s">
        <v>1810</v>
      </c>
      <c r="D27" s="46" t="s">
        <v>1012</v>
      </c>
      <c r="E27" s="46" t="s">
        <v>211</v>
      </c>
      <c r="F27" s="46" t="s">
        <v>215</v>
      </c>
      <c r="G27" s="46" t="s">
        <v>1891</v>
      </c>
      <c r="H27" s="46" t="s">
        <v>1058</v>
      </c>
      <c r="I27" s="46" t="s">
        <v>1947</v>
      </c>
      <c r="J27" s="53">
        <v>46216</v>
      </c>
      <c r="K27" s="46">
        <f t="shared" si="0"/>
        <v>20</v>
      </c>
      <c r="L27" s="101">
        <v>16.419063001670729</v>
      </c>
      <c r="M27" s="131">
        <v>495.42066852675299</v>
      </c>
    </row>
    <row r="28" spans="1:13" x14ac:dyDescent="0.25">
      <c r="A28" s="46" t="s">
        <v>1946</v>
      </c>
      <c r="B28" s="46" t="s">
        <v>85</v>
      </c>
      <c r="C28" s="46" t="s">
        <v>123</v>
      </c>
      <c r="D28" s="46" t="s">
        <v>859</v>
      </c>
      <c r="E28" s="46" t="s">
        <v>211</v>
      </c>
      <c r="F28" s="46" t="s">
        <v>213</v>
      </c>
      <c r="G28" s="46" t="s">
        <v>1861</v>
      </c>
      <c r="H28" s="46" t="s">
        <v>1059</v>
      </c>
      <c r="I28" s="46" t="s">
        <v>92</v>
      </c>
      <c r="J28" s="53">
        <v>46212</v>
      </c>
      <c r="K28" s="46">
        <f t="shared" si="0"/>
        <v>21</v>
      </c>
      <c r="L28" s="101">
        <v>16.289302000027799</v>
      </c>
      <c r="M28" s="132">
        <v>691.91090747398073</v>
      </c>
    </row>
    <row r="29" spans="1:13" x14ac:dyDescent="0.25">
      <c r="A29" s="46" t="s">
        <v>1946</v>
      </c>
      <c r="B29" s="46" t="s">
        <v>85</v>
      </c>
      <c r="C29" s="46" t="s">
        <v>123</v>
      </c>
      <c r="D29" s="46" t="s">
        <v>859</v>
      </c>
      <c r="E29" s="46" t="s">
        <v>211</v>
      </c>
      <c r="F29" s="46" t="s">
        <v>213</v>
      </c>
      <c r="G29" s="46" t="s">
        <v>1842</v>
      </c>
      <c r="H29" s="46" t="s">
        <v>1058</v>
      </c>
      <c r="I29" s="46" t="s">
        <v>92</v>
      </c>
      <c r="J29" s="53">
        <v>46198</v>
      </c>
      <c r="K29" s="46">
        <f t="shared" si="0"/>
        <v>22</v>
      </c>
      <c r="L29" s="101">
        <v>16.178457138072119</v>
      </c>
      <c r="M29" s="132">
        <v>541.26888877991144</v>
      </c>
    </row>
    <row r="30" spans="1:13" x14ac:dyDescent="0.25">
      <c r="A30" s="46" t="s">
        <v>1946</v>
      </c>
      <c r="B30" s="46" t="s">
        <v>85</v>
      </c>
      <c r="C30" s="46" t="s">
        <v>64</v>
      </c>
      <c r="D30" s="46" t="s">
        <v>1012</v>
      </c>
      <c r="E30" s="46" t="s">
        <v>211</v>
      </c>
      <c r="F30" s="46" t="s">
        <v>215</v>
      </c>
      <c r="G30" s="46" t="s">
        <v>1900</v>
      </c>
      <c r="H30" s="46" t="s">
        <v>1432</v>
      </c>
      <c r="I30" s="46" t="s">
        <v>62</v>
      </c>
      <c r="J30" s="53">
        <v>46218</v>
      </c>
      <c r="K30" s="46">
        <f t="shared" si="0"/>
        <v>23</v>
      </c>
      <c r="L30" s="101">
        <v>16.0410734471638</v>
      </c>
      <c r="M30" s="131">
        <v>811.45663177265396</v>
      </c>
    </row>
    <row r="31" spans="1:13" x14ac:dyDescent="0.25">
      <c r="A31" s="46" t="s">
        <v>1946</v>
      </c>
      <c r="B31" s="46" t="s">
        <v>85</v>
      </c>
      <c r="C31" s="46" t="s">
        <v>123</v>
      </c>
      <c r="D31" s="46" t="s">
        <v>859</v>
      </c>
      <c r="E31" s="46" t="s">
        <v>211</v>
      </c>
      <c r="F31" s="46" t="s">
        <v>213</v>
      </c>
      <c r="G31" s="46" t="s">
        <v>1923</v>
      </c>
      <c r="H31" s="46" t="s">
        <v>1794</v>
      </c>
      <c r="I31" s="46" t="s">
        <v>173</v>
      </c>
      <c r="J31" s="53">
        <v>46220</v>
      </c>
      <c r="K31" s="46">
        <f t="shared" si="0"/>
        <v>24</v>
      </c>
      <c r="L31" s="101">
        <v>15.872473009758799</v>
      </c>
      <c r="M31" s="132">
        <v>165.29434667632714</v>
      </c>
    </row>
    <row r="32" spans="1:13" x14ac:dyDescent="0.25">
      <c r="A32" s="46" t="s">
        <v>1946</v>
      </c>
      <c r="B32" s="46" t="s">
        <v>85</v>
      </c>
      <c r="C32" s="46" t="s">
        <v>1810</v>
      </c>
      <c r="D32" s="46" t="s">
        <v>859</v>
      </c>
      <c r="E32" s="46" t="s">
        <v>211</v>
      </c>
      <c r="F32" s="46" t="s">
        <v>213</v>
      </c>
      <c r="G32" s="46" t="s">
        <v>1814</v>
      </c>
      <c r="H32" s="46" t="s">
        <v>1058</v>
      </c>
      <c r="I32" s="46" t="s">
        <v>90</v>
      </c>
      <c r="J32" s="53">
        <v>46177</v>
      </c>
      <c r="K32" s="46">
        <f t="shared" si="0"/>
        <v>25</v>
      </c>
      <c r="L32" s="101">
        <v>15.59692656643095</v>
      </c>
      <c r="M32" s="132">
        <v>514.63787908874178</v>
      </c>
    </row>
    <row r="33" spans="1:13" x14ac:dyDescent="0.25">
      <c r="A33" s="46" t="s">
        <v>1946</v>
      </c>
      <c r="B33" s="46" t="s">
        <v>85</v>
      </c>
      <c r="C33" s="46" t="s">
        <v>123</v>
      </c>
      <c r="D33" s="46" t="s">
        <v>859</v>
      </c>
      <c r="E33" s="46" t="s">
        <v>211</v>
      </c>
      <c r="F33" s="46" t="s">
        <v>213</v>
      </c>
      <c r="G33" s="46" t="s">
        <v>1851</v>
      </c>
      <c r="H33" s="46" t="s">
        <v>19</v>
      </c>
      <c r="I33" s="46" t="s">
        <v>145</v>
      </c>
      <c r="J33" s="53">
        <v>46206</v>
      </c>
      <c r="K33" s="46">
        <f t="shared" si="0"/>
        <v>26</v>
      </c>
      <c r="L33" s="101">
        <v>15.3974729800878</v>
      </c>
      <c r="M33" s="132">
        <v>511.84895579327065</v>
      </c>
    </row>
    <row r="34" spans="1:13" x14ac:dyDescent="0.25">
      <c r="A34" s="46" t="s">
        <v>1946</v>
      </c>
      <c r="B34" s="46" t="s">
        <v>85</v>
      </c>
      <c r="C34" s="46" t="s">
        <v>123</v>
      </c>
      <c r="D34" s="46" t="s">
        <v>1012</v>
      </c>
      <c r="E34" s="46" t="s">
        <v>211</v>
      </c>
      <c r="F34" s="46" t="s">
        <v>215</v>
      </c>
      <c r="G34" s="46" t="s">
        <v>1895</v>
      </c>
      <c r="H34" s="46" t="s">
        <v>1794</v>
      </c>
      <c r="I34" s="46" t="s">
        <v>158</v>
      </c>
      <c r="J34" s="53">
        <v>46217</v>
      </c>
      <c r="K34" s="46">
        <f t="shared" si="0"/>
        <v>27</v>
      </c>
      <c r="L34" s="101">
        <v>15.279653963734779</v>
      </c>
      <c r="M34" s="132">
        <v>707</v>
      </c>
    </row>
    <row r="35" spans="1:13" x14ac:dyDescent="0.25">
      <c r="A35" s="46" t="s">
        <v>1946</v>
      </c>
      <c r="B35" s="46" t="s">
        <v>85</v>
      </c>
      <c r="C35" s="46" t="s">
        <v>123</v>
      </c>
      <c r="D35" s="46" t="s">
        <v>1012</v>
      </c>
      <c r="E35" s="46" t="s">
        <v>211</v>
      </c>
      <c r="F35" s="46" t="s">
        <v>215</v>
      </c>
      <c r="G35" s="46" t="s">
        <v>1941</v>
      </c>
      <c r="H35" s="46" t="s">
        <v>77</v>
      </c>
      <c r="I35" s="46" t="s">
        <v>1416</v>
      </c>
      <c r="J35" s="53">
        <v>46220</v>
      </c>
      <c r="K35" s="46">
        <f t="shared" si="0"/>
        <v>28</v>
      </c>
      <c r="L35" s="101">
        <v>15.211754914361199</v>
      </c>
      <c r="M35" s="132">
        <v>750.5225727366161</v>
      </c>
    </row>
    <row r="36" spans="1:13" x14ac:dyDescent="0.25">
      <c r="A36" s="46" t="s">
        <v>1946</v>
      </c>
      <c r="B36" s="46" t="s">
        <v>85</v>
      </c>
      <c r="C36" s="46" t="s">
        <v>64</v>
      </c>
      <c r="D36" s="46" t="s">
        <v>431</v>
      </c>
      <c r="E36" s="46" t="s">
        <v>211</v>
      </c>
      <c r="F36" s="46" t="s">
        <v>215</v>
      </c>
      <c r="G36" s="46" t="s">
        <v>1813</v>
      </c>
      <c r="H36" s="46" t="s">
        <v>40</v>
      </c>
      <c r="I36" s="46" t="s">
        <v>202</v>
      </c>
      <c r="J36" s="53">
        <v>46185</v>
      </c>
      <c r="K36" s="46">
        <f t="shared" si="0"/>
        <v>29</v>
      </c>
      <c r="L36" s="101">
        <v>15.170754808130926</v>
      </c>
      <c r="M36" s="132">
        <v>726.38317727597996</v>
      </c>
    </row>
    <row r="37" spans="1:13" x14ac:dyDescent="0.25">
      <c r="A37" s="46" t="s">
        <v>1946</v>
      </c>
      <c r="B37" s="46" t="s">
        <v>85</v>
      </c>
      <c r="C37" s="46" t="s">
        <v>123</v>
      </c>
      <c r="D37" s="46" t="s">
        <v>1012</v>
      </c>
      <c r="E37" s="46" t="s">
        <v>211</v>
      </c>
      <c r="F37" s="46" t="s">
        <v>215</v>
      </c>
      <c r="G37" s="46" t="s">
        <v>1936</v>
      </c>
      <c r="H37" s="46" t="s">
        <v>1224</v>
      </c>
      <c r="I37" s="46" t="s">
        <v>172</v>
      </c>
      <c r="J37" s="53">
        <v>46220</v>
      </c>
      <c r="K37" s="46">
        <f t="shared" si="0"/>
        <v>30</v>
      </c>
      <c r="L37" s="101">
        <v>14.920132693999843</v>
      </c>
      <c r="M37" s="132">
        <v>240</v>
      </c>
    </row>
    <row r="38" spans="1:13" x14ac:dyDescent="0.25">
      <c r="A38" s="46" t="s">
        <v>1946</v>
      </c>
      <c r="B38" s="46" t="s">
        <v>85</v>
      </c>
      <c r="C38" s="46" t="s">
        <v>123</v>
      </c>
      <c r="D38" s="46" t="s">
        <v>1012</v>
      </c>
      <c r="E38" s="46" t="s">
        <v>211</v>
      </c>
      <c r="F38" s="46" t="s">
        <v>215</v>
      </c>
      <c r="G38" s="46" t="s">
        <v>1917</v>
      </c>
      <c r="H38" s="46" t="s">
        <v>20</v>
      </c>
      <c r="I38" s="46" t="s">
        <v>216</v>
      </c>
      <c r="J38" s="53">
        <v>46219</v>
      </c>
      <c r="K38" s="46">
        <f t="shared" si="0"/>
        <v>31</v>
      </c>
      <c r="L38" s="101">
        <v>14.740372059132374</v>
      </c>
      <c r="M38" s="132">
        <v>304</v>
      </c>
    </row>
    <row r="39" spans="1:13" x14ac:dyDescent="0.25">
      <c r="A39" s="46" t="s">
        <v>1946</v>
      </c>
      <c r="B39" s="46" t="s">
        <v>85</v>
      </c>
      <c r="C39" s="46" t="s">
        <v>123</v>
      </c>
      <c r="D39" s="46" t="s">
        <v>1012</v>
      </c>
      <c r="E39" s="46" t="s">
        <v>211</v>
      </c>
      <c r="F39" s="46" t="s">
        <v>215</v>
      </c>
      <c r="G39" s="53" t="s">
        <v>1904</v>
      </c>
      <c r="H39" s="46" t="s">
        <v>1794</v>
      </c>
      <c r="I39" s="46" t="s">
        <v>1947</v>
      </c>
      <c r="J39" s="53">
        <v>46218</v>
      </c>
      <c r="K39" s="46">
        <f t="shared" si="0"/>
        <v>32</v>
      </c>
      <c r="L39" s="101">
        <v>14.476063486746799</v>
      </c>
      <c r="M39" s="132">
        <v>425</v>
      </c>
    </row>
    <row r="40" spans="1:13" x14ac:dyDescent="0.25">
      <c r="A40" s="46" t="s">
        <v>1946</v>
      </c>
      <c r="B40" s="46" t="s">
        <v>85</v>
      </c>
      <c r="C40" s="46" t="s">
        <v>123</v>
      </c>
      <c r="D40" s="46" t="s">
        <v>1012</v>
      </c>
      <c r="E40" s="46" t="s">
        <v>211</v>
      </c>
      <c r="F40" s="46" t="s">
        <v>215</v>
      </c>
      <c r="G40" s="46" t="s">
        <v>1916</v>
      </c>
      <c r="H40" s="46" t="s">
        <v>77</v>
      </c>
      <c r="I40" s="46" t="s">
        <v>124</v>
      </c>
      <c r="J40" s="53">
        <v>46219</v>
      </c>
      <c r="K40" s="46">
        <f t="shared" si="0"/>
        <v>33</v>
      </c>
      <c r="L40" s="101">
        <v>14.1355847564817</v>
      </c>
      <c r="M40" s="132">
        <v>486</v>
      </c>
    </row>
    <row r="41" spans="1:13" x14ac:dyDescent="0.25">
      <c r="A41" s="46" t="s">
        <v>1946</v>
      </c>
      <c r="B41" s="46" t="s">
        <v>85</v>
      </c>
      <c r="C41" s="46" t="s">
        <v>123</v>
      </c>
      <c r="D41" s="46" t="s">
        <v>1012</v>
      </c>
      <c r="E41" s="46" t="s">
        <v>211</v>
      </c>
      <c r="F41" s="46" t="s">
        <v>215</v>
      </c>
      <c r="G41" s="53" t="s">
        <v>1902</v>
      </c>
      <c r="H41" s="46" t="s">
        <v>77</v>
      </c>
      <c r="I41" s="46" t="s">
        <v>216</v>
      </c>
      <c r="J41" s="53">
        <v>46218</v>
      </c>
      <c r="K41" s="46">
        <f t="shared" ref="K41:K57" si="1">K40+1</f>
        <v>34</v>
      </c>
      <c r="L41" s="101">
        <v>13.773669835421501</v>
      </c>
      <c r="M41" s="132">
        <v>242</v>
      </c>
    </row>
    <row r="42" spans="1:13" x14ac:dyDescent="0.25">
      <c r="A42" s="46" t="s">
        <v>1946</v>
      </c>
      <c r="B42" s="46" t="s">
        <v>85</v>
      </c>
      <c r="C42" s="46" t="s">
        <v>1810</v>
      </c>
      <c r="D42" s="46" t="s">
        <v>1012</v>
      </c>
      <c r="E42" s="46" t="s">
        <v>211</v>
      </c>
      <c r="F42" s="46" t="s">
        <v>215</v>
      </c>
      <c r="G42" s="53" t="s">
        <v>1901</v>
      </c>
      <c r="H42" s="46" t="s">
        <v>20</v>
      </c>
      <c r="I42" s="46" t="s">
        <v>398</v>
      </c>
      <c r="J42" s="53">
        <v>46218</v>
      </c>
      <c r="K42" s="46">
        <f t="shared" si="1"/>
        <v>35</v>
      </c>
      <c r="L42" s="101">
        <v>13.682552501392273</v>
      </c>
      <c r="M42" s="131">
        <v>215.913055036277</v>
      </c>
    </row>
    <row r="43" spans="1:13" x14ac:dyDescent="0.25">
      <c r="A43" s="46" t="s">
        <v>1946</v>
      </c>
      <c r="B43" s="46" t="s">
        <v>85</v>
      </c>
      <c r="C43" s="127" t="s">
        <v>123</v>
      </c>
      <c r="D43" s="127" t="s">
        <v>859</v>
      </c>
      <c r="E43" s="46" t="s">
        <v>211</v>
      </c>
      <c r="F43" s="46" t="s">
        <v>213</v>
      </c>
      <c r="G43" s="46" t="s">
        <v>1945</v>
      </c>
      <c r="H43" s="46" t="s">
        <v>1794</v>
      </c>
      <c r="I43" s="46" t="s">
        <v>46</v>
      </c>
      <c r="J43" s="53">
        <v>46219</v>
      </c>
      <c r="K43" s="46">
        <f t="shared" si="1"/>
        <v>36</v>
      </c>
      <c r="L43" s="101">
        <v>13.631233168430199</v>
      </c>
      <c r="M43" s="131">
        <v>145.16669657705543</v>
      </c>
    </row>
    <row r="44" spans="1:13" x14ac:dyDescent="0.25">
      <c r="A44" s="46" t="s">
        <v>1946</v>
      </c>
      <c r="B44" s="46" t="s">
        <v>85</v>
      </c>
      <c r="C44" s="46" t="s">
        <v>64</v>
      </c>
      <c r="D44" s="46" t="s">
        <v>859</v>
      </c>
      <c r="E44" s="124" t="s">
        <v>233</v>
      </c>
      <c r="F44" s="46" t="s">
        <v>213</v>
      </c>
      <c r="G44" s="53" t="s">
        <v>1854</v>
      </c>
      <c r="H44" s="46" t="s">
        <v>1432</v>
      </c>
      <c r="I44" s="46" t="s">
        <v>1030</v>
      </c>
      <c r="J44" s="53">
        <v>46206</v>
      </c>
      <c r="K44" s="46">
        <f t="shared" si="1"/>
        <v>37</v>
      </c>
      <c r="L44" s="101">
        <v>13.624902458741161</v>
      </c>
      <c r="M44" s="132">
        <v>500.14553145769344</v>
      </c>
    </row>
    <row r="45" spans="1:13" x14ac:dyDescent="0.25">
      <c r="A45" s="46" t="s">
        <v>1946</v>
      </c>
      <c r="B45" s="46" t="s">
        <v>85</v>
      </c>
      <c r="C45" s="46" t="s">
        <v>123</v>
      </c>
      <c r="D45" s="46" t="s">
        <v>431</v>
      </c>
      <c r="E45" s="46" t="s">
        <v>211</v>
      </c>
      <c r="F45" s="46" t="s">
        <v>215</v>
      </c>
      <c r="G45" s="46" t="s">
        <v>1850</v>
      </c>
      <c r="H45" s="46" t="s">
        <v>1058</v>
      </c>
      <c r="I45" s="46" t="s">
        <v>138</v>
      </c>
      <c r="J45" s="53">
        <v>46205</v>
      </c>
      <c r="K45" s="46">
        <f t="shared" si="1"/>
        <v>38</v>
      </c>
      <c r="L45" s="101">
        <v>13.534027764409739</v>
      </c>
      <c r="M45" s="132">
        <v>715.27880441192372</v>
      </c>
    </row>
    <row r="46" spans="1:13" x14ac:dyDescent="0.25">
      <c r="A46" s="46" t="s">
        <v>1946</v>
      </c>
      <c r="B46" s="46" t="s">
        <v>85</v>
      </c>
      <c r="C46" s="46" t="s">
        <v>1810</v>
      </c>
      <c r="D46" s="46" t="s">
        <v>859</v>
      </c>
      <c r="E46" s="46" t="s">
        <v>211</v>
      </c>
      <c r="F46" s="46" t="s">
        <v>213</v>
      </c>
      <c r="G46" s="46" t="s">
        <v>1928</v>
      </c>
      <c r="H46" s="46" t="s">
        <v>1059</v>
      </c>
      <c r="I46" s="46" t="s">
        <v>97</v>
      </c>
      <c r="J46" s="53">
        <v>46220</v>
      </c>
      <c r="K46" s="46">
        <f t="shared" si="1"/>
        <v>39</v>
      </c>
      <c r="L46" s="101">
        <v>13.5068928349112</v>
      </c>
      <c r="M46" s="131">
        <v>152.48244238114</v>
      </c>
    </row>
    <row r="47" spans="1:13" x14ac:dyDescent="0.25">
      <c r="A47" s="46" t="s">
        <v>1946</v>
      </c>
      <c r="B47" s="46" t="s">
        <v>85</v>
      </c>
      <c r="C47" s="46" t="s">
        <v>64</v>
      </c>
      <c r="D47" s="46" t="s">
        <v>859</v>
      </c>
      <c r="E47" s="124" t="s">
        <v>211</v>
      </c>
      <c r="F47" s="46" t="s">
        <v>213</v>
      </c>
      <c r="G47" s="46" t="s">
        <v>1838</v>
      </c>
      <c r="H47" s="46" t="s">
        <v>1432</v>
      </c>
      <c r="I47" s="46" t="s">
        <v>153</v>
      </c>
      <c r="J47" s="53">
        <v>46197</v>
      </c>
      <c r="K47" s="46">
        <f t="shared" si="1"/>
        <v>40</v>
      </c>
      <c r="L47" s="101">
        <v>13.247606647255591</v>
      </c>
      <c r="M47" s="131">
        <v>572.51811291355295</v>
      </c>
    </row>
    <row r="48" spans="1:13" x14ac:dyDescent="0.25">
      <c r="A48" s="46" t="s">
        <v>1946</v>
      </c>
      <c r="B48" s="46" t="s">
        <v>85</v>
      </c>
      <c r="C48" s="46" t="s">
        <v>64</v>
      </c>
      <c r="D48" s="46" t="s">
        <v>859</v>
      </c>
      <c r="E48" s="46" t="s">
        <v>233</v>
      </c>
      <c r="F48" s="46" t="s">
        <v>213</v>
      </c>
      <c r="G48" s="53" t="s">
        <v>1914</v>
      </c>
      <c r="H48" s="46" t="s">
        <v>1794</v>
      </c>
      <c r="I48" s="46" t="s">
        <v>167</v>
      </c>
      <c r="J48" s="53">
        <v>46219</v>
      </c>
      <c r="K48" s="46">
        <f t="shared" si="1"/>
        <v>41</v>
      </c>
      <c r="L48" s="101">
        <v>13.215127950271844</v>
      </c>
      <c r="M48" s="131">
        <v>182.76411291355299</v>
      </c>
    </row>
    <row r="49" spans="1:13" x14ac:dyDescent="0.25">
      <c r="A49" s="46" t="s">
        <v>1946</v>
      </c>
      <c r="B49" s="46" t="s">
        <v>85</v>
      </c>
      <c r="C49" s="46" t="s">
        <v>1229</v>
      </c>
      <c r="D49" s="46" t="s">
        <v>433</v>
      </c>
      <c r="E49" s="46" t="s">
        <v>219</v>
      </c>
      <c r="F49" s="46" t="s">
        <v>215</v>
      </c>
      <c r="G49" s="46" t="s">
        <v>1815</v>
      </c>
      <c r="H49" s="46" t="s">
        <v>19</v>
      </c>
      <c r="I49" s="46" t="s">
        <v>202</v>
      </c>
      <c r="J49" s="53">
        <v>46191</v>
      </c>
      <c r="K49" s="46">
        <f t="shared" si="1"/>
        <v>42</v>
      </c>
      <c r="L49" s="101">
        <v>12.980823369057136</v>
      </c>
      <c r="M49" s="132">
        <v>355.58069423082088</v>
      </c>
    </row>
    <row r="50" spans="1:13" x14ac:dyDescent="0.25">
      <c r="A50" s="46" t="s">
        <v>1946</v>
      </c>
      <c r="B50" s="46" t="s">
        <v>85</v>
      </c>
      <c r="C50" s="46" t="s">
        <v>64</v>
      </c>
      <c r="D50" s="46" t="s">
        <v>859</v>
      </c>
      <c r="E50" s="46" t="s">
        <v>211</v>
      </c>
      <c r="F50" s="46" t="s">
        <v>213</v>
      </c>
      <c r="G50" s="46" t="s">
        <v>1898</v>
      </c>
      <c r="H50" s="46" t="s">
        <v>1794</v>
      </c>
      <c r="I50" s="46" t="s">
        <v>190</v>
      </c>
      <c r="J50" s="53">
        <v>46218</v>
      </c>
      <c r="K50" s="46">
        <f t="shared" si="1"/>
        <v>43</v>
      </c>
      <c r="L50" s="101">
        <v>12.884749751515049</v>
      </c>
      <c r="M50" s="131">
        <v>308.414112913461</v>
      </c>
    </row>
    <row r="51" spans="1:13" x14ac:dyDescent="0.25">
      <c r="A51" s="46" t="s">
        <v>1946</v>
      </c>
      <c r="B51" s="46" t="s">
        <v>85</v>
      </c>
      <c r="C51" s="46" t="s">
        <v>123</v>
      </c>
      <c r="D51" s="46" t="s">
        <v>1013</v>
      </c>
      <c r="E51" s="46" t="s">
        <v>211</v>
      </c>
      <c r="F51" s="46" t="s">
        <v>213</v>
      </c>
      <c r="G51" s="46" t="s">
        <v>1918</v>
      </c>
      <c r="H51" s="46" t="s">
        <v>77</v>
      </c>
      <c r="I51" s="46" t="s">
        <v>216</v>
      </c>
      <c r="J51" s="53">
        <v>46220</v>
      </c>
      <c r="K51" s="46">
        <f t="shared" si="1"/>
        <v>44</v>
      </c>
      <c r="L51" s="101">
        <v>12.8748666610841</v>
      </c>
      <c r="M51" s="131">
        <v>87.24462844857058</v>
      </c>
    </row>
    <row r="52" spans="1:13" x14ac:dyDescent="0.25">
      <c r="A52" s="46" t="s">
        <v>1946</v>
      </c>
      <c r="B52" s="46" t="s">
        <v>85</v>
      </c>
      <c r="C52" s="46" t="s">
        <v>1810</v>
      </c>
      <c r="D52" s="46" t="s">
        <v>859</v>
      </c>
      <c r="E52" s="46" t="s">
        <v>211</v>
      </c>
      <c r="F52" s="46" t="s">
        <v>213</v>
      </c>
      <c r="G52" s="53" t="s">
        <v>1912</v>
      </c>
      <c r="H52" s="46" t="s">
        <v>20</v>
      </c>
      <c r="I52" s="46" t="s">
        <v>420</v>
      </c>
      <c r="J52" s="53">
        <v>46219</v>
      </c>
      <c r="K52" s="46">
        <f t="shared" si="1"/>
        <v>45</v>
      </c>
      <c r="L52" s="101">
        <v>12.770382334632787</v>
      </c>
      <c r="M52" s="131">
        <v>101.78695098353801</v>
      </c>
    </row>
    <row r="53" spans="1:13" x14ac:dyDescent="0.25">
      <c r="A53" s="46" t="s">
        <v>1946</v>
      </c>
      <c r="B53" s="46" t="s">
        <v>85</v>
      </c>
      <c r="C53" s="46" t="s">
        <v>123</v>
      </c>
      <c r="D53" s="46" t="s">
        <v>431</v>
      </c>
      <c r="E53" s="46" t="s">
        <v>211</v>
      </c>
      <c r="F53" s="46" t="s">
        <v>215</v>
      </c>
      <c r="G53" s="46" t="s">
        <v>1843</v>
      </c>
      <c r="H53" s="46" t="s">
        <v>1794</v>
      </c>
      <c r="I53" s="46" t="s">
        <v>52</v>
      </c>
      <c r="J53" s="53">
        <v>46198</v>
      </c>
      <c r="K53" s="46">
        <f t="shared" si="1"/>
        <v>46</v>
      </c>
      <c r="L53" s="101">
        <v>12.610176757821566</v>
      </c>
      <c r="M53" s="132">
        <v>556</v>
      </c>
    </row>
    <row r="54" spans="1:13" x14ac:dyDescent="0.25">
      <c r="A54" s="46" t="s">
        <v>1946</v>
      </c>
      <c r="B54" s="46" t="s">
        <v>85</v>
      </c>
      <c r="C54" s="46" t="s">
        <v>1810</v>
      </c>
      <c r="D54" s="46" t="s">
        <v>1013</v>
      </c>
      <c r="E54" s="46" t="s">
        <v>211</v>
      </c>
      <c r="F54" s="46" t="s">
        <v>213</v>
      </c>
      <c r="G54" s="46" t="s">
        <v>1897</v>
      </c>
      <c r="H54" s="46" t="s">
        <v>20</v>
      </c>
      <c r="I54" s="46" t="s">
        <v>158</v>
      </c>
      <c r="J54" s="53">
        <v>46217</v>
      </c>
      <c r="K54" s="46">
        <f t="shared" si="1"/>
        <v>47</v>
      </c>
      <c r="L54" s="101">
        <v>12.5947226681518</v>
      </c>
      <c r="M54" s="131">
        <v>141.551654238114</v>
      </c>
    </row>
    <row r="55" spans="1:13" x14ac:dyDescent="0.25">
      <c r="A55" s="46" t="s">
        <v>1946</v>
      </c>
      <c r="B55" s="46" t="s">
        <v>85</v>
      </c>
      <c r="C55" s="46" t="s">
        <v>64</v>
      </c>
      <c r="D55" s="46" t="s">
        <v>1012</v>
      </c>
      <c r="E55" s="46" t="s">
        <v>211</v>
      </c>
      <c r="F55" s="46" t="s">
        <v>215</v>
      </c>
      <c r="G55" s="46" t="s">
        <v>1939</v>
      </c>
      <c r="H55" s="46" t="s">
        <v>20</v>
      </c>
      <c r="I55" s="46" t="s">
        <v>158</v>
      </c>
      <c r="J55" s="53">
        <v>46220</v>
      </c>
      <c r="K55" s="46">
        <f t="shared" si="1"/>
        <v>48</v>
      </c>
      <c r="L55" s="101">
        <v>12.389182453379853</v>
      </c>
      <c r="M55" s="131">
        <v>261.46517721257999</v>
      </c>
    </row>
    <row r="56" spans="1:13" x14ac:dyDescent="0.25">
      <c r="A56" s="46" t="s">
        <v>1946</v>
      </c>
      <c r="B56" s="46" t="s">
        <v>85</v>
      </c>
      <c r="C56" s="46" t="s">
        <v>64</v>
      </c>
      <c r="D56" s="46" t="s">
        <v>859</v>
      </c>
      <c r="E56" s="46" t="s">
        <v>233</v>
      </c>
      <c r="F56" s="46" t="s">
        <v>213</v>
      </c>
      <c r="G56" s="46" t="s">
        <v>1893</v>
      </c>
      <c r="H56" s="46" t="s">
        <v>20</v>
      </c>
      <c r="I56" s="46" t="s">
        <v>422</v>
      </c>
      <c r="J56" s="53">
        <v>46217</v>
      </c>
      <c r="K56" s="46">
        <f t="shared" si="1"/>
        <v>49</v>
      </c>
      <c r="L56" s="101">
        <v>12.223993354001456</v>
      </c>
      <c r="M56" s="131">
        <v>87.471629135450996</v>
      </c>
    </row>
    <row r="57" spans="1:13" x14ac:dyDescent="0.25">
      <c r="A57" s="46" t="s">
        <v>1946</v>
      </c>
      <c r="B57" s="46" t="s">
        <v>85</v>
      </c>
      <c r="C57" s="46" t="s">
        <v>123</v>
      </c>
      <c r="D57" s="46" t="s">
        <v>1012</v>
      </c>
      <c r="E57" s="46" t="s">
        <v>211</v>
      </c>
      <c r="F57" s="46" t="s">
        <v>215</v>
      </c>
      <c r="G57" s="53" t="s">
        <v>1905</v>
      </c>
      <c r="H57" s="46" t="s">
        <v>20</v>
      </c>
      <c r="I57" s="46" t="s">
        <v>124</v>
      </c>
      <c r="J57" s="53">
        <v>46218</v>
      </c>
      <c r="K57" s="46">
        <f t="shared" si="1"/>
        <v>50</v>
      </c>
      <c r="L57" s="101">
        <v>12.0772603124095</v>
      </c>
      <c r="M57" s="132">
        <v>650</v>
      </c>
    </row>
    <row r="58" spans="1:13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66"/>
    </row>
    <row r="59" spans="1:13" ht="15.75" thickBot="1" x14ac:dyDescent="0.3"/>
    <row r="60" spans="1:13" ht="15.75" thickBot="1" x14ac:dyDescent="0.3">
      <c r="C60" s="128" t="s">
        <v>878</v>
      </c>
      <c r="D60" s="129"/>
    </row>
    <row r="61" spans="1:13" ht="30" x14ac:dyDescent="0.25">
      <c r="A61" s="121" t="s">
        <v>385</v>
      </c>
      <c r="B61" s="47" t="s">
        <v>384</v>
      </c>
      <c r="C61" s="120" t="s">
        <v>1</v>
      </c>
      <c r="D61" s="57" t="s">
        <v>2</v>
      </c>
    </row>
    <row r="62" spans="1:13" x14ac:dyDescent="0.25">
      <c r="A62" s="54" t="s">
        <v>123</v>
      </c>
      <c r="B62" s="67">
        <v>483.47874388451896</v>
      </c>
      <c r="C62" s="69">
        <f>VLOOKUP(A:A,'Updated SES'!B:J,8,0)</f>
        <v>0.49</v>
      </c>
      <c r="D62" s="65">
        <f>VLOOKUP(A:A,'Updated SES'!B:J,9,0)</f>
        <v>0.51</v>
      </c>
      <c r="E62" s="118"/>
    </row>
    <row r="63" spans="1:13" x14ac:dyDescent="0.25">
      <c r="A63" s="54" t="s">
        <v>1810</v>
      </c>
      <c r="B63" s="67">
        <v>345.9334296246696</v>
      </c>
      <c r="C63" s="69">
        <f>VLOOKUP(A:A,'Updated SES'!B:J,8,0)</f>
        <v>0.625</v>
      </c>
      <c r="D63" s="65">
        <f>VLOOKUP(A:A,'Updated SES'!B:J,9,0)</f>
        <v>0.375</v>
      </c>
    </row>
    <row r="64" spans="1:13" x14ac:dyDescent="0.25">
      <c r="A64" s="54" t="s">
        <v>64</v>
      </c>
      <c r="B64" s="67">
        <v>282.34023233634588</v>
      </c>
      <c r="C64" s="69">
        <f>VLOOKUP(A:A,'Updated SES'!B:J,8,0)</f>
        <v>0.52</v>
      </c>
      <c r="D64" s="65">
        <f>VLOOKUP(A:A,'Updated SES'!B:J,9,0)</f>
        <v>0.48</v>
      </c>
    </row>
    <row r="65" spans="1:4" x14ac:dyDescent="0.25">
      <c r="A65" s="54" t="s">
        <v>150</v>
      </c>
      <c r="B65" s="67">
        <v>97.136739474102271</v>
      </c>
      <c r="C65" s="69">
        <f>VLOOKUP(A:A,'Updated SES'!B:J,8,0)</f>
        <v>0.65</v>
      </c>
      <c r="D65" s="65">
        <f>VLOOKUP(A:A,'Updated SES'!B:J,9,0)</f>
        <v>0.35</v>
      </c>
    </row>
    <row r="66" spans="1:4" ht="15.75" thickBot="1" x14ac:dyDescent="0.3">
      <c r="A66" s="55" t="s">
        <v>879</v>
      </c>
      <c r="B66" s="68">
        <v>62.244994090719345</v>
      </c>
      <c r="C66" s="70">
        <f>VLOOKUP(A:A,'Updated SES'!B:J,8,0)</f>
        <v>0.8</v>
      </c>
      <c r="D66" s="71">
        <f>VLOOKUP(A:A,'Updated SES'!B:J,9,0)</f>
        <v>0.2</v>
      </c>
    </row>
  </sheetData>
  <autoFilter ref="A7:M57" xr:uid="{B07D9D77-D343-4F54-B586-23FE787EB415}"/>
  <mergeCells count="1">
    <mergeCell ref="C60:D60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145"/>
  <sheetViews>
    <sheetView showGridLines="0" zoomScale="85" zoomScaleNormal="85" workbookViewId="0">
      <selection activeCell="A4" sqref="A4"/>
    </sheetView>
  </sheetViews>
  <sheetFormatPr defaultColWidth="8.85546875" defaultRowHeight="15" x14ac:dyDescent="0.25"/>
  <cols>
    <col min="1" max="1" width="16" bestFit="1" customWidth="1"/>
    <col min="2" max="2" width="13.7109375" bestFit="1" customWidth="1"/>
    <col min="3" max="3" width="20.28515625" bestFit="1" customWidth="1"/>
    <col min="4" max="4" width="22.42578125" bestFit="1" customWidth="1"/>
    <col min="5" max="6" width="15.5703125" bestFit="1" customWidth="1"/>
    <col min="7" max="7" width="53.140625" bestFit="1" customWidth="1"/>
    <col min="8" max="8" width="63.5703125" style="8" bestFit="1" customWidth="1"/>
    <col min="9" max="9" width="17.5703125" bestFit="1" customWidth="1"/>
    <col min="10" max="10" width="13.28515625" bestFit="1" customWidth="1"/>
    <col min="11" max="11" width="27.7109375" bestFit="1" customWidth="1"/>
    <col min="12" max="12" width="23.5703125" bestFit="1" customWidth="1"/>
    <col min="13" max="13" width="10.7109375" bestFit="1" customWidth="1"/>
    <col min="14" max="14" width="12.7109375" bestFit="1" customWidth="1"/>
    <col min="15" max="15" width="17.5703125" bestFit="1" customWidth="1"/>
    <col min="16" max="16" width="16.140625" style="8" bestFit="1" customWidth="1"/>
    <col min="17" max="17" width="11.5703125" style="8" bestFit="1" customWidth="1"/>
    <col min="18" max="18" width="21.28515625" style="8" bestFit="1" customWidth="1"/>
    <col min="19" max="19" width="16.140625" style="8" bestFit="1" customWidth="1"/>
    <col min="20" max="20" width="17.85546875" bestFit="1" customWidth="1"/>
  </cols>
  <sheetData>
    <row r="1" spans="1:20" x14ac:dyDescent="0.25">
      <c r="G1" s="72" t="s">
        <v>1943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30" t="s">
        <v>222</v>
      </c>
      <c r="N3" s="130"/>
      <c r="O3" s="117"/>
      <c r="P3" s="117"/>
      <c r="Q3" s="117"/>
      <c r="R3" s="117"/>
      <c r="S3" s="117"/>
      <c r="T3" s="117"/>
    </row>
    <row r="4" spans="1:20" s="8" customFormat="1" ht="30" x14ac:dyDescent="0.25">
      <c r="A4" s="119" t="s">
        <v>205</v>
      </c>
      <c r="B4" s="119" t="s">
        <v>257</v>
      </c>
      <c r="C4" s="119" t="s">
        <v>204</v>
      </c>
      <c r="D4" s="119" t="s">
        <v>437</v>
      </c>
      <c r="E4" s="119" t="s">
        <v>210</v>
      </c>
      <c r="F4" s="119" t="s">
        <v>15</v>
      </c>
      <c r="G4" s="119" t="s">
        <v>207</v>
      </c>
      <c r="H4" s="119" t="s">
        <v>13</v>
      </c>
      <c r="I4" s="119" t="s">
        <v>208</v>
      </c>
      <c r="J4" s="119" t="s">
        <v>934</v>
      </c>
      <c r="K4" s="119" t="s">
        <v>209</v>
      </c>
      <c r="L4" s="123" t="s">
        <v>234</v>
      </c>
      <c r="M4" s="123" t="s">
        <v>1</v>
      </c>
      <c r="N4" s="123" t="s">
        <v>2</v>
      </c>
      <c r="O4" s="123" t="s">
        <v>223</v>
      </c>
      <c r="P4" s="123" t="s">
        <v>269</v>
      </c>
      <c r="Q4" s="123" t="s">
        <v>857</v>
      </c>
      <c r="R4" s="123" t="s">
        <v>858</v>
      </c>
      <c r="S4" s="123" t="s">
        <v>882</v>
      </c>
      <c r="T4" s="123" t="s">
        <v>1944</v>
      </c>
    </row>
    <row r="5" spans="1:20" x14ac:dyDescent="0.25">
      <c r="A5" s="46" t="s">
        <v>1774</v>
      </c>
      <c r="B5" s="46" t="s">
        <v>85</v>
      </c>
      <c r="C5" s="46" t="s">
        <v>1810</v>
      </c>
      <c r="D5" s="46" t="s">
        <v>437</v>
      </c>
      <c r="E5" s="46" t="s">
        <v>211</v>
      </c>
      <c r="F5" s="46" t="s">
        <v>451</v>
      </c>
      <c r="G5" s="53" t="s">
        <v>1880</v>
      </c>
      <c r="H5" s="46" t="s">
        <v>1855</v>
      </c>
      <c r="I5" s="53">
        <v>46217</v>
      </c>
      <c r="J5" s="124"/>
      <c r="K5" s="46" t="s">
        <v>902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0.50249999999999995</v>
      </c>
      <c r="N5" s="102">
        <f>VLOOKUP(K:K,'Genre Penetration'!A:C,3,0)*VLOOKUP($C5&amp;$E5,'Updated SES'!A:J,10,0)</f>
        <v>8.249999999999999E-2</v>
      </c>
      <c r="O5" s="102">
        <f>VLOOKUP($B5,'Language Penetration'!$B$1:$BL$14,MATCH('Compile data Working'!$H5,'Language Penetration'!$B$1:$BL$1,0),0)</f>
        <v>0.19285714285714287</v>
      </c>
      <c r="P5" s="102" t="str">
        <f t="shared" ref="P5:P36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>
        <f t="shared" ref="Q5:Q36" ca="1" si="1">IFERROR(L5*(M5+N5)*O5*P5,RANDBETWEEN(1,2)%*L5*(M5+N5)*O5)</f>
        <v>0.2868304758428572</v>
      </c>
      <c r="R5" s="104">
        <f>VLOOKUP(D:D,ranking!W:X,2,0)</f>
        <v>0.1</v>
      </c>
      <c r="S5" s="59">
        <f t="shared" ref="S5:S36" ca="1" si="2">R5*Q5</f>
        <v>2.868304758428572E-2</v>
      </c>
      <c r="T5" s="101">
        <v>92.983875303290006</v>
      </c>
    </row>
    <row r="6" spans="1:20" x14ac:dyDescent="0.25">
      <c r="A6" s="46" t="s">
        <v>1774</v>
      </c>
      <c r="B6" s="46" t="s">
        <v>85</v>
      </c>
      <c r="C6" s="46" t="s">
        <v>150</v>
      </c>
      <c r="D6" s="46" t="s">
        <v>437</v>
      </c>
      <c r="E6" s="46" t="s">
        <v>211</v>
      </c>
      <c r="F6" s="46" t="s">
        <v>451</v>
      </c>
      <c r="G6" s="46" t="s">
        <v>1846</v>
      </c>
      <c r="H6" s="46" t="s">
        <v>1856</v>
      </c>
      <c r="I6" s="53">
        <v>46185</v>
      </c>
      <c r="J6" s="46"/>
      <c r="K6" s="125" t="s">
        <v>902</v>
      </c>
      <c r="L6" s="101">
        <f>VLOOKUP($C6&amp;$E6,'Updated SES'!A:N,14,0)</f>
        <v>60.152000000000001</v>
      </c>
      <c r="M6" s="102">
        <f>VLOOKUP($K6,'Genre Penetration'!A:B,2,0)*VLOOKUP($C6&amp;$E6,'Updated SES'!A:I,9,0)</f>
        <v>0.48750000000000004</v>
      </c>
      <c r="N6" s="102">
        <f>VLOOKUP(K:K,'Genre Penetration'!A:C,3,0)*VLOOKUP($C6&amp;$E6,'Updated SES'!A:J,10,0)</f>
        <v>8.7499999999999994E-2</v>
      </c>
      <c r="O6" s="102">
        <f>VLOOKUP($B6,'Language Penetration'!$B$1:$BL$14,MATCH('Compile data Working'!$H132,'Language Penetration'!$B$1:$BL$1,0),0)</f>
        <v>0.12</v>
      </c>
      <c r="P6" s="102" t="str">
        <f t="shared" ca="1" si="0"/>
        <v>2%</v>
      </c>
      <c r="Q6" s="101">
        <f t="shared" ca="1" si="1"/>
        <v>8.3009760000000002E-2</v>
      </c>
      <c r="R6" s="104">
        <f>VLOOKUP(D:D,ranking!W:X,2,0)</f>
        <v>0.1</v>
      </c>
      <c r="S6" s="59">
        <f t="shared" ca="1" si="2"/>
        <v>8.3009759999999998E-3</v>
      </c>
      <c r="T6" s="101">
        <v>54.261232353089497</v>
      </c>
    </row>
    <row r="7" spans="1:20" x14ac:dyDescent="0.25">
      <c r="A7" s="46" t="s">
        <v>1942</v>
      </c>
      <c r="B7" s="46" t="s">
        <v>85</v>
      </c>
      <c r="C7" s="46" t="s">
        <v>879</v>
      </c>
      <c r="D7" s="46" t="s">
        <v>1858</v>
      </c>
      <c r="E7" s="46" t="s">
        <v>219</v>
      </c>
      <c r="F7" s="46" t="s">
        <v>215</v>
      </c>
      <c r="G7" s="46" t="s">
        <v>1913</v>
      </c>
      <c r="H7" s="46" t="s">
        <v>40</v>
      </c>
      <c r="I7" s="53">
        <v>46219</v>
      </c>
      <c r="J7" s="124"/>
      <c r="K7" s="46" t="s">
        <v>87</v>
      </c>
      <c r="L7" s="101">
        <f>VLOOKUP($C7&amp;$E7,'Updated SES'!A:N,14,0)</f>
        <v>78.939870000000013</v>
      </c>
      <c r="M7" s="102">
        <f>VLOOKUP($K7,'Genre Penetration'!A:B,2,0)*VLOOKUP($C7&amp;$E7,'Updated SES'!A:I,9,0)</f>
        <v>0.48799999999999999</v>
      </c>
      <c r="N7" s="102">
        <f>VLOOKUP(K:K,'Genre Penetration'!A:C,3,0)*VLOOKUP($C7&amp;$E7,'Updated SES'!A:J,10,0)</f>
        <v>7.8000000000000014E-2</v>
      </c>
      <c r="O7" s="102">
        <f>VLOOKUP($B7,'Language Penetration'!$B$1:$BL$14,MATCH('Compile data Working'!$H38,'Language Penetration'!$B$1:$BL$1,0),0)</f>
        <v>0.26250000000000001</v>
      </c>
      <c r="P7" s="102" t="str">
        <f t="shared" ca="1" si="0"/>
        <v>2%</v>
      </c>
      <c r="Q7" s="101">
        <f t="shared" ca="1" si="1"/>
        <v>0.23456982370500007</v>
      </c>
      <c r="R7" s="104">
        <f>VLOOKUP(D:D,ranking!W:X,2,0)</f>
        <v>0.6</v>
      </c>
      <c r="S7" s="59">
        <f t="shared" ca="1" si="2"/>
        <v>0.14074189422300004</v>
      </c>
      <c r="T7" s="101">
        <v>31.519333030441299</v>
      </c>
    </row>
    <row r="8" spans="1:20" x14ac:dyDescent="0.25">
      <c r="A8" s="46" t="s">
        <v>1057</v>
      </c>
      <c r="B8" s="46" t="s">
        <v>85</v>
      </c>
      <c r="C8" s="46" t="s">
        <v>123</v>
      </c>
      <c r="D8" s="46" t="s">
        <v>431</v>
      </c>
      <c r="E8" s="46" t="s">
        <v>211</v>
      </c>
      <c r="F8" s="46" t="s">
        <v>215</v>
      </c>
      <c r="G8" s="46" t="s">
        <v>1848</v>
      </c>
      <c r="H8" s="46" t="s">
        <v>19</v>
      </c>
      <c r="I8" s="53">
        <v>46200</v>
      </c>
      <c r="J8" s="124">
        <v>2</v>
      </c>
      <c r="K8" s="46" t="s">
        <v>1947</v>
      </c>
      <c r="L8" s="101">
        <f>VLOOKUP($C8&amp;$E8,'Updated SES'!A:N,14,0)</f>
        <v>55.459200000000003</v>
      </c>
      <c r="M8" s="102">
        <f>VLOOKUP($K8,'Genre Penetration'!A:B,2,0)*VLOOKUP($C8&amp;$E8,'Updated SES'!A:I,9,0)</f>
        <v>0.19600000000000001</v>
      </c>
      <c r="N8" s="102">
        <f>VLOOKUP(K:K,'Genre Penetration'!A:C,3,0)*VLOOKUP($C8&amp;$E8,'Updated SES'!A:J,10,0)</f>
        <v>0.30599999999999999</v>
      </c>
      <c r="O8" s="102">
        <f>VLOOKUP($B8,'Language Penetration'!$B$1:$BL$14,MATCH('Compile data Working'!$H98,'Language Penetration'!$B$1:$BL$1,0),0)</f>
        <v>0.20400000000000001</v>
      </c>
      <c r="P8" s="102" t="str">
        <f t="shared" ca="1" si="0"/>
        <v>31%</v>
      </c>
      <c r="Q8" s="101">
        <f t="shared" ca="1" si="1"/>
        <v>1.7606343836160001</v>
      </c>
      <c r="R8" s="104">
        <f>VLOOKUP(D:D,ranking!W:X,2,0)</f>
        <v>0.6</v>
      </c>
      <c r="S8" s="59">
        <f t="shared" ca="1" si="2"/>
        <v>1.0563806301695999</v>
      </c>
      <c r="T8" s="101">
        <v>24.197959346048801</v>
      </c>
    </row>
    <row r="9" spans="1:20" x14ac:dyDescent="0.25">
      <c r="A9" s="46" t="s">
        <v>1057</v>
      </c>
      <c r="B9" s="46" t="s">
        <v>85</v>
      </c>
      <c r="C9" s="46" t="s">
        <v>123</v>
      </c>
      <c r="D9" s="46" t="s">
        <v>1013</v>
      </c>
      <c r="E9" s="46" t="s">
        <v>211</v>
      </c>
      <c r="F9" s="46" t="s">
        <v>213</v>
      </c>
      <c r="G9" s="46" t="s">
        <v>1864</v>
      </c>
      <c r="H9" s="46" t="s">
        <v>77</v>
      </c>
      <c r="I9" s="53">
        <v>46213</v>
      </c>
      <c r="J9" s="46">
        <v>1</v>
      </c>
      <c r="K9" s="46" t="s">
        <v>202</v>
      </c>
      <c r="L9" s="101">
        <f>VLOOKUP($C9&amp;$E9,'Updated SES'!A:N,14,0)</f>
        <v>55.459200000000003</v>
      </c>
      <c r="M9" s="102">
        <f>VLOOKUP($K9,'Genre Penetration'!A:B,2,0)*VLOOKUP($C9&amp;$E9,'Updated SES'!A:I,9,0)</f>
        <v>0.3528</v>
      </c>
      <c r="N9" s="102">
        <f>VLOOKUP(K:K,'Genre Penetration'!A:C,3,0)*VLOOKUP($C9&amp;$E9,'Updated SES'!A:J,10,0)</f>
        <v>0.14280000000000001</v>
      </c>
      <c r="O9" s="102">
        <f>VLOOKUP($B9,'Language Penetration'!$B$1:$BL$14,MATCH('Compile data Working'!$H90,'Language Penetration'!$B$1:$BL$1,0),0)</f>
        <v>0.20400000000000001</v>
      </c>
      <c r="P9" s="102" t="str">
        <f t="shared" ca="1" si="0"/>
        <v>35%</v>
      </c>
      <c r="Q9" s="101">
        <f t="shared" ca="1" si="1"/>
        <v>1.9624703777280006</v>
      </c>
      <c r="R9" s="104">
        <f>VLOOKUP(D:D,ranking!W:X,2,0)</f>
        <v>0.8</v>
      </c>
      <c r="S9" s="59">
        <f t="shared" ca="1" si="2"/>
        <v>1.5699763021824005</v>
      </c>
      <c r="T9" s="101">
        <v>22.341902363669199</v>
      </c>
    </row>
    <row r="10" spans="1:20" x14ac:dyDescent="0.25">
      <c r="A10" s="46" t="s">
        <v>1057</v>
      </c>
      <c r="B10" s="46" t="s">
        <v>85</v>
      </c>
      <c r="C10" s="46" t="s">
        <v>1810</v>
      </c>
      <c r="D10" s="46" t="s">
        <v>431</v>
      </c>
      <c r="E10" s="46" t="s">
        <v>211</v>
      </c>
      <c r="F10" s="46" t="s">
        <v>215</v>
      </c>
      <c r="G10" s="53" t="s">
        <v>1853</v>
      </c>
      <c r="H10" s="46" t="s">
        <v>1857</v>
      </c>
      <c r="I10" s="53">
        <v>46206</v>
      </c>
      <c r="J10" s="124">
        <v>4</v>
      </c>
      <c r="K10" s="46" t="s">
        <v>202</v>
      </c>
      <c r="L10" s="101">
        <f>VLOOKUP($C10&amp;$E10,'Updated SES'!A:N,14,0)</f>
        <v>127.11702000000001</v>
      </c>
      <c r="M10" s="102">
        <f>VLOOKUP($K10,'Genre Penetration'!A:B,2,0)*VLOOKUP($C10&amp;$E10,'Updated SES'!A:I,9,0)</f>
        <v>0.48239999999999994</v>
      </c>
      <c r="N10" s="102">
        <f>VLOOKUP(K:K,'Genre Penetration'!A:C,3,0)*VLOOKUP($C10&amp;$E10,'Updated SES'!A:J,10,0)</f>
        <v>9.2399999999999996E-2</v>
      </c>
      <c r="O10" s="102">
        <f>VLOOKUP($B10,'Language Penetration'!$B$1:$BL$14,MATCH('Compile data Working'!$H86,'Language Penetration'!$B$1:$BL$1,0),0)</f>
        <v>0.1</v>
      </c>
      <c r="P10" s="102" t="str">
        <f t="shared" ca="1" si="0"/>
        <v>23%</v>
      </c>
      <c r="Q10" s="101">
        <f t="shared" ca="1" si="1"/>
        <v>1.6805378512080003</v>
      </c>
      <c r="R10" s="104">
        <f>VLOOKUP(D:D,ranking!W:X,2,0)</f>
        <v>0.6</v>
      </c>
      <c r="S10" s="59">
        <f t="shared" ca="1" si="2"/>
        <v>1.0083227107248001</v>
      </c>
      <c r="T10" s="101">
        <v>21.809853649417501</v>
      </c>
    </row>
    <row r="11" spans="1:20" x14ac:dyDescent="0.25">
      <c r="A11" s="46" t="s">
        <v>1057</v>
      </c>
      <c r="B11" s="46" t="s">
        <v>85</v>
      </c>
      <c r="C11" s="46" t="s">
        <v>64</v>
      </c>
      <c r="D11" s="46" t="s">
        <v>431</v>
      </c>
      <c r="E11" s="46" t="s">
        <v>211</v>
      </c>
      <c r="F11" s="46" t="s">
        <v>215</v>
      </c>
      <c r="G11" s="53" t="s">
        <v>1839</v>
      </c>
      <c r="H11" s="46" t="s">
        <v>19</v>
      </c>
      <c r="I11" s="53">
        <v>46199</v>
      </c>
      <c r="J11" s="46">
        <v>1</v>
      </c>
      <c r="K11" s="46" t="s">
        <v>1947</v>
      </c>
      <c r="L11" s="101">
        <f>VLOOKUP($C11&amp;$E11,'Updated SES'!A:N,14,0)</f>
        <v>36.498239999999996</v>
      </c>
      <c r="M11" s="102">
        <f>VLOOKUP($K11,'Genre Penetration'!A:B,2,0)*VLOOKUP($C11&amp;$E11,'Updated SES'!A:I,9,0)</f>
        <v>0.20800000000000002</v>
      </c>
      <c r="N11" s="102">
        <f>VLOOKUP(K:K,'Genre Penetration'!A:C,3,0)*VLOOKUP($C11&amp;$E11,'Updated SES'!A:J,10,0)</f>
        <v>0.28799999999999998</v>
      </c>
      <c r="O11" s="102">
        <f>VLOOKUP($B11,'Language Penetration'!$B$1:$BL$14,MATCH('Compile data Working'!$H76,'Language Penetration'!$B$1:$BL$1,0),0)</f>
        <v>0.6</v>
      </c>
      <c r="P11" s="102" t="str">
        <f t="shared" ca="1" si="0"/>
        <v>35%</v>
      </c>
      <c r="Q11" s="101">
        <f t="shared" ca="1" si="1"/>
        <v>3.8016566783999988</v>
      </c>
      <c r="R11" s="104">
        <f>VLOOKUP(D:D,ranking!W:X,2,0)</f>
        <v>0.6</v>
      </c>
      <c r="S11" s="59">
        <f t="shared" ca="1" si="2"/>
        <v>2.280994007039999</v>
      </c>
      <c r="T11" s="101">
        <v>21.303522730254301</v>
      </c>
    </row>
    <row r="12" spans="1:20" x14ac:dyDescent="0.25">
      <c r="A12" s="46" t="s">
        <v>1942</v>
      </c>
      <c r="B12" s="46" t="s">
        <v>85</v>
      </c>
      <c r="C12" s="46" t="s">
        <v>1810</v>
      </c>
      <c r="D12" s="46" t="s">
        <v>859</v>
      </c>
      <c r="E12" s="46" t="s">
        <v>211</v>
      </c>
      <c r="F12" s="46" t="s">
        <v>213</v>
      </c>
      <c r="G12" s="46" t="s">
        <v>1920</v>
      </c>
      <c r="H12" s="46" t="s">
        <v>19</v>
      </c>
      <c r="I12" s="53">
        <v>46220</v>
      </c>
      <c r="J12" s="125"/>
      <c r="K12" s="46" t="s">
        <v>172</v>
      </c>
      <c r="L12" s="101">
        <f>VLOOKUP($C12&amp;$E12,'Updated SES'!A:N,14,0)</f>
        <v>127.11702000000001</v>
      </c>
      <c r="M12" s="102">
        <f>VLOOKUP($K12,'Genre Penetration'!A:B,2,0)*VLOOKUP($C12&amp;$E12,'Updated SES'!A:I,9,0)</f>
        <v>0.26799999999999996</v>
      </c>
      <c r="N12" s="102">
        <f>VLOOKUP(K:K,'Genre Penetration'!A:C,3,0)*VLOOKUP($C12&amp;$E12,'Updated SES'!A:J,10,0)</f>
        <v>0.19799999999999998</v>
      </c>
      <c r="O12" s="102">
        <f>VLOOKUP($B12,'Language Penetration'!$B$1:$BL$14,MATCH('Compile data Working'!$H45,'Language Penetration'!$B$1:$BL$1,0),0)</f>
        <v>0.4</v>
      </c>
      <c r="P12" s="102" t="str">
        <f t="shared" ca="1" si="0"/>
        <v>1%</v>
      </c>
      <c r="Q12" s="101">
        <f t="shared" ca="1" si="1"/>
        <v>0.23694612528000003</v>
      </c>
      <c r="R12" s="104">
        <f>VLOOKUP(D:D,ranking!W:X,2,0)</f>
        <v>0.7</v>
      </c>
      <c r="S12" s="59">
        <f t="shared" ca="1" si="2"/>
        <v>0.165862287696</v>
      </c>
      <c r="T12" s="101">
        <v>20.892084002227602</v>
      </c>
    </row>
    <row r="13" spans="1:20" x14ac:dyDescent="0.25">
      <c r="A13" s="46" t="s">
        <v>1057</v>
      </c>
      <c r="B13" s="46" t="s">
        <v>85</v>
      </c>
      <c r="C13" s="46" t="s">
        <v>123</v>
      </c>
      <c r="D13" s="46" t="s">
        <v>431</v>
      </c>
      <c r="E13" s="46" t="s">
        <v>211</v>
      </c>
      <c r="F13" s="46" t="s">
        <v>215</v>
      </c>
      <c r="G13" s="46" t="s">
        <v>1844</v>
      </c>
      <c r="H13" s="46" t="s">
        <v>19</v>
      </c>
      <c r="I13" s="53">
        <v>46193</v>
      </c>
      <c r="J13" s="46">
        <v>1</v>
      </c>
      <c r="K13" s="46" t="s">
        <v>124</v>
      </c>
      <c r="L13" s="101">
        <f>VLOOKUP($C13&amp;$E13,'Updated SES'!A:N,14,0)</f>
        <v>55.459200000000003</v>
      </c>
      <c r="M13" s="102">
        <f>VLOOKUP($K13,'Genre Penetration'!A:B,2,0)*VLOOKUP($C13&amp;$E13,'Updated SES'!A:I,9,0)</f>
        <v>0.2205</v>
      </c>
      <c r="N13" s="102">
        <f>VLOOKUP(K:K,'Genre Penetration'!A:C,3,0)*VLOOKUP($C13&amp;$E13,'Updated SES'!A:J,10,0)</f>
        <v>0.28050000000000003</v>
      </c>
      <c r="O13" s="102">
        <f>VLOOKUP($B13,'Language Penetration'!$B$1:$BL$14,MATCH('Compile data Working'!$H97,'Language Penetration'!$B$1:$BL$1,0),0)</f>
        <v>0.12</v>
      </c>
      <c r="P13" s="102" t="str">
        <f t="shared" ca="1" si="0"/>
        <v>36%</v>
      </c>
      <c r="Q13" s="101">
        <f t="shared" ca="1" si="1"/>
        <v>1.20031455744</v>
      </c>
      <c r="R13" s="104">
        <f>VLOOKUP(D:D,ranking!W:X,2,0)</f>
        <v>0.6</v>
      </c>
      <c r="S13" s="59">
        <f t="shared" ca="1" si="2"/>
        <v>0.720188734464</v>
      </c>
      <c r="T13" s="101">
        <v>20.5853424682793</v>
      </c>
    </row>
    <row r="14" spans="1:20" x14ac:dyDescent="0.25">
      <c r="A14" s="46" t="s">
        <v>1942</v>
      </c>
      <c r="B14" s="46" t="s">
        <v>85</v>
      </c>
      <c r="C14" s="46" t="s">
        <v>64</v>
      </c>
      <c r="D14" s="46" t="s">
        <v>859</v>
      </c>
      <c r="E14" s="46" t="s">
        <v>211</v>
      </c>
      <c r="F14" s="46" t="s">
        <v>213</v>
      </c>
      <c r="G14" s="46" t="s">
        <v>1924</v>
      </c>
      <c r="H14" s="46" t="s">
        <v>40</v>
      </c>
      <c r="I14" s="53">
        <v>46220</v>
      </c>
      <c r="J14" s="124"/>
      <c r="K14" s="46" t="s">
        <v>172</v>
      </c>
      <c r="L14" s="101">
        <f>VLOOKUP($C14&amp;$E14,'Updated SES'!A:N,14,0)</f>
        <v>36.498239999999996</v>
      </c>
      <c r="M14" s="102">
        <f>VLOOKUP($K14,'Genre Penetration'!A:B,2,0)*VLOOKUP($C14&amp;$E14,'Updated SES'!A:I,9,0)</f>
        <v>0.20800000000000002</v>
      </c>
      <c r="N14" s="102">
        <f>VLOOKUP(K:K,'Genre Penetration'!A:C,3,0)*VLOOKUP($C14&amp;$E14,'Updated SES'!A:J,10,0)</f>
        <v>0.28799999999999998</v>
      </c>
      <c r="O14" s="102">
        <f>VLOOKUP($B14,'Language Penetration'!$B$1:$BL$14,MATCH('Compile data Working'!$H49,'Language Penetration'!$B$1:$BL$1,0),0)</f>
        <v>0.2</v>
      </c>
      <c r="P14" s="102" t="str">
        <f t="shared" ca="1" si="0"/>
        <v>1%</v>
      </c>
      <c r="Q14" s="101">
        <f t="shared" ca="1" si="1"/>
        <v>3.6206254079999993E-2</v>
      </c>
      <c r="R14" s="104">
        <f>VLOOKUP(D:D,ranking!W:X,2,0)</f>
        <v>0.7</v>
      </c>
      <c r="S14" s="59">
        <f t="shared" ca="1" si="2"/>
        <v>2.5344377855999994E-2</v>
      </c>
      <c r="T14" s="101">
        <v>19.822691925407764</v>
      </c>
    </row>
    <row r="15" spans="1:20" x14ac:dyDescent="0.25">
      <c r="A15" s="46" t="s">
        <v>1942</v>
      </c>
      <c r="B15" s="46" t="s">
        <v>85</v>
      </c>
      <c r="C15" s="46" t="s">
        <v>123</v>
      </c>
      <c r="D15" s="46" t="s">
        <v>1012</v>
      </c>
      <c r="E15" s="46" t="s">
        <v>211</v>
      </c>
      <c r="F15" s="46" t="s">
        <v>215</v>
      </c>
      <c r="G15" s="53" t="s">
        <v>1884</v>
      </c>
      <c r="H15" s="46" t="s">
        <v>1794</v>
      </c>
      <c r="I15" s="53">
        <v>46214</v>
      </c>
      <c r="J15" s="46"/>
      <c r="K15" s="46" t="s">
        <v>202</v>
      </c>
      <c r="L15" s="101">
        <f>VLOOKUP($C15&amp;$E15,'Updated SES'!A:N,14,0)</f>
        <v>55.459200000000003</v>
      </c>
      <c r="M15" s="102">
        <f>VLOOKUP($K15,'Genre Penetration'!A:B,2,0)*VLOOKUP($C15&amp;$E15,'Updated SES'!A:I,9,0)</f>
        <v>0.3528</v>
      </c>
      <c r="N15" s="102">
        <f>VLOOKUP(K:K,'Genre Penetration'!A:C,3,0)*VLOOKUP($C15&amp;$E15,'Updated SES'!A:J,10,0)</f>
        <v>0.14280000000000001</v>
      </c>
      <c r="O15" s="102">
        <f>VLOOKUP($B15,'Language Penetration'!$B$1:$BL$14,MATCH('Compile data Working'!$H9,'Language Penetration'!$B$1:$BL$1,0),0)</f>
        <v>0.26250000000000001</v>
      </c>
      <c r="P15" s="102" t="str">
        <f t="shared" ca="1" si="0"/>
        <v>1%</v>
      </c>
      <c r="Q15" s="101">
        <f t="shared" ca="1" si="1"/>
        <v>7.2149646240000018E-2</v>
      </c>
      <c r="R15" s="104">
        <f>VLOOKUP(D:D,ranking!W:X,2,0)</f>
        <v>0.6</v>
      </c>
      <c r="S15" s="59">
        <f t="shared" ca="1" si="2"/>
        <v>4.3289787744000011E-2</v>
      </c>
      <c r="T15" s="101">
        <v>19.571276184096199</v>
      </c>
    </row>
    <row r="16" spans="1:20" x14ac:dyDescent="0.25">
      <c r="A16" s="46" t="s">
        <v>1057</v>
      </c>
      <c r="B16" s="46" t="s">
        <v>85</v>
      </c>
      <c r="C16" s="46" t="s">
        <v>1810</v>
      </c>
      <c r="D16" s="46" t="s">
        <v>431</v>
      </c>
      <c r="E16" s="46" t="s">
        <v>211</v>
      </c>
      <c r="F16" s="46" t="s">
        <v>215</v>
      </c>
      <c r="G16" s="46" t="s">
        <v>1841</v>
      </c>
      <c r="H16" s="46" t="s">
        <v>77</v>
      </c>
      <c r="I16" s="53">
        <v>46195</v>
      </c>
      <c r="J16" s="124">
        <v>5</v>
      </c>
      <c r="K16" s="46" t="s">
        <v>62</v>
      </c>
      <c r="L16" s="101">
        <f>VLOOKUP($C16&amp;$E16,'Updated SES'!A:N,14,0)</f>
        <v>127.11702000000001</v>
      </c>
      <c r="M16" s="102">
        <f>VLOOKUP($K16,'Genre Penetration'!A:B,2,0)*VLOOKUP($C16&amp;$E16,'Updated SES'!A:I,9,0)</f>
        <v>0.38859999999999995</v>
      </c>
      <c r="N16" s="102">
        <f>VLOOKUP(K:K,'Genre Penetration'!A:C,3,0)*VLOOKUP($C16&amp;$E16,'Updated SES'!A:J,10,0)</f>
        <v>0.13859999999999997</v>
      </c>
      <c r="O16" s="102">
        <f>VLOOKUP($B16,'Language Penetration'!$B$1:$BL$14,MATCH('Compile data Working'!$H87,'Language Penetration'!$B$1:$BL$1,0),0)</f>
        <v>0.6</v>
      </c>
      <c r="P16" s="102" t="str">
        <f t="shared" ca="1" si="0"/>
        <v>16%</v>
      </c>
      <c r="Q16" s="101">
        <f t="shared" ca="1" si="1"/>
        <v>6.4335449226239998</v>
      </c>
      <c r="R16" s="104">
        <f>VLOOKUP(D:D,ranking!W:X,2,0)</f>
        <v>0.6</v>
      </c>
      <c r="S16" s="59">
        <f t="shared" ca="1" si="2"/>
        <v>3.8601269535743996</v>
      </c>
      <c r="T16" s="101">
        <v>19.4190630016707</v>
      </c>
    </row>
    <row r="17" spans="1:20" x14ac:dyDescent="0.25">
      <c r="A17" s="46" t="s">
        <v>1942</v>
      </c>
      <c r="B17" s="46" t="s">
        <v>85</v>
      </c>
      <c r="C17" s="46" t="s">
        <v>1810</v>
      </c>
      <c r="D17" s="46" t="s">
        <v>859</v>
      </c>
      <c r="E17" s="46" t="s">
        <v>211</v>
      </c>
      <c r="F17" s="46" t="s">
        <v>213</v>
      </c>
      <c r="G17" s="46" t="s">
        <v>1892</v>
      </c>
      <c r="H17" s="46" t="s">
        <v>1794</v>
      </c>
      <c r="I17" s="53">
        <v>46216</v>
      </c>
      <c r="J17" s="124"/>
      <c r="K17" s="46" t="s">
        <v>172</v>
      </c>
      <c r="L17" s="101">
        <f>VLOOKUP($C17&amp;$E17,'Updated SES'!A:N,14,0)</f>
        <v>127.11702000000001</v>
      </c>
      <c r="M17" s="102">
        <f>VLOOKUP($K17,'Genre Penetration'!A:B,2,0)*VLOOKUP($C17&amp;$E17,'Updated SES'!A:I,9,0)</f>
        <v>0.26799999999999996</v>
      </c>
      <c r="N17" s="102">
        <f>VLOOKUP(K:K,'Genre Penetration'!A:C,3,0)*VLOOKUP($C17&amp;$E17,'Updated SES'!A:J,10,0)</f>
        <v>0.19799999999999998</v>
      </c>
      <c r="O17" s="102">
        <f>VLOOKUP($B17,'Language Penetration'!$B$1:$BL$14,MATCH('Compile data Working'!$H17,'Language Penetration'!$B$1:$BL$1,0),0)</f>
        <v>0.4</v>
      </c>
      <c r="P17" s="102" t="str">
        <f t="shared" ca="1" si="0"/>
        <v>2%</v>
      </c>
      <c r="Q17" s="101">
        <f t="shared" ca="1" si="1"/>
        <v>0.47389225056000006</v>
      </c>
      <c r="R17" s="104">
        <f>VLOOKUP(D:D,ranking!W:X,2,0)</f>
        <v>0.7</v>
      </c>
      <c r="S17" s="59">
        <f t="shared" ca="1" si="2"/>
        <v>0.33172457539200001</v>
      </c>
      <c r="T17" s="101">
        <v>18.7912331684302</v>
      </c>
    </row>
    <row r="18" spans="1:20" x14ac:dyDescent="0.25">
      <c r="A18" s="46" t="s">
        <v>1057</v>
      </c>
      <c r="B18" s="46" t="s">
        <v>85</v>
      </c>
      <c r="C18" s="46" t="s">
        <v>123</v>
      </c>
      <c r="D18" s="46" t="s">
        <v>859</v>
      </c>
      <c r="E18" s="46" t="s">
        <v>211</v>
      </c>
      <c r="F18" s="46" t="s">
        <v>213</v>
      </c>
      <c r="G18" s="46" t="s">
        <v>1868</v>
      </c>
      <c r="H18" s="46" t="s">
        <v>19</v>
      </c>
      <c r="I18" s="53">
        <v>46213</v>
      </c>
      <c r="J18" s="124">
        <v>2</v>
      </c>
      <c r="K18" s="46" t="s">
        <v>145</v>
      </c>
      <c r="L18" s="101">
        <f>VLOOKUP($C18&amp;$E18,'Updated SES'!A:N,14,0)</f>
        <v>55.459200000000003</v>
      </c>
      <c r="M18" s="102">
        <f>VLOOKUP($K18,'Genre Penetration'!A:B,2,0)*VLOOKUP($C18&amp;$E18,'Updated SES'!A:I,9,0)</f>
        <v>0.18129999999999999</v>
      </c>
      <c r="N18" s="102">
        <f>VLOOKUP(K:K,'Genre Penetration'!A:C,3,0)*VLOOKUP($C18&amp;$E18,'Updated SES'!A:J,10,0)</f>
        <v>0.32130000000000003</v>
      </c>
      <c r="O18" s="102">
        <f>VLOOKUP($B18,'Language Penetration'!$B$1:$BL$14,MATCH('Compile data Working'!$H91,'Language Penetration'!$B$1:$BL$1,0),0)</f>
        <v>0.6</v>
      </c>
      <c r="P18" s="102" t="str">
        <f t="shared" ca="1" si="0"/>
        <v>30%</v>
      </c>
      <c r="Q18" s="101">
        <f t="shared" ca="1" si="1"/>
        <v>5.0172829056000001</v>
      </c>
      <c r="R18" s="104">
        <f>VLOOKUP(D:D,ranking!W:X,2,0)</f>
        <v>0.7</v>
      </c>
      <c r="S18" s="59">
        <f t="shared" ca="1" si="2"/>
        <v>3.5120980339199996</v>
      </c>
      <c r="T18" s="101">
        <v>18.315602181848501</v>
      </c>
    </row>
    <row r="19" spans="1:20" x14ac:dyDescent="0.25">
      <c r="A19" s="46" t="s">
        <v>1942</v>
      </c>
      <c r="B19" s="46" t="s">
        <v>85</v>
      </c>
      <c r="C19" s="46" t="s">
        <v>64</v>
      </c>
      <c r="D19" s="46" t="s">
        <v>859</v>
      </c>
      <c r="E19" s="46" t="s">
        <v>211</v>
      </c>
      <c r="F19" s="46" t="s">
        <v>213</v>
      </c>
      <c r="G19" s="46" t="s">
        <v>1889</v>
      </c>
      <c r="H19" s="46" t="s">
        <v>1794</v>
      </c>
      <c r="I19" s="53">
        <v>46216</v>
      </c>
      <c r="J19" s="124"/>
      <c r="K19" s="46" t="s">
        <v>162</v>
      </c>
      <c r="L19" s="101">
        <f>VLOOKUP($C19&amp;$E19,'Updated SES'!A:N,14,0)</f>
        <v>36.498239999999996</v>
      </c>
      <c r="M19" s="102">
        <f>VLOOKUP($K19,'Genre Penetration'!A:B,2,0)*VLOOKUP($C19&amp;$E19,'Updated SES'!A:I,9,0)</f>
        <v>0.36399999999999999</v>
      </c>
      <c r="N19" s="102">
        <f>VLOOKUP(K:K,'Genre Penetration'!A:C,3,0)*VLOOKUP($C19&amp;$E19,'Updated SES'!A:J,10,0)</f>
        <v>0.14399999999999999</v>
      </c>
      <c r="O19" s="102">
        <f>VLOOKUP($B19,'Language Penetration'!$B$1:$BL$14,MATCH('Compile data Working'!$H14,'Language Penetration'!$B$1:$BL$1,0),0)</f>
        <v>0.28333333333333333</v>
      </c>
      <c r="P19" s="102" t="str">
        <f t="shared" ca="1" si="0"/>
        <v>1%</v>
      </c>
      <c r="Q19" s="101">
        <f t="shared" ca="1" si="1"/>
        <v>5.2533133439999997E-2</v>
      </c>
      <c r="R19" s="104">
        <f>VLOOKUP(D:D,ranking!W:X,2,0)</f>
        <v>0.7</v>
      </c>
      <c r="S19" s="59">
        <f t="shared" ca="1" si="2"/>
        <v>3.6773193407999998E-2</v>
      </c>
      <c r="T19" s="101">
        <v>18.170800931623788</v>
      </c>
    </row>
    <row r="20" spans="1:20" x14ac:dyDescent="0.25">
      <c r="A20" s="46" t="s">
        <v>1057</v>
      </c>
      <c r="B20" s="46" t="s">
        <v>85</v>
      </c>
      <c r="C20" s="46" t="s">
        <v>64</v>
      </c>
      <c r="D20" s="46" t="s">
        <v>431</v>
      </c>
      <c r="E20" s="46" t="s">
        <v>211</v>
      </c>
      <c r="F20" s="46" t="s">
        <v>215</v>
      </c>
      <c r="G20" s="46" t="s">
        <v>1837</v>
      </c>
      <c r="H20" s="46" t="s">
        <v>19</v>
      </c>
      <c r="I20" s="53">
        <v>46196</v>
      </c>
      <c r="J20" s="124">
        <v>3</v>
      </c>
      <c r="K20" s="46" t="s">
        <v>138</v>
      </c>
      <c r="L20" s="101">
        <f>VLOOKUP($C20&amp;$E20,'Updated SES'!A:N,14,0)</f>
        <v>36.498239999999996</v>
      </c>
      <c r="M20" s="102">
        <f>VLOOKUP($K20,'Genre Penetration'!A:B,2,0)*VLOOKUP($C20&amp;$E20,'Updated SES'!A:I,9,0)</f>
        <v>0.24440000000000001</v>
      </c>
      <c r="N20" s="102">
        <f>VLOOKUP(K:K,'Genre Penetration'!A:C,3,0)*VLOOKUP($C20&amp;$E20,'Updated SES'!A:J,10,0)</f>
        <v>0.25440000000000002</v>
      </c>
      <c r="O20" s="102">
        <f>VLOOKUP($B20,'Language Penetration'!$B$1:$BL$14,MATCH('Compile data Working'!$H77,'Language Penetration'!$B$1:$BL$1,0),0)</f>
        <v>0.2</v>
      </c>
      <c r="P20" s="102" t="str">
        <f t="shared" ca="1" si="0"/>
        <v>29%</v>
      </c>
      <c r="Q20" s="101">
        <f t="shared" ca="1" si="1"/>
        <v>1.0559086824959998</v>
      </c>
      <c r="R20" s="104">
        <f>VLOOKUP(D:D,ranking!W:X,2,0)</f>
        <v>0.6</v>
      </c>
      <c r="S20" s="59">
        <f t="shared" ca="1" si="2"/>
        <v>0.63354520949759985</v>
      </c>
      <c r="T20" s="101">
        <v>17.147690564256862</v>
      </c>
    </row>
    <row r="21" spans="1:20" x14ac:dyDescent="0.25">
      <c r="A21" s="46" t="s">
        <v>1057</v>
      </c>
      <c r="B21" s="46" t="s">
        <v>85</v>
      </c>
      <c r="C21" s="46" t="s">
        <v>64</v>
      </c>
      <c r="D21" s="46" t="s">
        <v>431</v>
      </c>
      <c r="E21" s="46" t="s">
        <v>211</v>
      </c>
      <c r="F21" s="46" t="s">
        <v>215</v>
      </c>
      <c r="G21" s="46" t="s">
        <v>1849</v>
      </c>
      <c r="H21" s="46" t="s">
        <v>1058</v>
      </c>
      <c r="I21" s="53">
        <v>46205</v>
      </c>
      <c r="J21" s="124">
        <v>7</v>
      </c>
      <c r="K21" s="46" t="s">
        <v>87</v>
      </c>
      <c r="L21" s="101">
        <f>VLOOKUP($C21&amp;$E21,'Updated SES'!A:N,14,0)</f>
        <v>36.498239999999996</v>
      </c>
      <c r="M21" s="102">
        <f>VLOOKUP($K21,'Genre Penetration'!A:B,2,0)*VLOOKUP($C21&amp;$E21,'Updated SES'!A:I,9,0)</f>
        <v>0.31719999999999998</v>
      </c>
      <c r="N21" s="102">
        <f>VLOOKUP(K:K,'Genre Penetration'!A:C,3,0)*VLOOKUP($C21&amp;$E21,'Updated SES'!A:J,10,0)</f>
        <v>0.18720000000000001</v>
      </c>
      <c r="O21" s="102">
        <f>VLOOKUP($B21,'Language Penetration'!$B$1:$BL$14,MATCH('Compile data Working'!$H81,'Language Penetration'!$B$1:$BL$1,0),0)</f>
        <v>0.26250000000000001</v>
      </c>
      <c r="P21" s="102" t="str">
        <f t="shared" ca="1" si="0"/>
        <v>8%</v>
      </c>
      <c r="Q21" s="101">
        <f t="shared" ca="1" si="1"/>
        <v>0.3866039573759999</v>
      </c>
      <c r="R21" s="104">
        <f>VLOOKUP(D:D,ranking!W:X,2,0)</f>
        <v>0.6</v>
      </c>
      <c r="S21" s="59">
        <f t="shared" ca="1" si="2"/>
        <v>0.23196237442559992</v>
      </c>
      <c r="T21" s="101">
        <v>16.765524087650363</v>
      </c>
    </row>
    <row r="22" spans="1:20" x14ac:dyDescent="0.25">
      <c r="A22" s="46" t="s">
        <v>1057</v>
      </c>
      <c r="B22" s="46" t="s">
        <v>85</v>
      </c>
      <c r="C22" s="46" t="s">
        <v>1810</v>
      </c>
      <c r="D22" s="46" t="s">
        <v>431</v>
      </c>
      <c r="E22" s="46" t="s">
        <v>211</v>
      </c>
      <c r="F22" s="46" t="s">
        <v>215</v>
      </c>
      <c r="G22" s="46" t="s">
        <v>1818</v>
      </c>
      <c r="H22" s="46" t="s">
        <v>1820</v>
      </c>
      <c r="I22" s="53">
        <v>46192</v>
      </c>
      <c r="J22" s="46">
        <v>1</v>
      </c>
      <c r="K22" s="46" t="s">
        <v>279</v>
      </c>
      <c r="L22" s="101">
        <f>VLOOKUP($C22&amp;$E22,'Updated SES'!A:N,14,0)</f>
        <v>127.11702000000001</v>
      </c>
      <c r="M22" s="102">
        <f>VLOOKUP($K22,'Genre Penetration'!A:B,2,0)*VLOOKUP($C22&amp;$E22,'Updated SES'!A:I,9,0)</f>
        <v>0.30149999999999999</v>
      </c>
      <c r="N22" s="102">
        <f>VLOOKUP(K:K,'Genre Penetration'!A:C,3,0)*VLOOKUP($C22&amp;$E22,'Updated SES'!A:J,10,0)</f>
        <v>0.18149999999999999</v>
      </c>
      <c r="O22" s="102">
        <f>VLOOKUP($B22,'Language Penetration'!$B$1:$BL$14,MATCH('Compile data Working'!$H84,'Language Penetration'!$B$1:$BL$1,0),0)</f>
        <v>0.6</v>
      </c>
      <c r="P22" s="102" t="str">
        <f t="shared" ca="1" si="0"/>
        <v>39%</v>
      </c>
      <c r="Q22" s="101">
        <f t="shared" ca="1" si="1"/>
        <v>14.367019834440001</v>
      </c>
      <c r="R22" s="104">
        <f>VLOOKUP(D:D,ranking!W:X,2,0)</f>
        <v>0.6</v>
      </c>
      <c r="S22" s="59">
        <f t="shared" ca="1" si="2"/>
        <v>8.6202119006639997</v>
      </c>
      <c r="T22" s="101">
        <v>16.7447846190205</v>
      </c>
    </row>
    <row r="23" spans="1:20" x14ac:dyDescent="0.25">
      <c r="A23" s="46" t="s">
        <v>1057</v>
      </c>
      <c r="B23" s="46" t="s">
        <v>85</v>
      </c>
      <c r="C23" s="46" t="s">
        <v>1810</v>
      </c>
      <c r="D23" s="46" t="s">
        <v>456</v>
      </c>
      <c r="E23" s="46" t="s">
        <v>211</v>
      </c>
      <c r="F23" s="46" t="s">
        <v>1819</v>
      </c>
      <c r="G23" s="46" t="s">
        <v>1785</v>
      </c>
      <c r="H23" s="46" t="s">
        <v>19</v>
      </c>
      <c r="I23" s="53">
        <v>45983</v>
      </c>
      <c r="J23" s="124">
        <v>2</v>
      </c>
      <c r="K23" s="46" t="s">
        <v>1122</v>
      </c>
      <c r="L23" s="101">
        <f>VLOOKUP($C23&amp;$E23,'Updated SES'!A:N,14,0)</f>
        <v>127.11702000000001</v>
      </c>
      <c r="M23" s="102">
        <f>VLOOKUP($K23,'Genre Penetration'!A:B,2,0)*VLOOKUP($C23&amp;$E23,'Updated SES'!A:I,9,0)</f>
        <v>0.33499999999999996</v>
      </c>
      <c r="N23" s="102">
        <f>VLOOKUP(K:K,'Genre Penetration'!A:C,3,0)*VLOOKUP($C23&amp;$E23,'Updated SES'!A:J,10,0)</f>
        <v>0.16499999999999998</v>
      </c>
      <c r="O23" s="102">
        <f>VLOOKUP($B23,'Language Penetration'!$B$1:$BL$14,MATCH('Compile data Working'!$H85,'Language Penetration'!$B$1:$BL$1,0),0)</f>
        <v>0.20400000000000001</v>
      </c>
      <c r="P23" s="102" t="str">
        <f t="shared" ca="1" si="0"/>
        <v>34%</v>
      </c>
      <c r="Q23" s="101">
        <f t="shared" ca="1" si="1"/>
        <v>4.4084182536000007</v>
      </c>
      <c r="R23" s="104">
        <f>VLOOKUP(D:D,ranking!W:X,2,0)</f>
        <v>0.3</v>
      </c>
      <c r="S23" s="59">
        <f t="shared" ca="1" si="2"/>
        <v>1.3225254760800003</v>
      </c>
      <c r="T23" s="101">
        <v>16.6299481802534</v>
      </c>
    </row>
    <row r="24" spans="1:20" x14ac:dyDescent="0.25">
      <c r="A24" s="46" t="s">
        <v>1942</v>
      </c>
      <c r="B24" s="46" t="s">
        <v>85</v>
      </c>
      <c r="C24" s="46" t="s">
        <v>1810</v>
      </c>
      <c r="D24" s="46" t="s">
        <v>1012</v>
      </c>
      <c r="E24" s="46" t="s">
        <v>211</v>
      </c>
      <c r="F24" s="46" t="s">
        <v>215</v>
      </c>
      <c r="G24" s="46" t="s">
        <v>1891</v>
      </c>
      <c r="H24" s="46" t="s">
        <v>1058</v>
      </c>
      <c r="I24" s="53">
        <v>46216</v>
      </c>
      <c r="J24" s="124"/>
      <c r="K24" s="46" t="s">
        <v>1947</v>
      </c>
      <c r="L24" s="101">
        <f>VLOOKUP($C24&amp;$E24,'Updated SES'!A:N,14,0)</f>
        <v>127.11702000000001</v>
      </c>
      <c r="M24" s="102">
        <f>VLOOKUP($K24,'Genre Penetration'!A:B,2,0)*VLOOKUP($C24&amp;$E24,'Updated SES'!A:I,9,0)</f>
        <v>0.26799999999999996</v>
      </c>
      <c r="N24" s="102">
        <f>VLOOKUP(K:K,'Genre Penetration'!A:C,3,0)*VLOOKUP($C24&amp;$E24,'Updated SES'!A:J,10,0)</f>
        <v>0.19799999999999998</v>
      </c>
      <c r="O24" s="102">
        <f>VLOOKUP($B24,'Language Penetration'!$B$1:$BL$14,MATCH('Compile data Working'!$H16,'Language Penetration'!$B$1:$BL$1,0),0)</f>
        <v>0.26250000000000001</v>
      </c>
      <c r="P24" s="102" t="str">
        <f t="shared" ca="1" si="0"/>
        <v>1%</v>
      </c>
      <c r="Q24" s="101">
        <f t="shared" ca="1" si="1"/>
        <v>0.15549589471500003</v>
      </c>
      <c r="R24" s="104">
        <f>VLOOKUP(D:D,ranking!W:X,2,0)</f>
        <v>0.6</v>
      </c>
      <c r="S24" s="59">
        <f t="shared" ca="1" si="2"/>
        <v>9.3297536829000008E-2</v>
      </c>
      <c r="T24" s="101">
        <v>16.419063001670729</v>
      </c>
    </row>
    <row r="25" spans="1:20" x14ac:dyDescent="0.25">
      <c r="A25" s="46" t="s">
        <v>1057</v>
      </c>
      <c r="B25" s="46" t="s">
        <v>85</v>
      </c>
      <c r="C25" s="46" t="s">
        <v>123</v>
      </c>
      <c r="D25" s="46" t="s">
        <v>859</v>
      </c>
      <c r="E25" s="46" t="s">
        <v>211</v>
      </c>
      <c r="F25" s="46" t="s">
        <v>213</v>
      </c>
      <c r="G25" s="46" t="s">
        <v>1861</v>
      </c>
      <c r="H25" s="46" t="s">
        <v>1059</v>
      </c>
      <c r="I25" s="53">
        <v>46212</v>
      </c>
      <c r="J25" s="124">
        <v>4</v>
      </c>
      <c r="K25" s="46" t="s">
        <v>92</v>
      </c>
      <c r="L25" s="101">
        <f>VLOOKUP($C25&amp;$E25,'Updated SES'!A:N,14,0)</f>
        <v>55.459200000000003</v>
      </c>
      <c r="M25" s="102">
        <f>VLOOKUP($K25,'Genre Penetration'!A:B,2,0)*VLOOKUP($C25&amp;$E25,'Updated SES'!A:I,9,0)</f>
        <v>0.25969999999999999</v>
      </c>
      <c r="N25" s="102">
        <f>VLOOKUP(K:K,'Genre Penetration'!A:C,3,0)*VLOOKUP($C25&amp;$E25,'Updated SES'!A:J,10,0)</f>
        <v>0.2397</v>
      </c>
      <c r="O25" s="102">
        <f>VLOOKUP($B25,'Language Penetration'!$B$1:$BL$14,MATCH('Compile data Working'!$H92,'Language Penetration'!$B$1:$BL$1,0),0)</f>
        <v>0.27166666666666667</v>
      </c>
      <c r="P25" s="102" t="str">
        <f t="shared" ca="1" si="0"/>
        <v>23%</v>
      </c>
      <c r="Q25" s="101">
        <f t="shared" ca="1" si="1"/>
        <v>1.7305586745919999</v>
      </c>
      <c r="R25" s="104">
        <f>VLOOKUP(D:D,ranking!W:X,2,0)</f>
        <v>0.7</v>
      </c>
      <c r="S25" s="59">
        <f t="shared" ca="1" si="2"/>
        <v>1.2113910722143999</v>
      </c>
      <c r="T25" s="101">
        <v>16.289302000027799</v>
      </c>
    </row>
    <row r="26" spans="1:20" x14ac:dyDescent="0.25">
      <c r="A26" s="46" t="s">
        <v>1057</v>
      </c>
      <c r="B26" s="46" t="s">
        <v>85</v>
      </c>
      <c r="C26" s="46" t="s">
        <v>123</v>
      </c>
      <c r="D26" s="46" t="s">
        <v>859</v>
      </c>
      <c r="E26" s="46" t="s">
        <v>211</v>
      </c>
      <c r="F26" s="46" t="s">
        <v>213</v>
      </c>
      <c r="G26" s="46" t="s">
        <v>1842</v>
      </c>
      <c r="H26" s="46" t="s">
        <v>1058</v>
      </c>
      <c r="I26" s="53">
        <v>46198</v>
      </c>
      <c r="J26" s="124">
        <v>6</v>
      </c>
      <c r="K26" s="46" t="s">
        <v>92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0.25969999999999999</v>
      </c>
      <c r="N26" s="102">
        <f>VLOOKUP(K:K,'Genre Penetration'!A:C,3,0)*VLOOKUP($C26&amp;$E26,'Updated SES'!A:J,10,0)</f>
        <v>0.2397</v>
      </c>
      <c r="O26" s="102">
        <f>VLOOKUP($B26,'Language Penetration'!$B$1:$BL$14,MATCH('Compile data Working'!$H94,'Language Penetration'!$B$1:$BL$1,0),0)</f>
        <v>0.6</v>
      </c>
      <c r="P26" s="102" t="str">
        <f t="shared" ca="1" si="0"/>
        <v>10%</v>
      </c>
      <c r="Q26" s="101">
        <f t="shared" ca="1" si="1"/>
        <v>1.6617794687999998</v>
      </c>
      <c r="R26" s="104">
        <f>VLOOKUP(D:D,ranking!W:X,2,0)</f>
        <v>0.7</v>
      </c>
      <c r="S26" s="59">
        <f t="shared" ca="1" si="2"/>
        <v>1.1632456281599999</v>
      </c>
      <c r="T26" s="101">
        <v>16.178457138072119</v>
      </c>
    </row>
    <row r="27" spans="1:20" x14ac:dyDescent="0.25">
      <c r="A27" s="46" t="s">
        <v>1942</v>
      </c>
      <c r="B27" s="46" t="s">
        <v>85</v>
      </c>
      <c r="C27" s="46" t="s">
        <v>64</v>
      </c>
      <c r="D27" s="46" t="s">
        <v>1012</v>
      </c>
      <c r="E27" s="46" t="s">
        <v>211</v>
      </c>
      <c r="F27" s="46" t="s">
        <v>215</v>
      </c>
      <c r="G27" s="46" t="s">
        <v>1900</v>
      </c>
      <c r="H27" s="46" t="s">
        <v>1432</v>
      </c>
      <c r="I27" s="53">
        <v>46218</v>
      </c>
      <c r="J27" s="124"/>
      <c r="K27" s="46" t="s">
        <v>62</v>
      </c>
      <c r="L27" s="101">
        <f>VLOOKUP($C27&amp;$E27,'Updated SES'!A:N,14,0)</f>
        <v>36.498239999999996</v>
      </c>
      <c r="M27" s="102">
        <f>VLOOKUP($K27,'Genre Penetration'!A:B,2,0)*VLOOKUP($C27&amp;$E27,'Updated SES'!A:I,9,0)</f>
        <v>0.30159999999999998</v>
      </c>
      <c r="N27" s="102">
        <f>VLOOKUP(K:K,'Genre Penetration'!A:C,3,0)*VLOOKUP($C27&amp;$E27,'Updated SES'!A:J,10,0)</f>
        <v>0.20159999999999997</v>
      </c>
      <c r="O27" s="102">
        <f>VLOOKUP($B27,'Language Penetration'!$B$1:$BL$14,MATCH('Compile data Working'!$H25,'Language Penetration'!$B$1:$BL$1,0),0)</f>
        <v>0.10500000000000001</v>
      </c>
      <c r="P27" s="102" t="str">
        <f t="shared" ca="1" si="0"/>
        <v>1%</v>
      </c>
      <c r="Q27" s="101">
        <f t="shared" ca="1" si="1"/>
        <v>1.9284210086400001E-2</v>
      </c>
      <c r="R27" s="104">
        <f>VLOOKUP(D:D,ranking!W:X,2,0)</f>
        <v>0.6</v>
      </c>
      <c r="S27" s="59">
        <f t="shared" ca="1" si="2"/>
        <v>1.157052605184E-2</v>
      </c>
      <c r="T27" s="101">
        <v>16.0410734471638</v>
      </c>
    </row>
    <row r="28" spans="1:20" x14ac:dyDescent="0.25">
      <c r="A28" s="46" t="s">
        <v>1942</v>
      </c>
      <c r="B28" s="46" t="s">
        <v>85</v>
      </c>
      <c r="C28" s="46" t="s">
        <v>123</v>
      </c>
      <c r="D28" s="46" t="s">
        <v>859</v>
      </c>
      <c r="E28" s="46" t="s">
        <v>211</v>
      </c>
      <c r="F28" s="46" t="s">
        <v>213</v>
      </c>
      <c r="G28" s="46" t="s">
        <v>1923</v>
      </c>
      <c r="H28" s="46" t="s">
        <v>1794</v>
      </c>
      <c r="I28" s="53">
        <v>46220</v>
      </c>
      <c r="J28" s="124"/>
      <c r="K28" s="46" t="s">
        <v>173</v>
      </c>
      <c r="L28" s="101">
        <f>VLOOKUP($C28&amp;$E28,'Updated SES'!A:N,14,0)</f>
        <v>55.459200000000003</v>
      </c>
      <c r="M28" s="102">
        <f>VLOOKUP($K28,'Genre Penetration'!A:B,2,0)*VLOOKUP($C28&amp;$E28,'Updated SES'!A:I,9,0)</f>
        <v>0.26950000000000002</v>
      </c>
      <c r="N28" s="102">
        <f>VLOOKUP(K:K,'Genre Penetration'!A:C,3,0)*VLOOKUP($C28&amp;$E28,'Updated SES'!A:J,10,0)</f>
        <v>0.22950000000000001</v>
      </c>
      <c r="O28" s="102">
        <f>VLOOKUP($B28,'Language Penetration'!$B$1:$BL$14,MATCH('Compile data Working'!$H48,'Language Penetration'!$B$1:$BL$1,0),0)</f>
        <v>0.26250000000000001</v>
      </c>
      <c r="P28" s="102" t="str">
        <f t="shared" ca="1" si="0"/>
        <v>1%</v>
      </c>
      <c r="Q28" s="101">
        <f t="shared" ca="1" si="1"/>
        <v>7.2644619600000002E-2</v>
      </c>
      <c r="R28" s="104">
        <f>VLOOKUP(D:D,ranking!W:X,2,0)</f>
        <v>0.7</v>
      </c>
      <c r="S28" s="59">
        <f t="shared" ca="1" si="2"/>
        <v>5.085123372E-2</v>
      </c>
      <c r="T28" s="101">
        <v>15.872473009758799</v>
      </c>
    </row>
    <row r="29" spans="1:20" x14ac:dyDescent="0.25">
      <c r="A29" s="46" t="s">
        <v>1057</v>
      </c>
      <c r="B29" s="46" t="s">
        <v>85</v>
      </c>
      <c r="C29" s="46" t="s">
        <v>1810</v>
      </c>
      <c r="D29" s="46" t="s">
        <v>859</v>
      </c>
      <c r="E29" s="46" t="s">
        <v>211</v>
      </c>
      <c r="F29" s="46" t="s">
        <v>213</v>
      </c>
      <c r="G29" s="46" t="s">
        <v>1814</v>
      </c>
      <c r="H29" s="46" t="s">
        <v>1058</v>
      </c>
      <c r="I29" s="53">
        <v>46177</v>
      </c>
      <c r="J29" s="124">
        <v>7</v>
      </c>
      <c r="K29" s="46" t="s">
        <v>90</v>
      </c>
      <c r="L29" s="101">
        <f>VLOOKUP($C29&amp;$E29,'Updated SES'!A:N,14,0)</f>
        <v>127.11702000000001</v>
      </c>
      <c r="M29" s="102">
        <f>VLOOKUP($K29,'Genre Penetration'!A:B,2,0)*VLOOKUP($C29&amp;$E29,'Updated SES'!A:I,9,0)</f>
        <v>0.48239999999999994</v>
      </c>
      <c r="N29" s="102">
        <f>VLOOKUP(K:K,'Genre Penetration'!A:C,3,0)*VLOOKUP($C29&amp;$E29,'Updated SES'!A:J,10,0)</f>
        <v>9.2399999999999996E-2</v>
      </c>
      <c r="O29" s="102">
        <f>VLOOKUP($B29,'Language Penetration'!$B$1:$BL$14,MATCH('Compile data Working'!$H89,'Language Penetration'!$B$1:$BL$1,0),0)</f>
        <v>0.6</v>
      </c>
      <c r="P29" s="102" t="str">
        <f t="shared" ca="1" si="0"/>
        <v>9%</v>
      </c>
      <c r="Q29" s="101">
        <f t="shared" ca="1" si="1"/>
        <v>3.9456106071839998</v>
      </c>
      <c r="R29" s="104">
        <f>VLOOKUP(D:D,ranking!W:X,2,0)</f>
        <v>0.7</v>
      </c>
      <c r="S29" s="59">
        <f t="shared" ca="1" si="2"/>
        <v>2.7619274250287997</v>
      </c>
      <c r="T29" s="101">
        <v>15.59692656643095</v>
      </c>
    </row>
    <row r="30" spans="1:20" x14ac:dyDescent="0.25">
      <c r="A30" s="46" t="s">
        <v>1057</v>
      </c>
      <c r="B30" s="46" t="s">
        <v>85</v>
      </c>
      <c r="C30" s="46" t="s">
        <v>123</v>
      </c>
      <c r="D30" s="46" t="s">
        <v>859</v>
      </c>
      <c r="E30" s="46" t="s">
        <v>211</v>
      </c>
      <c r="F30" s="46" t="s">
        <v>213</v>
      </c>
      <c r="G30" s="46" t="s">
        <v>1851</v>
      </c>
      <c r="H30" s="46" t="s">
        <v>19</v>
      </c>
      <c r="I30" s="53">
        <v>46206</v>
      </c>
      <c r="J30" s="124">
        <v>5</v>
      </c>
      <c r="K30" s="46" t="s">
        <v>145</v>
      </c>
      <c r="L30" s="101">
        <f>VLOOKUP($C30&amp;$E30,'Updated SES'!A:N,14,0)</f>
        <v>55.459200000000003</v>
      </c>
      <c r="M30" s="102">
        <f>VLOOKUP($K30,'Genre Penetration'!A:B,2,0)*VLOOKUP($C30&amp;$E30,'Updated SES'!A:I,9,0)</f>
        <v>0.18129999999999999</v>
      </c>
      <c r="N30" s="102">
        <f>VLOOKUP(K:K,'Genre Penetration'!A:C,3,0)*VLOOKUP($C30&amp;$E30,'Updated SES'!A:J,10,0)</f>
        <v>0.32130000000000003</v>
      </c>
      <c r="O30" s="102">
        <f>VLOOKUP($B30,'Language Penetration'!$B$1:$BL$14,MATCH('Compile data Working'!$H93,'Language Penetration'!$B$1:$BL$1,0),0)</f>
        <v>0.20333333333333337</v>
      </c>
      <c r="P30" s="102" t="str">
        <f t="shared" ca="1" si="0"/>
        <v>20%</v>
      </c>
      <c r="Q30" s="101">
        <f t="shared" ca="1" si="1"/>
        <v>1.1335342860800004</v>
      </c>
      <c r="R30" s="104">
        <f>VLOOKUP(D:D,ranking!W:X,2,0)</f>
        <v>0.7</v>
      </c>
      <c r="S30" s="59">
        <f t="shared" ca="1" si="2"/>
        <v>0.79347400025600023</v>
      </c>
      <c r="T30" s="101">
        <v>15.3974729800878</v>
      </c>
    </row>
    <row r="31" spans="1:20" x14ac:dyDescent="0.25">
      <c r="A31" s="46" t="s">
        <v>1942</v>
      </c>
      <c r="B31" s="46" t="s">
        <v>85</v>
      </c>
      <c r="C31" s="46" t="s">
        <v>123</v>
      </c>
      <c r="D31" s="46" t="s">
        <v>1012</v>
      </c>
      <c r="E31" s="46" t="s">
        <v>211</v>
      </c>
      <c r="F31" s="46" t="s">
        <v>215</v>
      </c>
      <c r="G31" s="46" t="s">
        <v>1895</v>
      </c>
      <c r="H31" s="46" t="s">
        <v>1794</v>
      </c>
      <c r="I31" s="53">
        <v>46217</v>
      </c>
      <c r="J31" s="124"/>
      <c r="K31" s="46" t="s">
        <v>158</v>
      </c>
      <c r="L31" s="101">
        <f>VLOOKUP($C31&amp;$E31,'Updated SES'!A:N,14,0)</f>
        <v>55.459200000000003</v>
      </c>
      <c r="M31" s="102">
        <f>VLOOKUP($K31,'Genre Penetration'!A:B,2,0)*VLOOKUP($C31&amp;$E31,'Updated SES'!A:I,9,0)</f>
        <v>0.2205</v>
      </c>
      <c r="N31" s="102">
        <f>VLOOKUP(K:K,'Genre Penetration'!A:C,3,0)*VLOOKUP($C31&amp;$E31,'Updated SES'!A:J,10,0)</f>
        <v>0.28050000000000003</v>
      </c>
      <c r="O31" s="102">
        <f>VLOOKUP($B31,'Language Penetration'!$B$1:$BL$14,MATCH('Compile data Working'!$H20,'Language Penetration'!$B$1:$BL$1,0),0)</f>
        <v>0.6</v>
      </c>
      <c r="P31" s="102" t="str">
        <f t="shared" ca="1" si="0"/>
        <v>1%</v>
      </c>
      <c r="Q31" s="101">
        <f t="shared" ca="1" si="1"/>
        <v>0.16671035519999999</v>
      </c>
      <c r="R31" s="104">
        <f>VLOOKUP(D:D,ranking!W:X,2,0)</f>
        <v>0.6</v>
      </c>
      <c r="S31" s="59">
        <f t="shared" ca="1" si="2"/>
        <v>0.10002621312</v>
      </c>
      <c r="T31" s="101">
        <v>15.279653963734779</v>
      </c>
    </row>
    <row r="32" spans="1:20" x14ac:dyDescent="0.25">
      <c r="A32" s="46" t="s">
        <v>1942</v>
      </c>
      <c r="B32" s="46" t="s">
        <v>85</v>
      </c>
      <c r="C32" s="46" t="s">
        <v>123</v>
      </c>
      <c r="D32" s="46" t="s">
        <v>1012</v>
      </c>
      <c r="E32" s="46" t="s">
        <v>211</v>
      </c>
      <c r="F32" s="46" t="s">
        <v>215</v>
      </c>
      <c r="G32" s="46" t="s">
        <v>1941</v>
      </c>
      <c r="H32" s="46" t="s">
        <v>77</v>
      </c>
      <c r="I32" s="53">
        <v>46220</v>
      </c>
      <c r="J32" s="46"/>
      <c r="K32" s="46" t="s">
        <v>1416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0.28909999999999997</v>
      </c>
      <c r="N32" s="102">
        <f>VLOOKUP(K:K,'Genre Penetration'!A:C,3,0)*VLOOKUP($C32&amp;$E32,'Updated SES'!A:J,10,0)</f>
        <v>0.20909999999999998</v>
      </c>
      <c r="O32" s="102">
        <f>VLOOKUP($B32,'Language Penetration'!$B$1:$BL$14,MATCH('Compile data Working'!$H66,'Language Penetration'!$B$1:$BL$1,0),0)</f>
        <v>0.2</v>
      </c>
      <c r="P32" s="102" t="str">
        <f t="shared" ca="1" si="0"/>
        <v>2%</v>
      </c>
      <c r="Q32" s="101">
        <f t="shared" ca="1" si="1"/>
        <v>0.11051909376000002</v>
      </c>
      <c r="R32" s="104">
        <f>VLOOKUP(D:D,ranking!W:X,2,0)</f>
        <v>0.6</v>
      </c>
      <c r="S32" s="59">
        <f t="shared" ca="1" si="2"/>
        <v>6.6311456256000004E-2</v>
      </c>
      <c r="T32" s="101">
        <v>15.211754914361199</v>
      </c>
    </row>
    <row r="33" spans="1:20" x14ac:dyDescent="0.25">
      <c r="A33" s="46" t="s">
        <v>1057</v>
      </c>
      <c r="B33" s="46" t="s">
        <v>85</v>
      </c>
      <c r="C33" s="46" t="s">
        <v>64</v>
      </c>
      <c r="D33" s="46" t="s">
        <v>431</v>
      </c>
      <c r="E33" s="46" t="s">
        <v>211</v>
      </c>
      <c r="F33" s="46" t="s">
        <v>215</v>
      </c>
      <c r="G33" s="46" t="s">
        <v>1813</v>
      </c>
      <c r="H33" s="46" t="s">
        <v>40</v>
      </c>
      <c r="I33" s="53">
        <v>46185</v>
      </c>
      <c r="J33" s="124">
        <v>4</v>
      </c>
      <c r="K33" s="46" t="s">
        <v>202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0.37440000000000001</v>
      </c>
      <c r="N33" s="102">
        <f>VLOOKUP(K:K,'Genre Penetration'!A:C,3,0)*VLOOKUP($C33&amp;$E33,'Updated SES'!A:J,10,0)</f>
        <v>0.13440000000000002</v>
      </c>
      <c r="O33" s="102">
        <f>VLOOKUP($B33,'Language Penetration'!$B$1:$BL$14,MATCH('Compile data Working'!$H78,'Language Penetration'!$B$1:$BL$1,0),0)</f>
        <v>0.1</v>
      </c>
      <c r="P33" s="102" t="str">
        <f t="shared" ca="1" si="0"/>
        <v>22%</v>
      </c>
      <c r="Q33" s="101">
        <f t="shared" ca="1" si="1"/>
        <v>0.408546699264</v>
      </c>
      <c r="R33" s="104">
        <f>VLOOKUP(D:D,ranking!W:X,2,0)</f>
        <v>0.6</v>
      </c>
      <c r="S33" s="59">
        <f t="shared" ca="1" si="2"/>
        <v>0.2451280195584</v>
      </c>
      <c r="T33" s="101">
        <v>15.170754808130926</v>
      </c>
    </row>
    <row r="34" spans="1:20" x14ac:dyDescent="0.25">
      <c r="A34" s="46" t="s">
        <v>1942</v>
      </c>
      <c r="B34" s="46" t="s">
        <v>85</v>
      </c>
      <c r="C34" s="46" t="s">
        <v>123</v>
      </c>
      <c r="D34" s="46" t="s">
        <v>1012</v>
      </c>
      <c r="E34" s="46" t="s">
        <v>211</v>
      </c>
      <c r="F34" s="46" t="s">
        <v>215</v>
      </c>
      <c r="G34" s="46" t="s">
        <v>1936</v>
      </c>
      <c r="H34" s="46" t="s">
        <v>1224</v>
      </c>
      <c r="I34" s="53">
        <v>46220</v>
      </c>
      <c r="J34" s="124"/>
      <c r="K34" s="46" t="s">
        <v>172</v>
      </c>
      <c r="L34" s="101">
        <f>VLOOKUP($C34&amp;$E34,'Updated SES'!A:N,14,0)</f>
        <v>55.459200000000003</v>
      </c>
      <c r="M34" s="102">
        <f>VLOOKUP($K34,'Genre Penetration'!A:B,2,0)*VLOOKUP($C34&amp;$E34,'Updated SES'!A:I,9,0)</f>
        <v>0.19600000000000001</v>
      </c>
      <c r="N34" s="102">
        <f>VLOOKUP(K:K,'Genre Penetration'!A:C,3,0)*VLOOKUP($C34&amp;$E34,'Updated SES'!A:J,10,0)</f>
        <v>0.30599999999999999</v>
      </c>
      <c r="O34" s="102">
        <f>VLOOKUP($B34,'Language Penetration'!$B$1:$BL$14,MATCH('Compile data Working'!$H61,'Language Penetration'!$B$1:$BL$1,0),0)</f>
        <v>0.2</v>
      </c>
      <c r="P34" s="102" t="str">
        <f t="shared" ca="1" si="0"/>
        <v>2%</v>
      </c>
      <c r="Q34" s="101">
        <f t="shared" ca="1" si="1"/>
        <v>0.1113620736</v>
      </c>
      <c r="R34" s="104">
        <f>VLOOKUP(D:D,ranking!W:X,2,0)</f>
        <v>0.6</v>
      </c>
      <c r="S34" s="59">
        <f t="shared" ca="1" si="2"/>
        <v>6.6817244159999997E-2</v>
      </c>
      <c r="T34" s="101">
        <v>14.920132693999843</v>
      </c>
    </row>
    <row r="35" spans="1:20" x14ac:dyDescent="0.25">
      <c r="A35" s="46" t="s">
        <v>1942</v>
      </c>
      <c r="B35" s="46" t="s">
        <v>85</v>
      </c>
      <c r="C35" s="46" t="s">
        <v>123</v>
      </c>
      <c r="D35" s="46" t="s">
        <v>1012</v>
      </c>
      <c r="E35" s="46" t="s">
        <v>211</v>
      </c>
      <c r="F35" s="46" t="s">
        <v>215</v>
      </c>
      <c r="G35" s="46" t="s">
        <v>1917</v>
      </c>
      <c r="H35" s="46" t="s">
        <v>20</v>
      </c>
      <c r="I35" s="53">
        <v>46219</v>
      </c>
      <c r="J35" s="124"/>
      <c r="K35" s="46" t="s">
        <v>216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0.245</v>
      </c>
      <c r="N35" s="102">
        <f>VLOOKUP(K:K,'Genre Penetration'!A:C,3,0)*VLOOKUP($C35&amp;$E35,'Updated SES'!A:J,10,0)</f>
        <v>0.255</v>
      </c>
      <c r="O35" s="102">
        <f>VLOOKUP($B35,'Language Penetration'!$B$1:$BL$14,MATCH('Compile data Working'!$H42,'Language Penetration'!$B$1:$BL$1,0),0)</f>
        <v>0.20400000000000001</v>
      </c>
      <c r="P35" s="102" t="str">
        <f t="shared" ca="1" si="0"/>
        <v>2%</v>
      </c>
      <c r="Q35" s="101">
        <f t="shared" ca="1" si="1"/>
        <v>0.11313676800000001</v>
      </c>
      <c r="R35" s="104">
        <f>VLOOKUP(D:D,ranking!W:X,2,0)</f>
        <v>0.6</v>
      </c>
      <c r="S35" s="59">
        <f t="shared" ca="1" si="2"/>
        <v>6.7882060800000005E-2</v>
      </c>
      <c r="T35" s="101">
        <v>14.740372059132374</v>
      </c>
    </row>
    <row r="36" spans="1:20" x14ac:dyDescent="0.25">
      <c r="A36" s="46" t="s">
        <v>1942</v>
      </c>
      <c r="B36" s="46" t="s">
        <v>85</v>
      </c>
      <c r="C36" s="46" t="s">
        <v>123</v>
      </c>
      <c r="D36" s="46" t="s">
        <v>1012</v>
      </c>
      <c r="E36" s="46" t="s">
        <v>211</v>
      </c>
      <c r="F36" s="46" t="s">
        <v>215</v>
      </c>
      <c r="G36" s="53" t="s">
        <v>1904</v>
      </c>
      <c r="H36" s="46" t="s">
        <v>1794</v>
      </c>
      <c r="I36" s="53">
        <v>46218</v>
      </c>
      <c r="J36" s="124"/>
      <c r="K36" s="46" t="s">
        <v>1947</v>
      </c>
      <c r="L36" s="101">
        <f>VLOOKUP($C36&amp;$E36,'Updated SES'!A:N,14,0)</f>
        <v>55.459200000000003</v>
      </c>
      <c r="M36" s="102">
        <f>VLOOKUP($K36,'Genre Penetration'!A:B,2,0)*VLOOKUP($C36&amp;$E36,'Updated SES'!A:I,9,0)</f>
        <v>0.19600000000000001</v>
      </c>
      <c r="N36" s="102">
        <f>VLOOKUP(K:K,'Genre Penetration'!A:C,3,0)*VLOOKUP($C36&amp;$E36,'Updated SES'!A:J,10,0)</f>
        <v>0.30599999999999999</v>
      </c>
      <c r="O36" s="102">
        <f>VLOOKUP($B36,'Language Penetration'!$B$1:$BL$14,MATCH('Compile data Working'!$H29,'Language Penetration'!$B$1:$BL$1,0),0)</f>
        <v>0.20400000000000001</v>
      </c>
      <c r="P36" s="102" t="str">
        <f t="shared" ca="1" si="0"/>
        <v>1%</v>
      </c>
      <c r="Q36" s="101">
        <f t="shared" ca="1" si="1"/>
        <v>5.6794657536000007E-2</v>
      </c>
      <c r="R36" s="104">
        <f>VLOOKUP(D:D,ranking!W:X,2,0)</f>
        <v>0.6</v>
      </c>
      <c r="S36" s="59">
        <f t="shared" ca="1" si="2"/>
        <v>3.40767945216E-2</v>
      </c>
      <c r="T36" s="101">
        <v>14.476063486746799</v>
      </c>
    </row>
    <row r="37" spans="1:20" x14ac:dyDescent="0.25">
      <c r="A37" s="46" t="s">
        <v>1942</v>
      </c>
      <c r="B37" s="46" t="s">
        <v>85</v>
      </c>
      <c r="C37" s="46" t="s">
        <v>123</v>
      </c>
      <c r="D37" s="46" t="s">
        <v>1012</v>
      </c>
      <c r="E37" s="46" t="s">
        <v>211</v>
      </c>
      <c r="F37" s="46" t="s">
        <v>215</v>
      </c>
      <c r="G37" s="46" t="s">
        <v>1916</v>
      </c>
      <c r="H37" s="46" t="s">
        <v>77</v>
      </c>
      <c r="I37" s="53">
        <v>46219</v>
      </c>
      <c r="J37" s="124"/>
      <c r="K37" s="46" t="s">
        <v>124</v>
      </c>
      <c r="L37" s="101">
        <f>VLOOKUP($C37&amp;$E37,'Updated SES'!A:N,14,0)</f>
        <v>55.459200000000003</v>
      </c>
      <c r="M37" s="102">
        <f>VLOOKUP($K37,'Genre Penetration'!A:B,2,0)*VLOOKUP($C37&amp;$E37,'Updated SES'!A:I,9,0)</f>
        <v>0.2205</v>
      </c>
      <c r="N37" s="102">
        <f>VLOOKUP(K:K,'Genre Penetration'!A:C,3,0)*VLOOKUP($C37&amp;$E37,'Updated SES'!A:J,10,0)</f>
        <v>0.28050000000000003</v>
      </c>
      <c r="O37" s="102">
        <f>VLOOKUP($B37,'Language Penetration'!$B$1:$BL$14,MATCH('Compile data Working'!$H41,'Language Penetration'!$B$1:$BL$1,0),0)</f>
        <v>0.20333333333333337</v>
      </c>
      <c r="P37" s="102" t="str">
        <f t="shared" ref="P37:P68" ca="1" si="3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2%</v>
      </c>
      <c r="Q37" s="101">
        <f t="shared" ref="Q37:Q68" ca="1" si="4">IFERROR(L37*(M37+N37)*O37*P37,RANDBETWEEN(1,2)%*L37*(M37+N37)*O37)</f>
        <v>0.11299257408000003</v>
      </c>
      <c r="R37" s="104">
        <f>VLOOKUP(D:D,ranking!W:X,2,0)</f>
        <v>0.6</v>
      </c>
      <c r="S37" s="59">
        <f t="shared" ref="S37:S68" ca="1" si="5">R37*Q37</f>
        <v>6.7795544448000011E-2</v>
      </c>
      <c r="T37" s="101">
        <v>14.1355847564817</v>
      </c>
    </row>
    <row r="38" spans="1:20" x14ac:dyDescent="0.25">
      <c r="A38" s="46" t="s">
        <v>1942</v>
      </c>
      <c r="B38" s="46" t="s">
        <v>85</v>
      </c>
      <c r="C38" s="46" t="s">
        <v>123</v>
      </c>
      <c r="D38" s="46" t="s">
        <v>1012</v>
      </c>
      <c r="E38" s="46" t="s">
        <v>211</v>
      </c>
      <c r="F38" s="46" t="s">
        <v>215</v>
      </c>
      <c r="G38" s="53" t="s">
        <v>1902</v>
      </c>
      <c r="H38" s="46" t="s">
        <v>77</v>
      </c>
      <c r="I38" s="53">
        <v>46218</v>
      </c>
      <c r="J38" s="124"/>
      <c r="K38" s="46" t="s">
        <v>216</v>
      </c>
      <c r="L38" s="101">
        <f>VLOOKUP($C38&amp;$E38,'Updated SES'!A:N,14,0)</f>
        <v>55.459200000000003</v>
      </c>
      <c r="M38" s="102">
        <f>VLOOKUP($K38,'Genre Penetration'!A:B,2,0)*VLOOKUP($C38&amp;$E38,'Updated SES'!A:I,9,0)</f>
        <v>0.245</v>
      </c>
      <c r="N38" s="102">
        <f>VLOOKUP(K:K,'Genre Penetration'!A:C,3,0)*VLOOKUP($C38&amp;$E38,'Updated SES'!A:J,10,0)</f>
        <v>0.255</v>
      </c>
      <c r="O38" s="102">
        <f>VLOOKUP($B38,'Language Penetration'!$B$1:$BL$14,MATCH('Compile data Working'!$H27,'Language Penetration'!$B$1:$BL$1,0),0)</f>
        <v>0.20333333333333337</v>
      </c>
      <c r="P38" s="102" t="str">
        <f t="shared" ca="1" si="3"/>
        <v>2%</v>
      </c>
      <c r="Q38" s="101">
        <f t="shared" ca="1" si="4"/>
        <v>0.11276704000000003</v>
      </c>
      <c r="R38" s="104">
        <f>VLOOKUP(D:D,ranking!W:X,2,0)</f>
        <v>0.6</v>
      </c>
      <c r="S38" s="59">
        <f t="shared" ca="1" si="5"/>
        <v>6.7660224000000019E-2</v>
      </c>
      <c r="T38" s="101">
        <v>13.773669835421501</v>
      </c>
    </row>
    <row r="39" spans="1:20" x14ac:dyDescent="0.25">
      <c r="A39" s="46" t="s">
        <v>1942</v>
      </c>
      <c r="B39" s="46" t="s">
        <v>85</v>
      </c>
      <c r="C39" s="46" t="s">
        <v>1810</v>
      </c>
      <c r="D39" s="46" t="s">
        <v>1012</v>
      </c>
      <c r="E39" s="46" t="s">
        <v>211</v>
      </c>
      <c r="F39" s="46" t="s">
        <v>215</v>
      </c>
      <c r="G39" s="53" t="s">
        <v>1901</v>
      </c>
      <c r="H39" s="46" t="s">
        <v>20</v>
      </c>
      <c r="I39" s="53">
        <v>46218</v>
      </c>
      <c r="J39" s="125"/>
      <c r="K39" s="46" t="s">
        <v>398</v>
      </c>
      <c r="L39" s="101">
        <f>VLOOKUP($C39&amp;$E39,'Updated SES'!A:N,14,0)</f>
        <v>127.11702000000001</v>
      </c>
      <c r="M39" s="102">
        <f>VLOOKUP($K39,'Genre Penetration'!A:B,2,0)*VLOOKUP($C39&amp;$E39,'Updated SES'!A:I,9,0)</f>
        <v>0.33499999999999996</v>
      </c>
      <c r="N39" s="102">
        <f>VLOOKUP(K:K,'Genre Penetration'!A:C,3,0)*VLOOKUP($C39&amp;$E39,'Updated SES'!A:J,10,0)</f>
        <v>0.16499999999999998</v>
      </c>
      <c r="O39" s="102">
        <f>VLOOKUP($B39,'Language Penetration'!$B$1:$BL$14,MATCH('Compile data Working'!$H26,'Language Penetration'!$B$1:$BL$1,0),0)</f>
        <v>0.20400000000000001</v>
      </c>
      <c r="P39" s="102" t="str">
        <f t="shared" ca="1" si="3"/>
        <v>1%</v>
      </c>
      <c r="Q39" s="101">
        <f t="shared" ca="1" si="4"/>
        <v>0.12965936040000001</v>
      </c>
      <c r="R39" s="104">
        <f>VLOOKUP(D:D,ranking!W:X,2,0)</f>
        <v>0.6</v>
      </c>
      <c r="S39" s="59">
        <f t="shared" ca="1" si="5"/>
        <v>7.7795616240000004E-2</v>
      </c>
      <c r="T39" s="101">
        <v>13.682552501392273</v>
      </c>
    </row>
    <row r="40" spans="1:20" x14ac:dyDescent="0.25">
      <c r="A40" s="127" t="s">
        <v>1942</v>
      </c>
      <c r="B40" s="46" t="s">
        <v>85</v>
      </c>
      <c r="C40" s="127" t="s">
        <v>123</v>
      </c>
      <c r="D40" s="127" t="s">
        <v>859</v>
      </c>
      <c r="E40" s="46" t="s">
        <v>211</v>
      </c>
      <c r="F40" s="46" t="s">
        <v>213</v>
      </c>
      <c r="G40" s="46" t="s">
        <v>1945</v>
      </c>
      <c r="H40" s="46" t="s">
        <v>1794</v>
      </c>
      <c r="I40" s="53">
        <v>46219</v>
      </c>
      <c r="J40" s="51"/>
      <c r="K40" s="46" t="s">
        <v>46</v>
      </c>
      <c r="L40" s="101">
        <f>VLOOKUP($C40&amp;$E40,'Updated SES'!A:N,14,0)</f>
        <v>55.459200000000003</v>
      </c>
      <c r="M40" s="102">
        <f>VLOOKUP($K40,'Genre Penetration'!A:B,2,0)*VLOOKUP($C40&amp;$E40,'Updated SES'!A:I,9,0)</f>
        <v>0.34299999999999997</v>
      </c>
      <c r="N40" s="102">
        <f>VLOOKUP(K:K,'Genre Penetration'!A:C,3,0)*VLOOKUP($C40&amp;$E40,'Updated SES'!A:J,10,0)</f>
        <v>0.153</v>
      </c>
      <c r="O40" s="102">
        <f>VLOOKUP($B40,'Language Penetration'!$B$1:$BL$14,MATCH('Compile data Working'!$H145,'Language Penetration'!$B$1:$BL$1,0),0)</f>
        <v>0.1</v>
      </c>
      <c r="P40" s="102" t="str">
        <f t="shared" ca="1" si="3"/>
        <v>2%</v>
      </c>
      <c r="Q40" s="101">
        <f t="shared" ca="1" si="4"/>
        <v>5.50155264E-2</v>
      </c>
      <c r="R40" s="104">
        <f>VLOOKUP(D:D,ranking!W:X,2,0)</f>
        <v>0.7</v>
      </c>
      <c r="S40" s="59">
        <f t="shared" ca="1" si="5"/>
        <v>3.8510868479999995E-2</v>
      </c>
      <c r="T40" s="101">
        <v>13.631233168430199</v>
      </c>
    </row>
    <row r="41" spans="1:20" x14ac:dyDescent="0.25">
      <c r="A41" s="46" t="s">
        <v>1057</v>
      </c>
      <c r="B41" s="46" t="s">
        <v>85</v>
      </c>
      <c r="C41" s="46" t="s">
        <v>64</v>
      </c>
      <c r="D41" s="46" t="s">
        <v>859</v>
      </c>
      <c r="E41" s="124" t="s">
        <v>233</v>
      </c>
      <c r="F41" s="46" t="s">
        <v>213</v>
      </c>
      <c r="G41" s="53" t="s">
        <v>1854</v>
      </c>
      <c r="H41" s="46" t="s">
        <v>1432</v>
      </c>
      <c r="I41" s="53">
        <v>46206</v>
      </c>
      <c r="J41" s="124">
        <v>5</v>
      </c>
      <c r="K41" s="46" t="s">
        <v>1030</v>
      </c>
      <c r="L41" s="101">
        <f>VLOOKUP($C41&amp;$E41,'Updated SES'!A:N,14,0)</f>
        <v>4.6890000000000001</v>
      </c>
      <c r="M41" s="102">
        <f>VLOOKUP($K41,'Genre Penetration'!A:B,2,0)*VLOOKUP($C41&amp;$E41,'Updated SES'!A:I,9,0)</f>
        <v>0.40800000000000003</v>
      </c>
      <c r="N41" s="102">
        <f>VLOOKUP(K:K,'Genre Penetration'!A:C,3,0)*VLOOKUP($C41&amp;$E41,'Updated SES'!A:J,10,0)</f>
        <v>0.128</v>
      </c>
      <c r="O41" s="102">
        <f>VLOOKUP($B41,'Language Penetration'!$B$1:$BL$14,MATCH('Compile data Working'!$H79,'Language Penetration'!$B$1:$BL$1,0),0)</f>
        <v>0.6</v>
      </c>
      <c r="P41" s="102" t="str">
        <f t="shared" ca="1" si="3"/>
        <v>18%</v>
      </c>
      <c r="Q41" s="101">
        <f t="shared" ca="1" si="4"/>
        <v>0.27143683200000002</v>
      </c>
      <c r="R41" s="104">
        <f>VLOOKUP(D:D,ranking!W:X,2,0)</f>
        <v>0.7</v>
      </c>
      <c r="S41" s="59">
        <f t="shared" ca="1" si="5"/>
        <v>0.19000578239999999</v>
      </c>
      <c r="T41" s="101">
        <v>13.624902458741161</v>
      </c>
    </row>
    <row r="42" spans="1:20" x14ac:dyDescent="0.25">
      <c r="A42" s="46" t="s">
        <v>1057</v>
      </c>
      <c r="B42" s="46" t="s">
        <v>85</v>
      </c>
      <c r="C42" s="46" t="s">
        <v>123</v>
      </c>
      <c r="D42" s="46" t="s">
        <v>431</v>
      </c>
      <c r="E42" s="46" t="s">
        <v>211</v>
      </c>
      <c r="F42" s="46" t="s">
        <v>215</v>
      </c>
      <c r="G42" s="46" t="s">
        <v>1850</v>
      </c>
      <c r="H42" s="46" t="s">
        <v>1058</v>
      </c>
      <c r="I42" s="53">
        <v>46205</v>
      </c>
      <c r="J42" s="124">
        <v>3</v>
      </c>
      <c r="K42" s="46" t="s">
        <v>138</v>
      </c>
      <c r="L42" s="101">
        <f>VLOOKUP($C42&amp;$E42,'Updated SES'!A:N,14,0)</f>
        <v>55.459200000000003</v>
      </c>
      <c r="M42" s="102">
        <f>VLOOKUP($K42,'Genre Penetration'!A:B,2,0)*VLOOKUP($C42&amp;$E42,'Updated SES'!A:I,9,0)</f>
        <v>0.23029999999999998</v>
      </c>
      <c r="N42" s="102">
        <f>VLOOKUP(K:K,'Genre Penetration'!A:C,3,0)*VLOOKUP($C42&amp;$E42,'Updated SES'!A:J,10,0)</f>
        <v>0.27030000000000004</v>
      </c>
      <c r="O42" s="102">
        <f>VLOOKUP($B42,'Language Penetration'!$B$1:$BL$14,MATCH('Compile data Working'!$H99,'Language Penetration'!$B$1:$BL$1,0),0)</f>
        <v>0.6</v>
      </c>
      <c r="P42" s="102" t="str">
        <f t="shared" ca="1" si="3"/>
        <v>27%</v>
      </c>
      <c r="Q42" s="101">
        <f t="shared" ca="1" si="4"/>
        <v>4.4975858342400015</v>
      </c>
      <c r="R42" s="104">
        <f>VLOOKUP(D:D,ranking!W:X,2,0)</f>
        <v>0.6</v>
      </c>
      <c r="S42" s="59">
        <f t="shared" ca="1" si="5"/>
        <v>2.6985515005440006</v>
      </c>
      <c r="T42" s="101">
        <v>13.534027764409739</v>
      </c>
    </row>
    <row r="43" spans="1:20" x14ac:dyDescent="0.25">
      <c r="A43" s="46" t="s">
        <v>1942</v>
      </c>
      <c r="B43" s="46" t="s">
        <v>85</v>
      </c>
      <c r="C43" s="46" t="s">
        <v>1810</v>
      </c>
      <c r="D43" s="46" t="s">
        <v>859</v>
      </c>
      <c r="E43" s="46" t="s">
        <v>211</v>
      </c>
      <c r="F43" s="46" t="s">
        <v>213</v>
      </c>
      <c r="G43" s="46" t="s">
        <v>1928</v>
      </c>
      <c r="H43" s="46" t="s">
        <v>1059</v>
      </c>
      <c r="I43" s="53">
        <v>46220</v>
      </c>
      <c r="J43" s="124"/>
      <c r="K43" s="46" t="s">
        <v>97</v>
      </c>
      <c r="L43" s="101">
        <f>VLOOKUP($C43&amp;$E43,'Updated SES'!A:N,14,0)</f>
        <v>127.11702000000001</v>
      </c>
      <c r="M43" s="102">
        <f>VLOOKUP($K43,'Genre Penetration'!A:B,2,0)*VLOOKUP($C43&amp;$E43,'Updated SES'!A:I,9,0)</f>
        <v>0.4556</v>
      </c>
      <c r="N43" s="102">
        <f>VLOOKUP(K:K,'Genre Penetration'!A:C,3,0)*VLOOKUP($C43&amp;$E43,'Updated SES'!A:J,10,0)</f>
        <v>0.10559999999999999</v>
      </c>
      <c r="O43" s="102">
        <f>VLOOKUP($B43,'Language Penetration'!$B$1:$BL$14,MATCH('Compile data Working'!$H53,'Language Penetration'!$B$1:$BL$1,0),0)</f>
        <v>0.2</v>
      </c>
      <c r="P43" s="102" t="str">
        <f t="shared" ca="1" si="3"/>
        <v>2%</v>
      </c>
      <c r="Q43" s="101">
        <f t="shared" ca="1" si="4"/>
        <v>0.28535228649600003</v>
      </c>
      <c r="R43" s="104">
        <f>VLOOKUP(D:D,ranking!W:X,2,0)</f>
        <v>0.7</v>
      </c>
      <c r="S43" s="59">
        <f t="shared" ca="1" si="5"/>
        <v>0.1997466005472</v>
      </c>
      <c r="T43" s="101">
        <v>13.5068928349112</v>
      </c>
    </row>
    <row r="44" spans="1:20" x14ac:dyDescent="0.25">
      <c r="A44" s="46" t="s">
        <v>1057</v>
      </c>
      <c r="B44" s="46" t="s">
        <v>85</v>
      </c>
      <c r="C44" s="46" t="s">
        <v>64</v>
      </c>
      <c r="D44" s="46" t="s">
        <v>859</v>
      </c>
      <c r="E44" s="124" t="s">
        <v>211</v>
      </c>
      <c r="F44" s="46" t="s">
        <v>213</v>
      </c>
      <c r="G44" s="46" t="s">
        <v>1838</v>
      </c>
      <c r="H44" s="46" t="s">
        <v>1432</v>
      </c>
      <c r="I44" s="53">
        <v>46197</v>
      </c>
      <c r="J44" s="124">
        <v>6</v>
      </c>
      <c r="K44" s="46" t="s">
        <v>153</v>
      </c>
      <c r="L44" s="101">
        <f>VLOOKUP($C44&amp;$E44,'Updated SES'!A:N,14,0)</f>
        <v>36.498239999999996</v>
      </c>
      <c r="M44" s="102">
        <f>VLOOKUP($K44,'Genre Penetration'!A:B,2,0)*VLOOKUP($C44&amp;$E44,'Updated SES'!A:I,9,0)</f>
        <v>0.26</v>
      </c>
      <c r="N44" s="102">
        <f>VLOOKUP(K:K,'Genre Penetration'!A:C,3,0)*VLOOKUP($C44&amp;$E44,'Updated SES'!A:J,10,0)</f>
        <v>0.24</v>
      </c>
      <c r="O44" s="102">
        <f>VLOOKUP($B44,'Language Penetration'!$B$1:$BL$14,MATCH('Compile data Working'!$H80,'Language Penetration'!$B$1:$BL$1,0),0)</f>
        <v>0.6</v>
      </c>
      <c r="P44" s="102" t="str">
        <f t="shared" ca="1" si="3"/>
        <v>15%</v>
      </c>
      <c r="Q44" s="101">
        <f t="shared" ca="1" si="4"/>
        <v>1.6424207999999998</v>
      </c>
      <c r="R44" s="104">
        <f>VLOOKUP(D:D,ranking!W:X,2,0)</f>
        <v>0.7</v>
      </c>
      <c r="S44" s="59">
        <f t="shared" ca="1" si="5"/>
        <v>1.1496945599999997</v>
      </c>
      <c r="T44" s="101">
        <v>13.247606647255591</v>
      </c>
    </row>
    <row r="45" spans="1:20" x14ac:dyDescent="0.25">
      <c r="A45" s="46" t="s">
        <v>1942</v>
      </c>
      <c r="B45" s="46" t="s">
        <v>85</v>
      </c>
      <c r="C45" s="46" t="s">
        <v>64</v>
      </c>
      <c r="D45" s="46" t="s">
        <v>859</v>
      </c>
      <c r="E45" s="46" t="s">
        <v>233</v>
      </c>
      <c r="F45" s="46" t="s">
        <v>213</v>
      </c>
      <c r="G45" s="53" t="s">
        <v>1914</v>
      </c>
      <c r="H45" s="46" t="s">
        <v>1794</v>
      </c>
      <c r="I45" s="53">
        <v>46219</v>
      </c>
      <c r="J45" s="124"/>
      <c r="K45" s="46" t="s">
        <v>167</v>
      </c>
      <c r="L45" s="101">
        <f>VLOOKUP($C45&amp;$E45,'Updated SES'!A:N,14,0)</f>
        <v>4.6890000000000001</v>
      </c>
      <c r="M45" s="102">
        <f>VLOOKUP($K45,'Genre Penetration'!A:B,2,0)*VLOOKUP($C45&amp;$E45,'Updated SES'!A:I,9,0)</f>
        <v>0.45560000000000006</v>
      </c>
      <c r="N45" s="102">
        <f>VLOOKUP(K:K,'Genre Penetration'!A:C,3,0)*VLOOKUP($C45&amp;$E45,'Updated SES'!A:J,10,0)</f>
        <v>0.10560000000000001</v>
      </c>
      <c r="O45" s="102">
        <f>VLOOKUP($B45,'Language Penetration'!$B$1:$BL$14,MATCH('Compile data Working'!$H39,'Language Penetration'!$B$1:$BL$1,0),0)</f>
        <v>0.2</v>
      </c>
      <c r="P45" s="102" t="str">
        <f t="shared" ca="1" si="3"/>
        <v>1%</v>
      </c>
      <c r="Q45" s="101">
        <f t="shared" ca="1" si="4"/>
        <v>5.2629336000000002E-3</v>
      </c>
      <c r="R45" s="104">
        <f>VLOOKUP(D:D,ranking!W:X,2,0)</f>
        <v>0.7</v>
      </c>
      <c r="S45" s="59">
        <f t="shared" ca="1" si="5"/>
        <v>3.6840535199999997E-3</v>
      </c>
      <c r="T45" s="101">
        <v>13.215127950271844</v>
      </c>
    </row>
    <row r="46" spans="1:20" x14ac:dyDescent="0.25">
      <c r="A46" s="46" t="s">
        <v>1057</v>
      </c>
      <c r="B46" s="46" t="s">
        <v>85</v>
      </c>
      <c r="C46" s="46" t="s">
        <v>1229</v>
      </c>
      <c r="D46" s="46" t="s">
        <v>433</v>
      </c>
      <c r="E46" s="46" t="s">
        <v>219</v>
      </c>
      <c r="F46" s="46" t="s">
        <v>215</v>
      </c>
      <c r="G46" s="46" t="s">
        <v>1815</v>
      </c>
      <c r="H46" s="46" t="s">
        <v>19</v>
      </c>
      <c r="I46" s="53">
        <v>46191</v>
      </c>
      <c r="J46" s="46">
        <v>1</v>
      </c>
      <c r="K46" s="46" t="s">
        <v>202</v>
      </c>
      <c r="L46" s="101">
        <f>VLOOKUP($C46&amp;$E46,'Updated SES'!A:N,14,0)</f>
        <v>78.939870000000013</v>
      </c>
      <c r="M46" s="102">
        <f>VLOOKUP($K46,'Genre Penetration'!A:B,2,0)*VLOOKUP($C46&amp;$E46,'Updated SES'!A:I,9,0)</f>
        <v>0.57599999999999996</v>
      </c>
      <c r="N46" s="102">
        <f>VLOOKUP(K:K,'Genre Penetration'!A:C,3,0)*VLOOKUP($C46&amp;$E46,'Updated SES'!A:J,10,0)</f>
        <v>5.6000000000000008E-2</v>
      </c>
      <c r="O46" s="102">
        <f>VLOOKUP($B46,'Language Penetration'!$B$1:$BL$14,MATCH('Compile data Working'!$H67,'Language Penetration'!$B$1:$BL$1,0),0)</f>
        <v>7.0000000000000007E-2</v>
      </c>
      <c r="P46" s="102" t="str">
        <f t="shared" ca="1" si="3"/>
        <v>35%</v>
      </c>
      <c r="Q46" s="101">
        <f t="shared" ca="1" si="4"/>
        <v>1.2223049470800003</v>
      </c>
      <c r="R46" s="104">
        <f>VLOOKUP(D:D,ranking!W:X,2,0)</f>
        <v>0.6</v>
      </c>
      <c r="S46" s="59">
        <f t="shared" ca="1" si="5"/>
        <v>0.73338296824800009</v>
      </c>
      <c r="T46" s="101">
        <v>12.980823369057136</v>
      </c>
    </row>
    <row r="47" spans="1:20" x14ac:dyDescent="0.25">
      <c r="A47" s="46" t="s">
        <v>1942</v>
      </c>
      <c r="B47" s="46" t="s">
        <v>85</v>
      </c>
      <c r="C47" s="46" t="s">
        <v>64</v>
      </c>
      <c r="D47" s="46" t="s">
        <v>859</v>
      </c>
      <c r="E47" s="46" t="s">
        <v>211</v>
      </c>
      <c r="F47" s="46" t="s">
        <v>213</v>
      </c>
      <c r="G47" s="46" t="s">
        <v>1898</v>
      </c>
      <c r="H47" s="46" t="s">
        <v>1794</v>
      </c>
      <c r="I47" s="53">
        <v>46218</v>
      </c>
      <c r="J47" s="124"/>
      <c r="K47" s="46" t="s">
        <v>190</v>
      </c>
      <c r="L47" s="101">
        <f>VLOOKUP($C47&amp;$E47,'Updated SES'!A:N,14,0)</f>
        <v>36.498239999999996</v>
      </c>
      <c r="M47" s="102">
        <f>VLOOKUP($K47,'Genre Penetration'!A:B,2,0)*VLOOKUP($C47&amp;$E47,'Updated SES'!A:I,9,0)</f>
        <v>0.33800000000000002</v>
      </c>
      <c r="N47" s="102">
        <f>VLOOKUP(K:K,'Genre Penetration'!A:C,3,0)*VLOOKUP($C47&amp;$E47,'Updated SES'!A:J,10,0)</f>
        <v>0.16799999999999998</v>
      </c>
      <c r="O47" s="102">
        <f>VLOOKUP($B47,'Language Penetration'!$B$1:$BL$14,MATCH('Compile data Working'!$H23,'Language Penetration'!$B$1:$BL$1,0),0)</f>
        <v>0.6</v>
      </c>
      <c r="P47" s="102" t="str">
        <f t="shared" ca="1" si="3"/>
        <v>2%</v>
      </c>
      <c r="Q47" s="101">
        <f t="shared" ca="1" si="4"/>
        <v>0.22161731327999998</v>
      </c>
      <c r="R47" s="104">
        <f>VLOOKUP(D:D,ranking!W:X,2,0)</f>
        <v>0.7</v>
      </c>
      <c r="S47" s="59">
        <f t="shared" ca="1" si="5"/>
        <v>0.15513211929599999</v>
      </c>
      <c r="T47" s="101">
        <v>12.884749751515049</v>
      </c>
    </row>
    <row r="48" spans="1:20" x14ac:dyDescent="0.25">
      <c r="A48" s="46" t="s">
        <v>1942</v>
      </c>
      <c r="B48" s="46" t="s">
        <v>85</v>
      </c>
      <c r="C48" s="46" t="s">
        <v>123</v>
      </c>
      <c r="D48" s="46" t="s">
        <v>1013</v>
      </c>
      <c r="E48" s="46" t="s">
        <v>211</v>
      </c>
      <c r="F48" s="46" t="s">
        <v>213</v>
      </c>
      <c r="G48" s="46" t="s">
        <v>1918</v>
      </c>
      <c r="H48" s="46" t="s">
        <v>77</v>
      </c>
      <c r="I48" s="53">
        <v>46220</v>
      </c>
      <c r="J48" s="46"/>
      <c r="K48" s="46" t="s">
        <v>216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0.245</v>
      </c>
      <c r="N48" s="102">
        <f>VLOOKUP(K:K,'Genre Penetration'!A:C,3,0)*VLOOKUP($C48&amp;$E48,'Updated SES'!A:J,10,0)</f>
        <v>0.255</v>
      </c>
      <c r="O48" s="102">
        <f>VLOOKUP($B48,'Language Penetration'!$B$1:$BL$14,MATCH('Compile data Working'!$H43,'Language Penetration'!$B$1:$BL$1,0),0)</f>
        <v>0.10500000000000001</v>
      </c>
      <c r="P48" s="102" t="str">
        <f t="shared" ca="1" si="3"/>
        <v>1%</v>
      </c>
      <c r="Q48" s="101">
        <f t="shared" ca="1" si="4"/>
        <v>2.9116080000000006E-2</v>
      </c>
      <c r="R48" s="104">
        <f>VLOOKUP(D:D,ranking!W:X,2,0)</f>
        <v>0.8</v>
      </c>
      <c r="S48" s="59">
        <f t="shared" ca="1" si="5"/>
        <v>2.3292864000000007E-2</v>
      </c>
      <c r="T48" s="101">
        <v>12.8748666610841</v>
      </c>
    </row>
    <row r="49" spans="1:20" x14ac:dyDescent="0.25">
      <c r="A49" s="46" t="s">
        <v>1942</v>
      </c>
      <c r="B49" s="46" t="s">
        <v>85</v>
      </c>
      <c r="C49" s="46" t="s">
        <v>1810</v>
      </c>
      <c r="D49" s="46" t="s">
        <v>859</v>
      </c>
      <c r="E49" s="46" t="s">
        <v>211</v>
      </c>
      <c r="F49" s="46" t="s">
        <v>213</v>
      </c>
      <c r="G49" s="53" t="s">
        <v>1912</v>
      </c>
      <c r="H49" s="46" t="s">
        <v>20</v>
      </c>
      <c r="I49" s="53">
        <v>46219</v>
      </c>
      <c r="J49" s="124"/>
      <c r="K49" s="46" t="s">
        <v>420</v>
      </c>
      <c r="L49" s="101">
        <f>VLOOKUP($C49&amp;$E49,'Updated SES'!A:N,14,0)</f>
        <v>127.11702000000001</v>
      </c>
      <c r="M49" s="102">
        <f>VLOOKUP($K49,'Genre Penetration'!A:B,2,0)*VLOOKUP($C49&amp;$E49,'Updated SES'!A:I,9,0)</f>
        <v>0.41539999999999994</v>
      </c>
      <c r="N49" s="102">
        <f>VLOOKUP(K:K,'Genre Penetration'!A:C,3,0)*VLOOKUP($C49&amp;$E49,'Updated SES'!A:J,10,0)</f>
        <v>0.12539999999999998</v>
      </c>
      <c r="O49" s="102">
        <f>VLOOKUP($B49,'Language Penetration'!$B$1:$BL$14,MATCH('Compile data Working'!$H37,'Language Penetration'!$B$1:$BL$1,0),0)</f>
        <v>0.26250000000000001</v>
      </c>
      <c r="P49" s="102" t="str">
        <f t="shared" ca="1" si="3"/>
        <v>1%</v>
      </c>
      <c r="Q49" s="101">
        <f t="shared" ca="1" si="4"/>
        <v>0.18045532159200001</v>
      </c>
      <c r="R49" s="104">
        <f>VLOOKUP(D:D,ranking!W:X,2,0)</f>
        <v>0.7</v>
      </c>
      <c r="S49" s="59">
        <f t="shared" ca="1" si="5"/>
        <v>0.12631872511440001</v>
      </c>
      <c r="T49" s="101">
        <v>12.770382334632787</v>
      </c>
    </row>
    <row r="50" spans="1:20" x14ac:dyDescent="0.25">
      <c r="A50" s="46" t="s">
        <v>1057</v>
      </c>
      <c r="B50" s="46" t="s">
        <v>85</v>
      </c>
      <c r="C50" s="46" t="s">
        <v>123</v>
      </c>
      <c r="D50" s="46" t="s">
        <v>431</v>
      </c>
      <c r="E50" s="46" t="s">
        <v>211</v>
      </c>
      <c r="F50" s="46" t="s">
        <v>215</v>
      </c>
      <c r="G50" s="46" t="s">
        <v>1843</v>
      </c>
      <c r="H50" s="46" t="s">
        <v>1794</v>
      </c>
      <c r="I50" s="53">
        <v>46198</v>
      </c>
      <c r="J50" s="124">
        <v>10</v>
      </c>
      <c r="K50" s="46" t="s">
        <v>52</v>
      </c>
      <c r="L50" s="101">
        <f>VLOOKUP($C50&amp;$E50,'Updated SES'!A:N,14,0)</f>
        <v>55.459200000000003</v>
      </c>
      <c r="M50" s="102">
        <f>VLOOKUP($K50,'Genre Penetration'!A:B,2,0)*VLOOKUP($C50&amp;$E50,'Updated SES'!A:I,9,0)</f>
        <v>0.29399999999999998</v>
      </c>
      <c r="N50" s="102">
        <f>VLOOKUP(K:K,'Genre Penetration'!A:C,3,0)*VLOOKUP($C50&amp;$E50,'Updated SES'!A:J,10,0)</f>
        <v>0.20400000000000001</v>
      </c>
      <c r="O50" s="102">
        <f>VLOOKUP($B50,'Language Penetration'!$B$1:$BL$14,MATCH('Compile data Working'!$H103,'Language Penetration'!$B$1:$BL$1,0),0)</f>
        <v>0.6</v>
      </c>
      <c r="P50" s="102" t="str">
        <f t="shared" ca="1" si="3"/>
        <v>3%</v>
      </c>
      <c r="Q50" s="101">
        <f t="shared" ca="1" si="4"/>
        <v>0.4971362688</v>
      </c>
      <c r="R50" s="104">
        <f>VLOOKUP(D:D,ranking!W:X,2,0)</f>
        <v>0.6</v>
      </c>
      <c r="S50" s="59">
        <f t="shared" ca="1" si="5"/>
        <v>0.29828176128</v>
      </c>
      <c r="T50" s="101">
        <v>12.610176757821566</v>
      </c>
    </row>
    <row r="51" spans="1:20" x14ac:dyDescent="0.25">
      <c r="A51" s="46" t="s">
        <v>1942</v>
      </c>
      <c r="B51" s="46" t="s">
        <v>85</v>
      </c>
      <c r="C51" s="46" t="s">
        <v>1810</v>
      </c>
      <c r="D51" s="46" t="s">
        <v>1013</v>
      </c>
      <c r="E51" s="46" t="s">
        <v>211</v>
      </c>
      <c r="F51" s="46" t="s">
        <v>213</v>
      </c>
      <c r="G51" s="46" t="s">
        <v>1897</v>
      </c>
      <c r="H51" s="46" t="s">
        <v>20</v>
      </c>
      <c r="I51" s="53">
        <v>46217</v>
      </c>
      <c r="J51" s="46"/>
      <c r="K51" s="46" t="s">
        <v>158</v>
      </c>
      <c r="L51" s="101">
        <f>VLOOKUP($C51&amp;$E51,'Updated SES'!A:N,14,0)</f>
        <v>127.11702000000001</v>
      </c>
      <c r="M51" s="102">
        <f>VLOOKUP($K51,'Genre Penetration'!A:B,2,0)*VLOOKUP($C51&amp;$E51,'Updated SES'!A:I,9,0)</f>
        <v>0.30149999999999999</v>
      </c>
      <c r="N51" s="102">
        <f>VLOOKUP(K:K,'Genre Penetration'!A:C,3,0)*VLOOKUP($C51&amp;$E51,'Updated SES'!A:J,10,0)</f>
        <v>0.18149999999999999</v>
      </c>
      <c r="O51" s="102">
        <f>VLOOKUP($B51,'Language Penetration'!$B$1:$BL$14,MATCH('Compile data Working'!$H22,'Language Penetration'!$B$1:$BL$1,0),0)</f>
        <v>0.2</v>
      </c>
      <c r="P51" s="102" t="str">
        <f t="shared" ca="1" si="3"/>
        <v>1%</v>
      </c>
      <c r="Q51" s="101">
        <f t="shared" ca="1" si="4"/>
        <v>0.12279504132000002</v>
      </c>
      <c r="R51" s="104">
        <f>VLOOKUP(D:D,ranking!W:X,2,0)</f>
        <v>0.8</v>
      </c>
      <c r="S51" s="59">
        <f t="shared" ca="1" si="5"/>
        <v>9.8236033056000024E-2</v>
      </c>
      <c r="T51" s="101">
        <v>12.5947226681518</v>
      </c>
    </row>
    <row r="52" spans="1:20" x14ac:dyDescent="0.25">
      <c r="A52" s="46" t="s">
        <v>1942</v>
      </c>
      <c r="B52" s="46" t="s">
        <v>85</v>
      </c>
      <c r="C52" s="46" t="s">
        <v>64</v>
      </c>
      <c r="D52" s="46" t="s">
        <v>1012</v>
      </c>
      <c r="E52" s="46" t="s">
        <v>211</v>
      </c>
      <c r="F52" s="46" t="s">
        <v>215</v>
      </c>
      <c r="G52" s="46" t="s">
        <v>1939</v>
      </c>
      <c r="H52" s="46" t="s">
        <v>20</v>
      </c>
      <c r="I52" s="53">
        <v>46220</v>
      </c>
      <c r="J52" s="46"/>
      <c r="K52" s="46" t="s">
        <v>158</v>
      </c>
      <c r="L52" s="101">
        <f>VLOOKUP($C52&amp;$E52,'Updated SES'!A:N,14,0)</f>
        <v>36.498239999999996</v>
      </c>
      <c r="M52" s="102">
        <f>VLOOKUP($K52,'Genre Penetration'!A:B,2,0)*VLOOKUP($C52&amp;$E52,'Updated SES'!A:I,9,0)</f>
        <v>0.23400000000000001</v>
      </c>
      <c r="N52" s="102">
        <f>VLOOKUP(K:K,'Genre Penetration'!A:C,3,0)*VLOOKUP($C52&amp;$E52,'Updated SES'!A:J,10,0)</f>
        <v>0.26400000000000001</v>
      </c>
      <c r="O52" s="102">
        <f>VLOOKUP($B52,'Language Penetration'!$B$1:$BL$14,MATCH('Compile data Working'!$H64,'Language Penetration'!$B$1:$BL$1,0),0)</f>
        <v>0.4</v>
      </c>
      <c r="P52" s="102" t="str">
        <f t="shared" ca="1" si="3"/>
        <v>2%</v>
      </c>
      <c r="Q52" s="101">
        <f t="shared" ca="1" si="4"/>
        <v>0.14540898816</v>
      </c>
      <c r="R52" s="104">
        <f>VLOOKUP(D:D,ranking!W:X,2,0)</f>
        <v>0.6</v>
      </c>
      <c r="S52" s="59">
        <f t="shared" ca="1" si="5"/>
        <v>8.7245392896000001E-2</v>
      </c>
      <c r="T52" s="101">
        <v>12.389182453379853</v>
      </c>
    </row>
    <row r="53" spans="1:20" x14ac:dyDescent="0.25">
      <c r="A53" s="46" t="s">
        <v>1942</v>
      </c>
      <c r="B53" s="46" t="s">
        <v>85</v>
      </c>
      <c r="C53" s="46" t="s">
        <v>64</v>
      </c>
      <c r="D53" s="46" t="s">
        <v>859</v>
      </c>
      <c r="E53" s="46" t="s">
        <v>233</v>
      </c>
      <c r="F53" s="46" t="s">
        <v>213</v>
      </c>
      <c r="G53" s="46" t="s">
        <v>1893</v>
      </c>
      <c r="H53" s="46" t="s">
        <v>20</v>
      </c>
      <c r="I53" s="53">
        <v>46217</v>
      </c>
      <c r="J53" s="124"/>
      <c r="K53" s="46" t="s">
        <v>422</v>
      </c>
      <c r="L53" s="101">
        <f>VLOOKUP($C53&amp;$E53,'Updated SES'!A:N,14,0)</f>
        <v>4.6890000000000001</v>
      </c>
      <c r="M53" s="102">
        <f>VLOOKUP($K53,'Genre Penetration'!A:B,2,0)*VLOOKUP($C53&amp;$E53,'Updated SES'!A:I,9,0)</f>
        <v>0.39440000000000003</v>
      </c>
      <c r="N53" s="102">
        <f>VLOOKUP(K:K,'Genre Penetration'!A:C,3,0)*VLOOKUP($C53&amp;$E53,'Updated SES'!A:J,10,0)</f>
        <v>0.13439999999999999</v>
      </c>
      <c r="O53" s="102">
        <f>VLOOKUP($B53,'Language Penetration'!$B$1:$BL$14,MATCH('Compile data Working'!$H18,'Language Penetration'!$B$1:$BL$1,0),0)</f>
        <v>0.6</v>
      </c>
      <c r="P53" s="102" t="str">
        <f t="shared" ca="1" si="3"/>
        <v>1%</v>
      </c>
      <c r="Q53" s="101">
        <f t="shared" ca="1" si="4"/>
        <v>1.4877259200000001E-2</v>
      </c>
      <c r="R53" s="104">
        <f>VLOOKUP(D:D,ranking!W:X,2,0)</f>
        <v>0.7</v>
      </c>
      <c r="S53" s="59">
        <f t="shared" ca="1" si="5"/>
        <v>1.041408144E-2</v>
      </c>
      <c r="T53" s="101">
        <v>12.223993354001456</v>
      </c>
    </row>
    <row r="54" spans="1:20" x14ac:dyDescent="0.25">
      <c r="A54" s="46" t="s">
        <v>1942</v>
      </c>
      <c r="B54" s="46" t="s">
        <v>85</v>
      </c>
      <c r="C54" s="46" t="s">
        <v>123</v>
      </c>
      <c r="D54" s="46" t="s">
        <v>1012</v>
      </c>
      <c r="E54" s="46" t="s">
        <v>211</v>
      </c>
      <c r="F54" s="46" t="s">
        <v>215</v>
      </c>
      <c r="G54" s="53" t="s">
        <v>1905</v>
      </c>
      <c r="H54" s="46" t="s">
        <v>20</v>
      </c>
      <c r="I54" s="53">
        <v>46218</v>
      </c>
      <c r="J54" s="124"/>
      <c r="K54" s="46" t="s">
        <v>124</v>
      </c>
      <c r="L54" s="101">
        <f>VLOOKUP($C54&amp;$E54,'Updated SES'!A:N,14,0)</f>
        <v>55.459200000000003</v>
      </c>
      <c r="M54" s="102">
        <f>VLOOKUP($K54,'Genre Penetration'!A:B,2,0)*VLOOKUP($C54&amp;$E54,'Updated SES'!A:I,9,0)</f>
        <v>0.2205</v>
      </c>
      <c r="N54" s="102">
        <f>VLOOKUP(K:K,'Genre Penetration'!A:C,3,0)*VLOOKUP($C54&amp;$E54,'Updated SES'!A:J,10,0)</f>
        <v>0.28050000000000003</v>
      </c>
      <c r="O54" s="102">
        <f>VLOOKUP($B54,'Language Penetration'!$B$1:$BL$14,MATCH('Compile data Working'!$H30,'Language Penetration'!$B$1:$BL$1,0),0)</f>
        <v>0.6</v>
      </c>
      <c r="P54" s="102" t="str">
        <f t="shared" ca="1" si="3"/>
        <v>2%</v>
      </c>
      <c r="Q54" s="101">
        <f t="shared" ca="1" si="4"/>
        <v>0.33342071039999999</v>
      </c>
      <c r="R54" s="104">
        <f>VLOOKUP(D:D,ranking!W:X,2,0)</f>
        <v>0.6</v>
      </c>
      <c r="S54" s="59">
        <f t="shared" ca="1" si="5"/>
        <v>0.20005242624</v>
      </c>
      <c r="T54" s="101">
        <v>12.0772603124095</v>
      </c>
    </row>
    <row r="55" spans="1:20" x14ac:dyDescent="0.25">
      <c r="A55" s="46" t="s">
        <v>1942</v>
      </c>
      <c r="B55" s="46" t="s">
        <v>85</v>
      </c>
      <c r="C55" s="46" t="s">
        <v>123</v>
      </c>
      <c r="D55" s="46" t="s">
        <v>1012</v>
      </c>
      <c r="E55" s="46" t="s">
        <v>211</v>
      </c>
      <c r="F55" s="46" t="s">
        <v>215</v>
      </c>
      <c r="G55" s="46" t="s">
        <v>1896</v>
      </c>
      <c r="H55" s="46" t="s">
        <v>20</v>
      </c>
      <c r="I55" s="53">
        <v>46217</v>
      </c>
      <c r="J55" s="124"/>
      <c r="K55" s="46" t="s">
        <v>310</v>
      </c>
      <c r="L55" s="101">
        <f>VLOOKUP($C55&amp;$E55,'Updated SES'!A:N,14,0)</f>
        <v>55.459200000000003</v>
      </c>
      <c r="M55" s="102">
        <f>VLOOKUP($K55,'Genre Penetration'!A:B,2,0)*VLOOKUP($C55&amp;$E55,'Updated SES'!A:I,9,0)</f>
        <v>0.26950000000000002</v>
      </c>
      <c r="N55" s="102">
        <f>VLOOKUP(K:K,'Genre Penetration'!A:C,3,0)*VLOOKUP($C55&amp;$E55,'Updated SES'!A:J,10,0)</f>
        <v>0.22949999999999998</v>
      </c>
      <c r="O55" s="102">
        <f>VLOOKUP($B55,'Language Penetration'!$B$1:$BL$14,MATCH('Compile data Working'!$H21,'Language Penetration'!$B$1:$BL$1,0),0)</f>
        <v>0.20400000000000001</v>
      </c>
      <c r="P55" s="102" t="str">
        <f t="shared" ca="1" si="3"/>
        <v>2%</v>
      </c>
      <c r="Q55" s="101">
        <f t="shared" ca="1" si="4"/>
        <v>0.11291049446400001</v>
      </c>
      <c r="R55" s="104">
        <f>VLOOKUP(D:D,ranking!W:X,2,0)</f>
        <v>0.6</v>
      </c>
      <c r="S55" s="59">
        <f t="shared" ca="1" si="5"/>
        <v>6.77462966784E-2</v>
      </c>
      <c r="T55" s="101">
        <v>11.68444126638542</v>
      </c>
    </row>
    <row r="56" spans="1:20" x14ac:dyDescent="0.25">
      <c r="A56" s="46" t="s">
        <v>1942</v>
      </c>
      <c r="B56" s="46" t="s">
        <v>85</v>
      </c>
      <c r="C56" s="46" t="s">
        <v>64</v>
      </c>
      <c r="D56" s="46" t="s">
        <v>1012</v>
      </c>
      <c r="E56" s="46" t="s">
        <v>211</v>
      </c>
      <c r="F56" s="46" t="s">
        <v>215</v>
      </c>
      <c r="G56" s="46" t="s">
        <v>1887</v>
      </c>
      <c r="H56" s="46" t="s">
        <v>20</v>
      </c>
      <c r="I56" s="53">
        <v>46216</v>
      </c>
      <c r="J56" s="124"/>
      <c r="K56" s="46" t="s">
        <v>170</v>
      </c>
      <c r="L56" s="101">
        <f>VLOOKUP($C56&amp;$E56,'Updated SES'!A:N,14,0)</f>
        <v>36.498239999999996</v>
      </c>
      <c r="M56" s="102">
        <f>VLOOKUP($K56,'Genre Penetration'!A:B,2,0)*VLOOKUP($C56&amp;$E56,'Updated SES'!A:I,9,0)</f>
        <v>0.30159999999999998</v>
      </c>
      <c r="N56" s="102">
        <f>VLOOKUP(K:K,'Genre Penetration'!A:C,3,0)*VLOOKUP($C56&amp;$E56,'Updated SES'!A:J,10,0)</f>
        <v>0.20159999999999997</v>
      </c>
      <c r="O56" s="102">
        <f>VLOOKUP($B56,'Language Penetration'!$B$1:$BL$14,MATCH('Compile data Working'!$H12,'Language Penetration'!$B$1:$BL$1,0),0)</f>
        <v>0.6</v>
      </c>
      <c r="P56" s="102" t="str">
        <f t="shared" ca="1" si="3"/>
        <v>2%</v>
      </c>
      <c r="Q56" s="101">
        <f t="shared" ca="1" si="4"/>
        <v>0.22039097241599998</v>
      </c>
      <c r="R56" s="104">
        <f>VLOOKUP(D:D,ranking!W:X,2,0)</f>
        <v>0.6</v>
      </c>
      <c r="S56" s="59">
        <f t="shared" ca="1" si="5"/>
        <v>0.13223458344959999</v>
      </c>
      <c r="T56" s="101">
        <v>11.563236956487863</v>
      </c>
    </row>
    <row r="57" spans="1:20" x14ac:dyDescent="0.25">
      <c r="A57" s="46" t="s">
        <v>1942</v>
      </c>
      <c r="B57" s="46" t="s">
        <v>85</v>
      </c>
      <c r="C57" s="46" t="s">
        <v>123</v>
      </c>
      <c r="D57" s="46" t="s">
        <v>1013</v>
      </c>
      <c r="E57" s="46" t="s">
        <v>211</v>
      </c>
      <c r="F57" s="46" t="s">
        <v>213</v>
      </c>
      <c r="G57" s="53" t="s">
        <v>1911</v>
      </c>
      <c r="H57" s="46" t="s">
        <v>1794</v>
      </c>
      <c r="I57" s="53">
        <v>46219</v>
      </c>
      <c r="J57" s="124"/>
      <c r="K57" s="46" t="s">
        <v>138</v>
      </c>
      <c r="L57" s="101">
        <f>VLOOKUP($C57&amp;$E57,'Updated SES'!A:N,14,0)</f>
        <v>55.459200000000003</v>
      </c>
      <c r="M57" s="102">
        <f>VLOOKUP($K57,'Genre Penetration'!A:B,2,0)*VLOOKUP($C57&amp;$E57,'Updated SES'!A:I,9,0)</f>
        <v>0.23029999999999998</v>
      </c>
      <c r="N57" s="102">
        <f>VLOOKUP(K:K,'Genre Penetration'!A:C,3,0)*VLOOKUP($C57&amp;$E57,'Updated SES'!A:J,10,0)</f>
        <v>0.27030000000000004</v>
      </c>
      <c r="O57" s="102">
        <f>VLOOKUP($B57,'Language Penetration'!$B$1:$BL$14,MATCH('Compile data Working'!$H36,'Language Penetration'!$B$1:$BL$1,0),0)</f>
        <v>0.4</v>
      </c>
      <c r="P57" s="102" t="str">
        <f t="shared" ca="1" si="3"/>
        <v>2%</v>
      </c>
      <c r="Q57" s="101">
        <f t="shared" ca="1" si="4"/>
        <v>0.22210300416000006</v>
      </c>
      <c r="R57" s="104">
        <f>VLOOKUP(D:D,ranking!W:X,2,0)</f>
        <v>0.8</v>
      </c>
      <c r="S57" s="59">
        <f t="shared" ca="1" si="5"/>
        <v>0.17768240332800006</v>
      </c>
      <c r="T57" s="101">
        <v>11.537978407807101</v>
      </c>
    </row>
    <row r="58" spans="1:20" x14ac:dyDescent="0.25">
      <c r="A58" s="46" t="s">
        <v>1942</v>
      </c>
      <c r="B58" s="46" t="s">
        <v>85</v>
      </c>
      <c r="C58" s="46" t="s">
        <v>123</v>
      </c>
      <c r="D58" s="46" t="s">
        <v>1012</v>
      </c>
      <c r="E58" s="46" t="s">
        <v>211</v>
      </c>
      <c r="F58" s="46" t="s">
        <v>215</v>
      </c>
      <c r="G58" s="53" t="s">
        <v>1903</v>
      </c>
      <c r="H58" s="46" t="s">
        <v>20</v>
      </c>
      <c r="I58" s="53">
        <v>46218</v>
      </c>
      <c r="J58" s="46"/>
      <c r="K58" s="46" t="s">
        <v>52</v>
      </c>
      <c r="L58" s="101">
        <f>VLOOKUP($C58&amp;$E58,'Updated SES'!A:N,14,0)</f>
        <v>55.459200000000003</v>
      </c>
      <c r="M58" s="102">
        <f>VLOOKUP($K58,'Genre Penetration'!A:B,2,0)*VLOOKUP($C58&amp;$E58,'Updated SES'!A:I,9,0)</f>
        <v>0.29399999999999998</v>
      </c>
      <c r="N58" s="102">
        <f>VLOOKUP(K:K,'Genre Penetration'!A:C,3,0)*VLOOKUP($C58&amp;$E58,'Updated SES'!A:J,10,0)</f>
        <v>0.20400000000000001</v>
      </c>
      <c r="O58" s="102">
        <f>VLOOKUP($B58,'Language Penetration'!$B$1:$BL$14,MATCH('Compile data Working'!$H28,'Language Penetration'!$B$1:$BL$1,0),0)</f>
        <v>0.4</v>
      </c>
      <c r="P58" s="102" t="str">
        <f t="shared" ca="1" si="3"/>
        <v>2%</v>
      </c>
      <c r="Q58" s="101">
        <f t="shared" ca="1" si="4"/>
        <v>0.22094945280000006</v>
      </c>
      <c r="R58" s="104">
        <f>VLOOKUP(D:D,ranking!W:X,2,0)</f>
        <v>0.6</v>
      </c>
      <c r="S58" s="59">
        <f t="shared" ca="1" si="5"/>
        <v>0.13256967168000003</v>
      </c>
      <c r="T58" s="101">
        <v>11.178457138072099</v>
      </c>
    </row>
    <row r="59" spans="1:20" x14ac:dyDescent="0.25">
      <c r="A59" s="46" t="s">
        <v>1942</v>
      </c>
      <c r="B59" s="46" t="s">
        <v>85</v>
      </c>
      <c r="C59" s="46" t="s">
        <v>1810</v>
      </c>
      <c r="D59" s="46" t="s">
        <v>859</v>
      </c>
      <c r="E59" s="46" t="s">
        <v>211</v>
      </c>
      <c r="F59" s="46" t="s">
        <v>213</v>
      </c>
      <c r="G59" s="46" t="s">
        <v>1931</v>
      </c>
      <c r="H59" s="46" t="s">
        <v>20</v>
      </c>
      <c r="I59" s="53">
        <v>46220</v>
      </c>
      <c r="J59" s="46"/>
      <c r="K59" s="46" t="s">
        <v>380</v>
      </c>
      <c r="L59" s="101">
        <f>VLOOKUP($C59&amp;$E59,'Updated SES'!A:N,14,0)</f>
        <v>127.11702000000001</v>
      </c>
      <c r="M59" s="102">
        <f>VLOOKUP($K59,'Genre Penetration'!A:B,2,0)*VLOOKUP($C59&amp;$E59,'Updated SES'!A:I,9,0)</f>
        <v>0.43884999999999996</v>
      </c>
      <c r="N59" s="102">
        <f>VLOOKUP(K:K,'Genre Penetration'!A:C,3,0)*VLOOKUP($C59&amp;$E59,'Updated SES'!A:J,10,0)</f>
        <v>0.11384999999999998</v>
      </c>
      <c r="O59" s="102">
        <f>VLOOKUP($B59,'Language Penetration'!$B$1:$BL$14,MATCH('Compile data Working'!$H56,'Language Penetration'!$B$1:$BL$1,0),0)</f>
        <v>0.2</v>
      </c>
      <c r="P59" s="102" t="str">
        <f t="shared" ca="1" si="3"/>
        <v>2%</v>
      </c>
      <c r="Q59" s="101">
        <f t="shared" ca="1" si="4"/>
        <v>0.28103030781600002</v>
      </c>
      <c r="R59" s="104">
        <f>VLOOKUP(D:D,ranking!W:X,2,0)</f>
        <v>0.7</v>
      </c>
      <c r="S59" s="59">
        <f t="shared" ca="1" si="5"/>
        <v>0.1967212154712</v>
      </c>
      <c r="T59" s="101">
        <v>10.946042001113819</v>
      </c>
    </row>
    <row r="60" spans="1:20" x14ac:dyDescent="0.25">
      <c r="A60" s="46" t="s">
        <v>1942</v>
      </c>
      <c r="B60" s="46" t="s">
        <v>85</v>
      </c>
      <c r="C60" s="46" t="s">
        <v>123</v>
      </c>
      <c r="D60" s="46" t="s">
        <v>1012</v>
      </c>
      <c r="E60" s="46" t="s">
        <v>211</v>
      </c>
      <c r="F60" s="46" t="s">
        <v>215</v>
      </c>
      <c r="G60" s="46" t="s">
        <v>1888</v>
      </c>
      <c r="H60" s="46" t="s">
        <v>20</v>
      </c>
      <c r="I60" s="53">
        <v>46216</v>
      </c>
      <c r="J60" s="124"/>
      <c r="K60" s="46" t="s">
        <v>910</v>
      </c>
      <c r="L60" s="101">
        <f>VLOOKUP($C60&amp;$E60,'Updated SES'!A:N,14,0)</f>
        <v>55.459200000000003</v>
      </c>
      <c r="M60" s="102">
        <f>VLOOKUP($K60,'Genre Penetration'!A:B,2,0)*VLOOKUP($C60&amp;$E60,'Updated SES'!A:I,9,0)</f>
        <v>0.245</v>
      </c>
      <c r="N60" s="102">
        <f>VLOOKUP(K:K,'Genre Penetration'!A:C,3,0)*VLOOKUP($C60&amp;$E60,'Updated SES'!A:J,10,0)</f>
        <v>0.255</v>
      </c>
      <c r="O60" s="102">
        <f>VLOOKUP($B60,'Language Penetration'!$B$1:$BL$14,MATCH('Compile data Working'!$H13,'Language Penetration'!$B$1:$BL$1,0),0)</f>
        <v>0.6</v>
      </c>
      <c r="P60" s="102" t="str">
        <f t="shared" ca="1" si="3"/>
        <v>2%</v>
      </c>
      <c r="Q60" s="101">
        <f t="shared" ca="1" si="4"/>
        <v>0.33275520000000003</v>
      </c>
      <c r="R60" s="104">
        <f>VLOOKUP(D:D,ranking!W:X,2,0)</f>
        <v>0.6</v>
      </c>
      <c r="S60" s="59">
        <f t="shared" ca="1" si="5"/>
        <v>0.19965312000000002</v>
      </c>
      <c r="T60" s="101">
        <v>10.78563809204808</v>
      </c>
    </row>
    <row r="61" spans="1:20" x14ac:dyDescent="0.25">
      <c r="A61" s="46" t="s">
        <v>1942</v>
      </c>
      <c r="B61" s="46" t="s">
        <v>85</v>
      </c>
      <c r="C61" s="46" t="s">
        <v>64</v>
      </c>
      <c r="D61" s="46" t="s">
        <v>1012</v>
      </c>
      <c r="E61" s="46" t="s">
        <v>211</v>
      </c>
      <c r="F61" s="46" t="s">
        <v>215</v>
      </c>
      <c r="G61" s="46" t="s">
        <v>1906</v>
      </c>
      <c r="H61" s="46" t="s">
        <v>20</v>
      </c>
      <c r="I61" s="53">
        <v>46219</v>
      </c>
      <c r="J61" s="124"/>
      <c r="K61" s="46" t="s">
        <v>158</v>
      </c>
      <c r="L61" s="101">
        <f>VLOOKUP($C61&amp;$E61,'Updated SES'!A:N,14,0)</f>
        <v>36.498239999999996</v>
      </c>
      <c r="M61" s="102">
        <f>VLOOKUP($K61,'Genre Penetration'!A:B,2,0)*VLOOKUP($C61&amp;$E61,'Updated SES'!A:I,9,0)</f>
        <v>0.23400000000000001</v>
      </c>
      <c r="N61" s="102">
        <f>VLOOKUP(K:K,'Genre Penetration'!A:C,3,0)*VLOOKUP($C61&amp;$E61,'Updated SES'!A:J,10,0)</f>
        <v>0.26400000000000001</v>
      </c>
      <c r="O61" s="102">
        <f>VLOOKUP($B61,'Language Penetration'!$B$1:$BL$14,MATCH('Compile data Working'!$H31,'Language Penetration'!$B$1:$BL$1,0),0)</f>
        <v>0.4</v>
      </c>
      <c r="P61" s="102" t="str">
        <f t="shared" ca="1" si="3"/>
        <v>2%</v>
      </c>
      <c r="Q61" s="101">
        <f t="shared" ca="1" si="4"/>
        <v>0.14540898816</v>
      </c>
      <c r="R61" s="104">
        <f>VLOOKUP(D:D,ranking!W:X,2,0)</f>
        <v>0.6</v>
      </c>
      <c r="S61" s="59">
        <f t="shared" ca="1" si="5"/>
        <v>8.7245392896000001E-2</v>
      </c>
      <c r="T61" s="101">
        <v>10.737291459595873</v>
      </c>
    </row>
    <row r="62" spans="1:20" x14ac:dyDescent="0.25">
      <c r="A62" s="46" t="s">
        <v>1942</v>
      </c>
      <c r="B62" s="46" t="s">
        <v>85</v>
      </c>
      <c r="C62" s="46" t="s">
        <v>123</v>
      </c>
      <c r="D62" s="46" t="s">
        <v>1013</v>
      </c>
      <c r="E62" s="46" t="s">
        <v>211</v>
      </c>
      <c r="F62" s="46" t="s">
        <v>213</v>
      </c>
      <c r="G62" s="46" t="s">
        <v>1926</v>
      </c>
      <c r="H62" s="46" t="s">
        <v>1794</v>
      </c>
      <c r="I62" s="53">
        <v>46220</v>
      </c>
      <c r="J62" s="124"/>
      <c r="K62" s="46" t="s">
        <v>172</v>
      </c>
      <c r="L62" s="101">
        <f>VLOOKUP($C62&amp;$E62,'Updated SES'!A:N,14,0)</f>
        <v>55.459200000000003</v>
      </c>
      <c r="M62" s="102">
        <f>VLOOKUP($K62,'Genre Penetration'!A:B,2,0)*VLOOKUP($C62&amp;$E62,'Updated SES'!A:I,9,0)</f>
        <v>0.19600000000000001</v>
      </c>
      <c r="N62" s="102">
        <f>VLOOKUP(K:K,'Genre Penetration'!A:C,3,0)*VLOOKUP($C62&amp;$E62,'Updated SES'!A:J,10,0)</f>
        <v>0.30599999999999999</v>
      </c>
      <c r="O62" s="102">
        <f>VLOOKUP($B62,'Language Penetration'!$B$1:$BL$14,MATCH('Compile data Working'!$H51,'Language Penetration'!$B$1:$BL$1,0),0)</f>
        <v>0.2</v>
      </c>
      <c r="P62" s="102" t="str">
        <f t="shared" ca="1" si="3"/>
        <v>1%</v>
      </c>
      <c r="Q62" s="101">
        <f t="shared" ca="1" si="4"/>
        <v>5.56810368E-2</v>
      </c>
      <c r="R62" s="104">
        <f>VLOOKUP(D:D,ranking!W:X,2,0)</f>
        <v>0.8</v>
      </c>
      <c r="S62" s="59">
        <f t="shared" ca="1" si="5"/>
        <v>4.4544829440000003E-2</v>
      </c>
      <c r="T62" s="101">
        <v>10.661808249927599</v>
      </c>
    </row>
    <row r="63" spans="1:20" x14ac:dyDescent="0.25">
      <c r="A63" s="46" t="s">
        <v>1057</v>
      </c>
      <c r="B63" s="46" t="s">
        <v>85</v>
      </c>
      <c r="C63" s="46" t="s">
        <v>123</v>
      </c>
      <c r="D63" s="46" t="s">
        <v>431</v>
      </c>
      <c r="E63" s="46" t="s">
        <v>211</v>
      </c>
      <c r="F63" s="46" t="s">
        <v>215</v>
      </c>
      <c r="G63" s="46" t="s">
        <v>1847</v>
      </c>
      <c r="H63" s="46" t="s">
        <v>20</v>
      </c>
      <c r="I63" s="53">
        <v>46200</v>
      </c>
      <c r="J63" s="124">
        <v>4</v>
      </c>
      <c r="K63" s="46" t="s">
        <v>90</v>
      </c>
      <c r="L63" s="101">
        <f>VLOOKUP($C63&amp;$E63,'Updated SES'!A:N,14,0)</f>
        <v>55.459200000000003</v>
      </c>
      <c r="M63" s="102">
        <f>VLOOKUP($K63,'Genre Penetration'!A:B,2,0)*VLOOKUP($C63&amp;$E63,'Updated SES'!A:I,9,0)</f>
        <v>0.3528</v>
      </c>
      <c r="N63" s="102">
        <f>VLOOKUP(K:K,'Genre Penetration'!A:C,3,0)*VLOOKUP($C63&amp;$E63,'Updated SES'!A:J,10,0)</f>
        <v>0.14280000000000001</v>
      </c>
      <c r="O63" s="102">
        <f>VLOOKUP($B63,'Language Penetration'!$B$1:$BL$14,MATCH('Compile data Working'!$H100,'Language Penetration'!$B$1:$BL$1,0),0)</f>
        <v>0.20400000000000001</v>
      </c>
      <c r="P63" s="102" t="str">
        <f t="shared" ca="1" si="3"/>
        <v>21%</v>
      </c>
      <c r="Q63" s="101">
        <f t="shared" ca="1" si="4"/>
        <v>1.1774822266368004</v>
      </c>
      <c r="R63" s="104">
        <f>VLOOKUP(D:D,ranking!W:X,2,0)</f>
        <v>0.6</v>
      </c>
      <c r="S63" s="59">
        <f t="shared" ca="1" si="5"/>
        <v>0.70648933598208019</v>
      </c>
      <c r="T63" s="101">
        <v>10.603356470341476</v>
      </c>
    </row>
    <row r="64" spans="1:20" x14ac:dyDescent="0.25">
      <c r="A64" s="46" t="s">
        <v>1942</v>
      </c>
      <c r="B64" s="46" t="s">
        <v>85</v>
      </c>
      <c r="C64" s="46" t="s">
        <v>123</v>
      </c>
      <c r="D64" s="46" t="s">
        <v>859</v>
      </c>
      <c r="E64" s="46" t="s">
        <v>211</v>
      </c>
      <c r="F64" s="46" t="s">
        <v>213</v>
      </c>
      <c r="G64" s="46" t="s">
        <v>1885</v>
      </c>
      <c r="H64" s="46" t="s">
        <v>1794</v>
      </c>
      <c r="I64" s="53">
        <v>46216</v>
      </c>
      <c r="J64" s="46"/>
      <c r="K64" s="46" t="s">
        <v>62</v>
      </c>
      <c r="L64" s="101">
        <f>VLOOKUP($C64&amp;$E64,'Updated SES'!A:N,14,0)</f>
        <v>55.459200000000003</v>
      </c>
      <c r="M64" s="102">
        <f>VLOOKUP($K64,'Genre Penetration'!A:B,2,0)*VLOOKUP($C64&amp;$E64,'Updated SES'!A:I,9,0)</f>
        <v>0.28419999999999995</v>
      </c>
      <c r="N64" s="102">
        <f>VLOOKUP(K:K,'Genre Penetration'!A:C,3,0)*VLOOKUP($C64&amp;$E64,'Updated SES'!A:J,10,0)</f>
        <v>0.2142</v>
      </c>
      <c r="O64" s="102">
        <f>VLOOKUP($B64,'Language Penetration'!$B$1:$BL$14,MATCH('Compile data Working'!$H10,'Language Penetration'!$B$1:$BL$1,0),0)</f>
        <v>0.19</v>
      </c>
      <c r="P64" s="102" t="str">
        <f t="shared" ca="1" si="3"/>
        <v>2%</v>
      </c>
      <c r="Q64" s="101">
        <f t="shared" ca="1" si="4"/>
        <v>0.105035288064</v>
      </c>
      <c r="R64" s="104">
        <f>VLOOKUP(D:D,ranking!W:X,2,0)</f>
        <v>0.7</v>
      </c>
      <c r="S64" s="59">
        <f t="shared" ca="1" si="5"/>
        <v>7.3524701644800003E-2</v>
      </c>
      <c r="T64" s="101">
        <v>10.3808507893974</v>
      </c>
    </row>
    <row r="65" spans="1:20" x14ac:dyDescent="0.25">
      <c r="A65" s="46" t="s">
        <v>1057</v>
      </c>
      <c r="B65" s="46" t="s">
        <v>85</v>
      </c>
      <c r="C65" s="46" t="s">
        <v>123</v>
      </c>
      <c r="D65" s="46" t="s">
        <v>431</v>
      </c>
      <c r="E65" s="46" t="s">
        <v>211</v>
      </c>
      <c r="F65" s="46" t="s">
        <v>215</v>
      </c>
      <c r="G65" s="46" t="s">
        <v>1805</v>
      </c>
      <c r="H65" s="46" t="s">
        <v>77</v>
      </c>
      <c r="I65" s="53">
        <v>46178</v>
      </c>
      <c r="J65" s="124">
        <v>8</v>
      </c>
      <c r="K65" s="46" t="s">
        <v>92</v>
      </c>
      <c r="L65" s="101">
        <f>VLOOKUP($C65&amp;$E65,'Updated SES'!A:N,14,0)</f>
        <v>55.459200000000003</v>
      </c>
      <c r="M65" s="102">
        <f>VLOOKUP($K65,'Genre Penetration'!A:B,2,0)*VLOOKUP($C65&amp;$E65,'Updated SES'!A:I,9,0)</f>
        <v>0.25969999999999999</v>
      </c>
      <c r="N65" s="102">
        <f>VLOOKUP(K:K,'Genre Penetration'!A:C,3,0)*VLOOKUP($C65&amp;$E65,'Updated SES'!A:J,10,0)</f>
        <v>0.2397</v>
      </c>
      <c r="O65" s="102">
        <f>VLOOKUP($B65,'Language Penetration'!$B$1:$BL$14,MATCH('Compile data Working'!$H102,'Language Penetration'!$B$1:$BL$1,0),0)</f>
        <v>0.1</v>
      </c>
      <c r="P65" s="102" t="str">
        <f t="shared" ca="1" si="3"/>
        <v>8%</v>
      </c>
      <c r="Q65" s="101">
        <f t="shared" ca="1" si="4"/>
        <v>0.22157059584</v>
      </c>
      <c r="R65" s="104">
        <f>VLOOKUP(D:D,ranking!W:X,2,0)</f>
        <v>0.6</v>
      </c>
      <c r="S65" s="59">
        <f t="shared" ca="1" si="5"/>
        <v>0.13294235750399999</v>
      </c>
      <c r="T65" s="101">
        <v>10.014281110878061</v>
      </c>
    </row>
    <row r="66" spans="1:20" x14ac:dyDescent="0.25">
      <c r="A66" s="46" t="s">
        <v>1942</v>
      </c>
      <c r="B66" s="46" t="s">
        <v>85</v>
      </c>
      <c r="C66" s="46" t="s">
        <v>64</v>
      </c>
      <c r="D66" s="46" t="s">
        <v>859</v>
      </c>
      <c r="E66" s="46" t="s">
        <v>211</v>
      </c>
      <c r="F66" s="46" t="s">
        <v>213</v>
      </c>
      <c r="G66" s="53" t="s">
        <v>1915</v>
      </c>
      <c r="H66" s="46" t="s">
        <v>20</v>
      </c>
      <c r="I66" s="53">
        <v>46219</v>
      </c>
      <c r="J66" s="124"/>
      <c r="K66" s="46" t="s">
        <v>124</v>
      </c>
      <c r="L66" s="101">
        <f>VLOOKUP($C66&amp;$E66,'Updated SES'!A:N,14,0)</f>
        <v>36.498239999999996</v>
      </c>
      <c r="M66" s="102">
        <f>VLOOKUP($K66,'Genre Penetration'!A:B,2,0)*VLOOKUP($C66&amp;$E66,'Updated SES'!A:I,9,0)</f>
        <v>0.23400000000000001</v>
      </c>
      <c r="N66" s="102">
        <f>VLOOKUP(K:K,'Genre Penetration'!A:C,3,0)*VLOOKUP($C66&amp;$E66,'Updated SES'!A:J,10,0)</f>
        <v>0.26400000000000001</v>
      </c>
      <c r="O66" s="102">
        <f>VLOOKUP($B66,'Language Penetration'!$B$1:$BL$14,MATCH('Compile data Working'!$H40,'Language Penetration'!$B$1:$BL$1,0),0)</f>
        <v>0.4</v>
      </c>
      <c r="P66" s="102" t="str">
        <f t="shared" ca="1" si="3"/>
        <v>1%</v>
      </c>
      <c r="Q66" s="101">
        <f t="shared" ca="1" si="4"/>
        <v>7.2704494080000001E-2</v>
      </c>
      <c r="R66" s="104">
        <f>VLOOKUP(D:D,ranking!W:X,2,0)</f>
        <v>0.7</v>
      </c>
      <c r="S66" s="59">
        <f t="shared" ca="1" si="5"/>
        <v>5.0893145856000001E-2</v>
      </c>
      <c r="T66" s="101">
        <v>9.9113459627038818</v>
      </c>
    </row>
    <row r="67" spans="1:20" x14ac:dyDescent="0.25">
      <c r="A67" s="46" t="s">
        <v>1942</v>
      </c>
      <c r="B67" s="46" t="s">
        <v>85</v>
      </c>
      <c r="C67" s="46" t="s">
        <v>117</v>
      </c>
      <c r="D67" s="46" t="s">
        <v>859</v>
      </c>
      <c r="E67" s="46" t="s">
        <v>211</v>
      </c>
      <c r="F67" s="46" t="s">
        <v>213</v>
      </c>
      <c r="G67" s="46" t="s">
        <v>1894</v>
      </c>
      <c r="H67" s="46" t="s">
        <v>26</v>
      </c>
      <c r="I67" s="53">
        <v>46217</v>
      </c>
      <c r="J67" s="124"/>
      <c r="K67" s="46" t="s">
        <v>178</v>
      </c>
      <c r="L67" s="101">
        <f>VLOOKUP($C67&amp;$E67,'Updated SES'!A:N,14,0)</f>
        <v>0.15089999999999998</v>
      </c>
      <c r="M67" s="102">
        <f>VLOOKUP($K67,'Genre Penetration'!A:B,2,0)*VLOOKUP($C67&amp;$E67,'Updated SES'!A:I,9,0)</f>
        <v>0.45139999999999997</v>
      </c>
      <c r="N67" s="102">
        <f>VLOOKUP(K:K,'Genre Penetration'!A:C,3,0)*VLOOKUP($C67&amp;$E67,'Updated SES'!A:J,10,0)</f>
        <v>0.1014</v>
      </c>
      <c r="O67" s="102">
        <f>VLOOKUP($B67,'Language Penetration'!$B$1:$BL$14,MATCH('Compile data Working'!$H19,'Language Penetration'!$B$1:$BL$1,0),0)</f>
        <v>0.4</v>
      </c>
      <c r="P67" s="102" t="str">
        <f t="shared" ca="1" si="3"/>
        <v>1%</v>
      </c>
      <c r="Q67" s="101">
        <f t="shared" ca="1" si="4"/>
        <v>3.3367007999999995E-4</v>
      </c>
      <c r="R67" s="104">
        <f>VLOOKUP(D:D,ranking!W:X,2,0)</f>
        <v>0.7</v>
      </c>
      <c r="S67" s="59">
        <f t="shared" ca="1" si="5"/>
        <v>2.3356905599999995E-4</v>
      </c>
      <c r="T67" s="101">
        <v>9.7791946832011654</v>
      </c>
    </row>
    <row r="68" spans="1:20" x14ac:dyDescent="0.25">
      <c r="A68" s="46" t="s">
        <v>1942</v>
      </c>
      <c r="B68" s="46" t="s">
        <v>85</v>
      </c>
      <c r="C68" s="46" t="s">
        <v>64</v>
      </c>
      <c r="D68" s="46" t="s">
        <v>859</v>
      </c>
      <c r="E68" s="46" t="s">
        <v>211</v>
      </c>
      <c r="F68" s="46" t="s">
        <v>213</v>
      </c>
      <c r="G68" s="46" t="s">
        <v>1932</v>
      </c>
      <c r="H68" s="46" t="s">
        <v>22</v>
      </c>
      <c r="I68" s="53">
        <v>46220</v>
      </c>
      <c r="J68" s="124"/>
      <c r="K68" s="46" t="s">
        <v>217</v>
      </c>
      <c r="L68" s="101">
        <f>VLOOKUP($C68&amp;$E68,'Updated SES'!A:N,14,0)</f>
        <v>36.498239999999996</v>
      </c>
      <c r="M68" s="102">
        <f>VLOOKUP($K68,'Genre Penetration'!A:B,2,0)*VLOOKUP($C68&amp;$E68,'Updated SES'!A:I,9,0)</f>
        <v>0.30159999999999998</v>
      </c>
      <c r="N68" s="102">
        <f>VLOOKUP(K:K,'Genre Penetration'!A:C,3,0)*VLOOKUP($C68&amp;$E68,'Updated SES'!A:J,10,0)</f>
        <v>0.20159999999999997</v>
      </c>
      <c r="O68" s="102">
        <f>VLOOKUP($B68,'Language Penetration'!$B$1:$BL$14,MATCH('Compile data Working'!$H57,'Language Penetration'!$B$1:$BL$1,0),0)</f>
        <v>0.4</v>
      </c>
      <c r="P68" s="102" t="str">
        <f t="shared" ca="1" si="3"/>
        <v>2%</v>
      </c>
      <c r="Q68" s="101">
        <f t="shared" ca="1" si="4"/>
        <v>0.14692731494399999</v>
      </c>
      <c r="R68" s="104">
        <f>VLOOKUP(D:D,ranking!W:X,2,0)</f>
        <v>0.7</v>
      </c>
      <c r="S68" s="59">
        <f t="shared" ca="1" si="5"/>
        <v>0.10284912046079998</v>
      </c>
      <c r="T68" s="101">
        <v>9.5809677639470863</v>
      </c>
    </row>
    <row r="69" spans="1:20" x14ac:dyDescent="0.25">
      <c r="A69" s="46" t="s">
        <v>1057</v>
      </c>
      <c r="B69" s="46" t="s">
        <v>85</v>
      </c>
      <c r="C69" s="46" t="s">
        <v>64</v>
      </c>
      <c r="D69" s="46" t="s">
        <v>859</v>
      </c>
      <c r="E69" s="124" t="s">
        <v>211</v>
      </c>
      <c r="F69" s="46" t="s">
        <v>213</v>
      </c>
      <c r="G69" s="125" t="s">
        <v>1862</v>
      </c>
      <c r="H69" s="46" t="s">
        <v>1755</v>
      </c>
      <c r="I69" s="53">
        <v>46213</v>
      </c>
      <c r="J69" s="125">
        <v>9</v>
      </c>
      <c r="K69" s="46" t="s">
        <v>216</v>
      </c>
      <c r="L69" s="101">
        <f>VLOOKUP($C69&amp;$E69,'Updated SES'!A:N,14,0)</f>
        <v>36.498239999999996</v>
      </c>
      <c r="M69" s="102">
        <f>VLOOKUP($K69,'Genre Penetration'!A:B,2,0)*VLOOKUP($C69&amp;$E69,'Updated SES'!A:I,9,0)</f>
        <v>0.26</v>
      </c>
      <c r="N69" s="102">
        <f>VLOOKUP(K:K,'Genre Penetration'!A:C,3,0)*VLOOKUP($C69&amp;$E69,'Updated SES'!A:J,10,0)</f>
        <v>0.24</v>
      </c>
      <c r="O69" s="102">
        <f>VLOOKUP($B69,'Language Penetration'!$B$1:$BL$14,MATCH('Compile data Working'!$H83,'Language Penetration'!$B$1:$BL$1,0),0)</f>
        <v>0.2</v>
      </c>
      <c r="P69" s="102" t="str">
        <f t="shared" ref="P69:P100" ca="1" si="6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6%</v>
      </c>
      <c r="Q69" s="101">
        <f t="shared" ref="Q69:Q100" ca="1" si="7">IFERROR(L69*(M69+N69)*O69*P69,RANDBETWEEN(1,2)%*L69*(M69+N69)*O69)</f>
        <v>0.21898943999999998</v>
      </c>
      <c r="R69" s="104">
        <f>VLOOKUP(D:D,ranking!W:X,2,0)</f>
        <v>0.7</v>
      </c>
      <c r="S69" s="59">
        <f t="shared" ref="S69:S100" ca="1" si="8">R69*Q69</f>
        <v>0.15329260799999997</v>
      </c>
      <c r="T69" s="101">
        <v>9.2471889825053264</v>
      </c>
    </row>
    <row r="70" spans="1:20" x14ac:dyDescent="0.25">
      <c r="A70" s="46" t="s">
        <v>1942</v>
      </c>
      <c r="B70" s="46" t="s">
        <v>85</v>
      </c>
      <c r="C70" s="46" t="s">
        <v>123</v>
      </c>
      <c r="D70" s="46" t="s">
        <v>859</v>
      </c>
      <c r="E70" s="46" t="s">
        <v>211</v>
      </c>
      <c r="F70" s="46" t="s">
        <v>213</v>
      </c>
      <c r="G70" s="46" t="s">
        <v>1929</v>
      </c>
      <c r="H70" s="46" t="s">
        <v>1794</v>
      </c>
      <c r="I70" s="53">
        <v>46220</v>
      </c>
      <c r="J70" s="124"/>
      <c r="K70" s="46" t="s">
        <v>162</v>
      </c>
      <c r="L70" s="101">
        <f>VLOOKUP($C70&amp;$E70,'Updated SES'!A:N,14,0)</f>
        <v>55.459200000000003</v>
      </c>
      <c r="M70" s="102">
        <f>VLOOKUP($K70,'Genre Penetration'!A:B,2,0)*VLOOKUP($C70&amp;$E70,'Updated SES'!A:I,9,0)</f>
        <v>0.34299999999999997</v>
      </c>
      <c r="N70" s="102">
        <f>VLOOKUP(K:K,'Genre Penetration'!A:C,3,0)*VLOOKUP($C70&amp;$E70,'Updated SES'!A:J,10,0)</f>
        <v>0.153</v>
      </c>
      <c r="O70" s="102">
        <f>VLOOKUP($B70,'Language Penetration'!$B$1:$BL$14,MATCH('Compile data Working'!$H54,'Language Penetration'!$B$1:$BL$1,0),0)</f>
        <v>0.2</v>
      </c>
      <c r="P70" s="102" t="str">
        <f t="shared" ca="1" si="6"/>
        <v>2%</v>
      </c>
      <c r="Q70" s="101">
        <f t="shared" ca="1" si="7"/>
        <v>0.1100310528</v>
      </c>
      <c r="R70" s="104">
        <f>VLOOKUP(D:D,ranking!W:X,2,0)</f>
        <v>0.7</v>
      </c>
      <c r="S70" s="59">
        <f t="shared" ca="1" si="8"/>
        <v>7.702173695999999E-2</v>
      </c>
      <c r="T70" s="101">
        <v>9.2010901545300001</v>
      </c>
    </row>
    <row r="71" spans="1:20" x14ac:dyDescent="0.25">
      <c r="A71" s="46" t="s">
        <v>1942</v>
      </c>
      <c r="B71" s="46" t="s">
        <v>85</v>
      </c>
      <c r="C71" s="46" t="s">
        <v>64</v>
      </c>
      <c r="D71" s="46" t="s">
        <v>859</v>
      </c>
      <c r="E71" s="46" t="s">
        <v>211</v>
      </c>
      <c r="F71" s="46" t="s">
        <v>213</v>
      </c>
      <c r="G71" s="46" t="s">
        <v>1925</v>
      </c>
      <c r="H71" s="46" t="s">
        <v>23</v>
      </c>
      <c r="I71" s="53">
        <v>46220</v>
      </c>
      <c r="J71" s="124"/>
      <c r="K71" s="46" t="s">
        <v>216</v>
      </c>
      <c r="L71" s="101">
        <f>VLOOKUP($C71&amp;$E71,'Updated SES'!A:N,14,0)</f>
        <v>36.498239999999996</v>
      </c>
      <c r="M71" s="102">
        <f>VLOOKUP($K71,'Genre Penetration'!A:B,2,0)*VLOOKUP($C71&amp;$E71,'Updated SES'!A:I,9,0)</f>
        <v>0.26</v>
      </c>
      <c r="N71" s="102">
        <f>VLOOKUP(K:K,'Genre Penetration'!A:C,3,0)*VLOOKUP($C71&amp;$E71,'Updated SES'!A:J,10,0)</f>
        <v>0.24</v>
      </c>
      <c r="O71" s="102">
        <f>VLOOKUP($B71,'Language Penetration'!$B$1:$BL$14,MATCH('Compile data Working'!$H50,'Language Penetration'!$B$1:$BL$1,0),0)</f>
        <v>0.4</v>
      </c>
      <c r="P71" s="102" t="str">
        <f t="shared" ca="1" si="6"/>
        <v>1%</v>
      </c>
      <c r="Q71" s="101">
        <f t="shared" ca="1" si="7"/>
        <v>7.2996480000000002E-2</v>
      </c>
      <c r="R71" s="104">
        <f>VLOOKUP(D:D,ranking!W:X,2,0)</f>
        <v>0.7</v>
      </c>
      <c r="S71" s="59">
        <f t="shared" ca="1" si="8"/>
        <v>5.1097535999999999E-2</v>
      </c>
      <c r="T71" s="101">
        <v>9.0854004658118939</v>
      </c>
    </row>
    <row r="72" spans="1:20" x14ac:dyDescent="0.25">
      <c r="A72" s="46" t="s">
        <v>1057</v>
      </c>
      <c r="B72" s="46" t="s">
        <v>85</v>
      </c>
      <c r="C72" s="46" t="s">
        <v>123</v>
      </c>
      <c r="D72" s="46" t="s">
        <v>859</v>
      </c>
      <c r="E72" s="46" t="s">
        <v>211</v>
      </c>
      <c r="F72" s="46" t="s">
        <v>213</v>
      </c>
      <c r="G72" s="46" t="s">
        <v>1811</v>
      </c>
      <c r="H72" s="46" t="s">
        <v>19</v>
      </c>
      <c r="I72" s="53">
        <v>46185</v>
      </c>
      <c r="J72" s="124">
        <v>7</v>
      </c>
      <c r="K72" s="46" t="s">
        <v>149</v>
      </c>
      <c r="L72" s="101">
        <f>VLOOKUP($C72&amp;$E72,'Updated SES'!A:N,14,0)</f>
        <v>55.459200000000003</v>
      </c>
      <c r="M72" s="102">
        <f>VLOOKUP($K72,'Genre Penetration'!A:B,2,0)*VLOOKUP($C72&amp;$E72,'Updated SES'!A:I,9,0)</f>
        <v>0.2989</v>
      </c>
      <c r="N72" s="102">
        <f>VLOOKUP(K:K,'Genre Penetration'!A:C,3,0)*VLOOKUP($C72&amp;$E72,'Updated SES'!A:J,10,0)</f>
        <v>0.19890000000000002</v>
      </c>
      <c r="O72" s="102">
        <f>VLOOKUP($B72,'Language Penetration'!$B$1:$BL$14,MATCH('Compile data Working'!$H95,'Language Penetration'!$B$1:$BL$1,0),0)</f>
        <v>0.1</v>
      </c>
      <c r="P72" s="102" t="str">
        <f t="shared" ca="1" si="6"/>
        <v>9%</v>
      </c>
      <c r="Q72" s="101">
        <f t="shared" ca="1" si="7"/>
        <v>0.24846830784000004</v>
      </c>
      <c r="R72" s="104">
        <f>VLOOKUP(D:D,ranking!W:X,2,0)</f>
        <v>0.7</v>
      </c>
      <c r="S72" s="59">
        <f t="shared" ca="1" si="8"/>
        <v>0.17392781548800001</v>
      </c>
      <c r="T72" s="101">
        <v>9.0708934576319464</v>
      </c>
    </row>
    <row r="73" spans="1:20" x14ac:dyDescent="0.25">
      <c r="A73" s="46" t="s">
        <v>1942</v>
      </c>
      <c r="B73" s="46" t="s">
        <v>85</v>
      </c>
      <c r="C73" s="46" t="s">
        <v>123</v>
      </c>
      <c r="D73" s="46" t="s">
        <v>1012</v>
      </c>
      <c r="E73" s="46" t="s">
        <v>211</v>
      </c>
      <c r="F73" s="46" t="s">
        <v>215</v>
      </c>
      <c r="G73" s="46" t="s">
        <v>1886</v>
      </c>
      <c r="H73" s="46" t="s">
        <v>20</v>
      </c>
      <c r="I73" s="53">
        <v>46216</v>
      </c>
      <c r="J73" s="124"/>
      <c r="K73" s="46" t="s">
        <v>1947</v>
      </c>
      <c r="L73" s="101">
        <f>VLOOKUP($C73&amp;$E73,'Updated SES'!A:N,14,0)</f>
        <v>55.459200000000003</v>
      </c>
      <c r="M73" s="102">
        <f>VLOOKUP($K73,'Genre Penetration'!A:B,2,0)*VLOOKUP($C73&amp;$E73,'Updated SES'!A:I,9,0)</f>
        <v>0.19600000000000001</v>
      </c>
      <c r="N73" s="102">
        <f>VLOOKUP(K:K,'Genre Penetration'!A:C,3,0)*VLOOKUP($C73&amp;$E73,'Updated SES'!A:J,10,0)</f>
        <v>0.30599999999999999</v>
      </c>
      <c r="O73" s="102">
        <f>VLOOKUP($B73,'Language Penetration'!$B$1:$BL$14,MATCH('Compile data Working'!$H11,'Language Penetration'!$B$1:$BL$1,0),0)</f>
        <v>0.6</v>
      </c>
      <c r="P73" s="102" t="str">
        <f t="shared" ca="1" si="6"/>
        <v>1%</v>
      </c>
      <c r="Q73" s="101">
        <f t="shared" ca="1" si="7"/>
        <v>0.1670431104</v>
      </c>
      <c r="R73" s="104">
        <f>VLOOKUP(D:D,ranking!W:X,2,0)</f>
        <v>0.6</v>
      </c>
      <c r="S73" s="59">
        <f t="shared" ca="1" si="8"/>
        <v>0.10022586624</v>
      </c>
      <c r="T73" s="101">
        <v>8.9880317433733996</v>
      </c>
    </row>
    <row r="74" spans="1:20" x14ac:dyDescent="0.25">
      <c r="A74" s="46" t="s">
        <v>1057</v>
      </c>
      <c r="B74" s="46" t="s">
        <v>85</v>
      </c>
      <c r="C74" s="46" t="s">
        <v>123</v>
      </c>
      <c r="D74" s="46" t="s">
        <v>859</v>
      </c>
      <c r="E74" s="46" t="s">
        <v>211</v>
      </c>
      <c r="F74" s="46" t="s">
        <v>213</v>
      </c>
      <c r="G74" s="46" t="s">
        <v>1859</v>
      </c>
      <c r="H74" s="46" t="s">
        <v>1058</v>
      </c>
      <c r="I74" s="53">
        <v>46211</v>
      </c>
      <c r="J74" s="124">
        <v>8</v>
      </c>
      <c r="K74" s="46" t="s">
        <v>145</v>
      </c>
      <c r="L74" s="101">
        <f>VLOOKUP($C74&amp;$E74,'Updated SES'!A:N,14,0)</f>
        <v>55.459200000000003</v>
      </c>
      <c r="M74" s="102">
        <f>VLOOKUP($K74,'Genre Penetration'!A:B,2,0)*VLOOKUP($C74&amp;$E74,'Updated SES'!A:I,9,0)</f>
        <v>0.18129999999999999</v>
      </c>
      <c r="N74" s="102">
        <f>VLOOKUP(K:K,'Genre Penetration'!A:C,3,0)*VLOOKUP($C74&amp;$E74,'Updated SES'!A:J,10,0)</f>
        <v>0.32130000000000003</v>
      </c>
      <c r="O74" s="102">
        <f>VLOOKUP($B74,'Language Penetration'!$B$1:$BL$14,MATCH('Compile data Working'!$H96,'Language Penetration'!$B$1:$BL$1,0),0)</f>
        <v>0.1</v>
      </c>
      <c r="P74" s="102" t="str">
        <f t="shared" ca="1" si="6"/>
        <v>8%</v>
      </c>
      <c r="Q74" s="101">
        <f t="shared" ca="1" si="7"/>
        <v>0.22299035136000003</v>
      </c>
      <c r="R74" s="104">
        <f>VLOOKUP(D:D,ranking!W:X,2,0)</f>
        <v>0.7</v>
      </c>
      <c r="S74" s="59">
        <f t="shared" ca="1" si="8"/>
        <v>0.15609324595200003</v>
      </c>
      <c r="T74" s="101">
        <v>8.7235515454759991</v>
      </c>
    </row>
    <row r="75" spans="1:20" x14ac:dyDescent="0.25">
      <c r="A75" s="46" t="s">
        <v>1057</v>
      </c>
      <c r="B75" s="46" t="s">
        <v>85</v>
      </c>
      <c r="C75" s="46" t="s">
        <v>132</v>
      </c>
      <c r="D75" s="46" t="s">
        <v>456</v>
      </c>
      <c r="E75" s="46" t="s">
        <v>219</v>
      </c>
      <c r="F75" s="46" t="s">
        <v>1819</v>
      </c>
      <c r="G75" s="46" t="s">
        <v>369</v>
      </c>
      <c r="H75" s="46" t="s">
        <v>19</v>
      </c>
      <c r="I75" s="46" t="s">
        <v>254</v>
      </c>
      <c r="J75" s="124">
        <v>7</v>
      </c>
      <c r="K75" s="46" t="s">
        <v>124</v>
      </c>
      <c r="L75" s="101">
        <f>VLOOKUP($C75&amp;$E75,'Updated SES'!A:N,14,0)</f>
        <v>5.2679999999999998</v>
      </c>
      <c r="M75" s="102">
        <f>VLOOKUP($K75,'Genre Penetration'!A:B,2,0)*VLOOKUP($C75&amp;$E75,'Updated SES'!A:I,9,0)</f>
        <v>0.29700000000000004</v>
      </c>
      <c r="N75" s="102">
        <f>VLOOKUP(K:K,'Genre Penetration'!A:C,3,0)*VLOOKUP($C75&amp;$E75,'Updated SES'!A:J,10,0)</f>
        <v>0.18700000000000003</v>
      </c>
      <c r="O75" s="102">
        <f>VLOOKUP($B75,'Language Penetration'!$B$1:$BL$14,MATCH('Compile data Working'!$H110,'Language Penetration'!$B$1:$BL$1,0),0)</f>
        <v>0.6</v>
      </c>
      <c r="P75" s="102" t="str">
        <f t="shared" ca="1" si="6"/>
        <v>9%</v>
      </c>
      <c r="Q75" s="101">
        <f t="shared" ca="1" si="7"/>
        <v>0.13768444800000001</v>
      </c>
      <c r="R75" s="104">
        <f>VLOOKUP(D:D,ranking!W:X,2,0)</f>
        <v>0.3</v>
      </c>
      <c r="S75" s="59">
        <f t="shared" ca="1" si="8"/>
        <v>4.1305334400000004E-2</v>
      </c>
      <c r="T75" s="101">
        <v>8.6691136161096605</v>
      </c>
    </row>
    <row r="76" spans="1:20" x14ac:dyDescent="0.25">
      <c r="A76" s="46" t="s">
        <v>1057</v>
      </c>
      <c r="B76" s="46" t="s">
        <v>85</v>
      </c>
      <c r="C76" s="46" t="s">
        <v>132</v>
      </c>
      <c r="D76" s="46" t="s">
        <v>431</v>
      </c>
      <c r="E76" s="46" t="s">
        <v>211</v>
      </c>
      <c r="F76" s="46" t="s">
        <v>215</v>
      </c>
      <c r="G76" s="53" t="s">
        <v>1803</v>
      </c>
      <c r="H76" s="46" t="s">
        <v>19</v>
      </c>
      <c r="I76" s="53">
        <v>46178</v>
      </c>
      <c r="J76" s="124">
        <v>5</v>
      </c>
      <c r="K76" s="46" t="s">
        <v>138</v>
      </c>
      <c r="L76" s="101">
        <f>VLOOKUP($C76&amp;$E76,'Updated SES'!A:N,14,0)</f>
        <v>21.682040000000004</v>
      </c>
      <c r="M76" s="102">
        <f>VLOOKUP($K76,'Genre Penetration'!A:B,2,0)*VLOOKUP($C76&amp;$E76,'Updated SES'!A:I,9,0)</f>
        <v>0.30549999999999999</v>
      </c>
      <c r="N76" s="102">
        <f>VLOOKUP(K:K,'Genre Penetration'!A:C,3,0)*VLOOKUP($C76&amp;$E76,'Updated SES'!A:J,10,0)</f>
        <v>0.1855</v>
      </c>
      <c r="O76" s="102">
        <f>VLOOKUP($B76,'Language Penetration'!$B$1:$BL$14,MATCH('Compile data Working'!$H108,'Language Penetration'!$B$1:$BL$1,0),0)</f>
        <v>0.6</v>
      </c>
      <c r="P76" s="102" t="str">
        <f t="shared" ca="1" si="6"/>
        <v>19%</v>
      </c>
      <c r="Q76" s="101">
        <f t="shared" ca="1" si="7"/>
        <v>1.2136305069600002</v>
      </c>
      <c r="R76" s="104">
        <f>VLOOKUP(D:D,ranking!W:X,2,0)</f>
        <v>0.6</v>
      </c>
      <c r="S76" s="59">
        <f t="shared" ca="1" si="8"/>
        <v>0.72817830417600005</v>
      </c>
      <c r="T76" s="101">
        <v>8.6286613634164446</v>
      </c>
    </row>
    <row r="77" spans="1:20" x14ac:dyDescent="0.25">
      <c r="A77" s="46" t="s">
        <v>1942</v>
      </c>
      <c r="B77" s="46" t="s">
        <v>85</v>
      </c>
      <c r="C77" s="46" t="s">
        <v>123</v>
      </c>
      <c r="D77" s="46" t="s">
        <v>859</v>
      </c>
      <c r="E77" s="46" t="s">
        <v>211</v>
      </c>
      <c r="F77" s="46" t="s">
        <v>213</v>
      </c>
      <c r="G77" s="53" t="s">
        <v>1907</v>
      </c>
      <c r="H77" s="46" t="s">
        <v>20</v>
      </c>
      <c r="I77" s="53">
        <v>46219</v>
      </c>
      <c r="J77" s="124"/>
      <c r="K77" s="46" t="s">
        <v>124</v>
      </c>
      <c r="L77" s="101">
        <f>VLOOKUP($C77&amp;$E77,'Updated SES'!A:N,14,0)</f>
        <v>55.459200000000003</v>
      </c>
      <c r="M77" s="102">
        <f>VLOOKUP($K77,'Genre Penetration'!A:B,2,0)*VLOOKUP($C77&amp;$E77,'Updated SES'!A:I,9,0)</f>
        <v>0.2205</v>
      </c>
      <c r="N77" s="102">
        <f>VLOOKUP(K:K,'Genre Penetration'!A:C,3,0)*VLOOKUP($C77&amp;$E77,'Updated SES'!A:J,10,0)</f>
        <v>0.28050000000000003</v>
      </c>
      <c r="O77" s="102">
        <f>VLOOKUP($B77,'Language Penetration'!$B$1:$BL$14,MATCH('Compile data Working'!$H32,'Language Penetration'!$B$1:$BL$1,0),0)</f>
        <v>0.26250000000000001</v>
      </c>
      <c r="P77" s="102" t="str">
        <f t="shared" ca="1" si="6"/>
        <v>2%</v>
      </c>
      <c r="Q77" s="101">
        <f t="shared" ca="1" si="7"/>
        <v>0.14587156080000002</v>
      </c>
      <c r="R77" s="104">
        <f>VLOOKUP(D:D,ranking!W:X,2,0)</f>
        <v>0.7</v>
      </c>
      <c r="S77" s="59">
        <f t="shared" ca="1" si="8"/>
        <v>0.10211009256</v>
      </c>
      <c r="T77" s="101">
        <v>8.4820476150601003</v>
      </c>
    </row>
    <row r="78" spans="1:20" x14ac:dyDescent="0.25">
      <c r="A78" s="46" t="s">
        <v>1942</v>
      </c>
      <c r="B78" s="46" t="s">
        <v>85</v>
      </c>
      <c r="C78" s="46" t="s">
        <v>64</v>
      </c>
      <c r="D78" s="46" t="s">
        <v>859</v>
      </c>
      <c r="E78" s="46" t="s">
        <v>233</v>
      </c>
      <c r="F78" s="46" t="s">
        <v>213</v>
      </c>
      <c r="G78" s="46" t="s">
        <v>1881</v>
      </c>
      <c r="H78" s="46" t="s">
        <v>22</v>
      </c>
      <c r="I78" s="53">
        <v>46214</v>
      </c>
      <c r="J78" s="46"/>
      <c r="K78" s="46" t="s">
        <v>168</v>
      </c>
      <c r="L78" s="101">
        <f>VLOOKUP($C78&amp;$E78,'Updated SES'!A:N,14,0)</f>
        <v>4.6890000000000001</v>
      </c>
      <c r="M78" s="102">
        <f>VLOOKUP($K78,'Genre Penetration'!A:B,2,0)*VLOOKUP($C78&amp;$E78,'Updated SES'!A:I,9,0)</f>
        <v>0.43520000000000003</v>
      </c>
      <c r="N78" s="102">
        <f>VLOOKUP(K:K,'Genre Penetration'!A:C,3,0)*VLOOKUP($C78&amp;$E78,'Updated SES'!A:J,10,0)</f>
        <v>0.1152</v>
      </c>
      <c r="O78" s="102">
        <f>VLOOKUP($B78,'Language Penetration'!$B$1:$BL$14,MATCH('Compile data Working'!$H6,'Language Penetration'!$B$1:$BL$1,0),0)</f>
        <v>0.24249999999999999</v>
      </c>
      <c r="P78" s="102" t="str">
        <f t="shared" ca="1" si="6"/>
        <v>1%</v>
      </c>
      <c r="Q78" s="101">
        <f t="shared" ca="1" si="7"/>
        <v>6.2585020799999988E-3</v>
      </c>
      <c r="R78" s="104">
        <f>VLOOKUP(D:D,ranking!W:X,2,0)</f>
        <v>0.7</v>
      </c>
      <c r="S78" s="59">
        <f t="shared" ca="1" si="8"/>
        <v>4.3809514559999992E-3</v>
      </c>
      <c r="T78" s="101">
        <v>8.2594549689199024</v>
      </c>
    </row>
    <row r="79" spans="1:20" x14ac:dyDescent="0.25">
      <c r="A79" s="46" t="s">
        <v>1057</v>
      </c>
      <c r="B79" s="46" t="s">
        <v>85</v>
      </c>
      <c r="C79" s="46" t="s">
        <v>132</v>
      </c>
      <c r="D79" s="46" t="s">
        <v>456</v>
      </c>
      <c r="E79" s="46" t="s">
        <v>219</v>
      </c>
      <c r="F79" s="46" t="s">
        <v>1819</v>
      </c>
      <c r="G79" s="46" t="s">
        <v>1807</v>
      </c>
      <c r="H79" s="46" t="s">
        <v>19</v>
      </c>
      <c r="I79" s="53">
        <v>46175</v>
      </c>
      <c r="J79" s="46">
        <v>1</v>
      </c>
      <c r="K79" s="46" t="s">
        <v>245</v>
      </c>
      <c r="L79" s="101">
        <f>VLOOKUP($C79&amp;$E79,'Updated SES'!A:N,14,0)</f>
        <v>5.2679999999999998</v>
      </c>
      <c r="M79" s="102">
        <f>VLOOKUP($K79,'Genre Penetration'!A:B,2,0)*VLOOKUP($C79&amp;$E79,'Updated SES'!A:I,9,0)</f>
        <v>0.38279999999999997</v>
      </c>
      <c r="N79" s="102">
        <f>VLOOKUP(K:K,'Genre Penetration'!A:C,3,0)*VLOOKUP($C79&amp;$E79,'Updated SES'!A:J,10,0)</f>
        <v>0.14280000000000001</v>
      </c>
      <c r="O79" s="102">
        <f>VLOOKUP($B79,'Language Penetration'!$B$1:$BL$14,MATCH('Compile data Working'!$H104,'Language Penetration'!$B$1:$BL$1,0),0)</f>
        <v>0.6</v>
      </c>
      <c r="P79" s="102" t="str">
        <f t="shared" ca="1" si="6"/>
        <v>38%</v>
      </c>
      <c r="Q79" s="101">
        <f t="shared" ca="1" si="7"/>
        <v>0.63130026239999992</v>
      </c>
      <c r="R79" s="104">
        <f>VLOOKUP(D:D,ranking!W:X,2,0)</f>
        <v>0.3</v>
      </c>
      <c r="S79" s="59">
        <f t="shared" ca="1" si="8"/>
        <v>0.18939007871999997</v>
      </c>
      <c r="T79" s="101">
        <v>8.2359502328606844</v>
      </c>
    </row>
    <row r="80" spans="1:20" x14ac:dyDescent="0.25">
      <c r="A80" s="46" t="s">
        <v>1057</v>
      </c>
      <c r="B80" s="46" t="s">
        <v>85</v>
      </c>
      <c r="C80" s="46" t="s">
        <v>132</v>
      </c>
      <c r="D80" s="46" t="s">
        <v>456</v>
      </c>
      <c r="E80" s="46" t="s">
        <v>219</v>
      </c>
      <c r="F80" s="46" t="s">
        <v>1819</v>
      </c>
      <c r="G80" s="46" t="s">
        <v>1808</v>
      </c>
      <c r="H80" s="46" t="s">
        <v>19</v>
      </c>
      <c r="I80" s="53">
        <v>46179</v>
      </c>
      <c r="J80" s="124">
        <v>3</v>
      </c>
      <c r="K80" s="46" t="s">
        <v>987</v>
      </c>
      <c r="L80" s="101">
        <f>VLOOKUP($C80&amp;$E80,'Updated SES'!A:N,14,0)</f>
        <v>5.2679999999999998</v>
      </c>
      <c r="M80" s="102">
        <f>VLOOKUP($K80,'Genre Penetration'!A:B,2,0)*VLOOKUP($C80&amp;$E80,'Updated SES'!A:I,9,0)</f>
        <v>0.26400000000000001</v>
      </c>
      <c r="N80" s="102">
        <f>VLOOKUP(K:K,'Genre Penetration'!A:C,3,0)*VLOOKUP($C80&amp;$E80,'Updated SES'!A:J,10,0)</f>
        <v>0.20400000000000001</v>
      </c>
      <c r="O80" s="102">
        <f>VLOOKUP($B80,'Language Penetration'!$B$1:$BL$14,MATCH('Compile data Working'!$H106,'Language Penetration'!$B$1:$BL$1,0),0)</f>
        <v>0.6</v>
      </c>
      <c r="P80" s="102" t="str">
        <f t="shared" ca="1" si="6"/>
        <v>27%</v>
      </c>
      <c r="Q80" s="101">
        <f t="shared" ca="1" si="7"/>
        <v>0.39939868800000006</v>
      </c>
      <c r="R80" s="104">
        <f>VLOOKUP(D:D,ranking!W:X,2,0)</f>
        <v>0.3</v>
      </c>
      <c r="S80" s="59">
        <f t="shared" ca="1" si="8"/>
        <v>0.11981960640000001</v>
      </c>
      <c r="T80" s="101">
        <v>8.1367180223059279</v>
      </c>
    </row>
    <row r="81" spans="1:20" x14ac:dyDescent="0.25">
      <c r="A81" s="46" t="s">
        <v>1057</v>
      </c>
      <c r="B81" s="46" t="s">
        <v>85</v>
      </c>
      <c r="C81" s="46" t="s">
        <v>123</v>
      </c>
      <c r="D81" s="46" t="s">
        <v>431</v>
      </c>
      <c r="E81" s="46" t="s">
        <v>211</v>
      </c>
      <c r="F81" s="46" t="s">
        <v>215</v>
      </c>
      <c r="G81" s="46" t="s">
        <v>1816</v>
      </c>
      <c r="H81" s="46" t="s">
        <v>77</v>
      </c>
      <c r="I81" s="53">
        <v>46191</v>
      </c>
      <c r="J81" s="124">
        <v>6</v>
      </c>
      <c r="K81" s="46" t="s">
        <v>202</v>
      </c>
      <c r="L81" s="101">
        <f>VLOOKUP($C81&amp;$E81,'Updated SES'!A:N,14,0)</f>
        <v>55.459200000000003</v>
      </c>
      <c r="M81" s="102">
        <f>VLOOKUP($K81,'Genre Penetration'!A:B,2,0)*VLOOKUP($C81&amp;$E81,'Updated SES'!A:I,9,0)</f>
        <v>0.3528</v>
      </c>
      <c r="N81" s="102">
        <f>VLOOKUP(K:K,'Genre Penetration'!A:C,3,0)*VLOOKUP($C81&amp;$E81,'Updated SES'!A:J,10,0)</f>
        <v>0.14280000000000001</v>
      </c>
      <c r="O81" s="102">
        <f>VLOOKUP($B81,'Language Penetration'!$B$1:$BL$14,MATCH('Compile data Working'!$H101,'Language Penetration'!$B$1:$BL$1,0),0)</f>
        <v>0.22999999999999998</v>
      </c>
      <c r="P81" s="102" t="str">
        <f t="shared" ca="1" si="6"/>
        <v>15%</v>
      </c>
      <c r="Q81" s="101">
        <f t="shared" ca="1" si="7"/>
        <v>0.94825249344000007</v>
      </c>
      <c r="R81" s="104">
        <f>VLOOKUP(D:D,ranking!W:X,2,0)</f>
        <v>0.6</v>
      </c>
      <c r="S81" s="59">
        <f t="shared" ca="1" si="8"/>
        <v>0.56895149606399997</v>
      </c>
      <c r="T81" s="101">
        <v>8.1304042780058587</v>
      </c>
    </row>
    <row r="82" spans="1:20" x14ac:dyDescent="0.25">
      <c r="A82" s="46" t="s">
        <v>1057</v>
      </c>
      <c r="B82" s="46" t="s">
        <v>85</v>
      </c>
      <c r="C82" s="46" t="s">
        <v>132</v>
      </c>
      <c r="D82" s="46" t="s">
        <v>859</v>
      </c>
      <c r="E82" s="46" t="s">
        <v>211</v>
      </c>
      <c r="F82" s="46" t="s">
        <v>213</v>
      </c>
      <c r="G82" s="53" t="s">
        <v>1817</v>
      </c>
      <c r="H82" s="46" t="s">
        <v>1058</v>
      </c>
      <c r="I82" s="53">
        <v>46192</v>
      </c>
      <c r="J82" s="124">
        <v>9</v>
      </c>
      <c r="K82" s="46" t="s">
        <v>78</v>
      </c>
      <c r="L82" s="101">
        <f>VLOOKUP($C82&amp;$E82,'Updated SES'!A:N,14,0)</f>
        <v>21.682040000000004</v>
      </c>
      <c r="M82" s="102">
        <f>VLOOKUP($K82,'Genre Penetration'!A:B,2,0)*VLOOKUP($C82&amp;$E82,'Updated SES'!A:I,9,0)</f>
        <v>0.312</v>
      </c>
      <c r="N82" s="102">
        <f>VLOOKUP(K:K,'Genre Penetration'!A:C,3,0)*VLOOKUP($C82&amp;$E82,'Updated SES'!A:J,10,0)</f>
        <v>0.182</v>
      </c>
      <c r="O82" s="102">
        <f>VLOOKUP($B82,'Language Penetration'!$B$1:$BL$14,MATCH('Compile data Working'!$H112,'Language Penetration'!$B$1:$BL$1,0),0)</f>
        <v>7.0000000000000007E-2</v>
      </c>
      <c r="P82" s="102" t="str">
        <f t="shared" ca="1" si="6"/>
        <v>4%</v>
      </c>
      <c r="Q82" s="101">
        <f t="shared" ca="1" si="7"/>
        <v>2.9990597728000008E-2</v>
      </c>
      <c r="R82" s="104">
        <f>VLOOKUP(D:D,ranking!W:X,2,0)</f>
        <v>0.7</v>
      </c>
      <c r="S82" s="59">
        <f t="shared" ca="1" si="8"/>
        <v>2.0993418409600003E-2</v>
      </c>
      <c r="T82" s="101">
        <v>8.0223471847507426</v>
      </c>
    </row>
    <row r="83" spans="1:20" x14ac:dyDescent="0.25">
      <c r="A83" s="46" t="s">
        <v>1942</v>
      </c>
      <c r="B83" s="46" t="s">
        <v>85</v>
      </c>
      <c r="C83" s="46" t="s">
        <v>123</v>
      </c>
      <c r="D83" s="46" t="s">
        <v>859</v>
      </c>
      <c r="E83" s="46" t="s">
        <v>211</v>
      </c>
      <c r="F83" s="46" t="s">
        <v>213</v>
      </c>
      <c r="G83" s="53" t="s">
        <v>1908</v>
      </c>
      <c r="H83" s="46" t="s">
        <v>20</v>
      </c>
      <c r="I83" s="53">
        <v>46219</v>
      </c>
      <c r="J83" s="46"/>
      <c r="K83" s="46" t="s">
        <v>124</v>
      </c>
      <c r="L83" s="101">
        <f>VLOOKUP($C83&amp;$E83,'Updated SES'!A:N,14,0)</f>
        <v>55.459200000000003</v>
      </c>
      <c r="M83" s="102">
        <f>VLOOKUP($K83,'Genre Penetration'!A:B,2,0)*VLOOKUP($C83&amp;$E83,'Updated SES'!A:I,9,0)</f>
        <v>0.2205</v>
      </c>
      <c r="N83" s="102">
        <f>VLOOKUP(K:K,'Genre Penetration'!A:C,3,0)*VLOOKUP($C83&amp;$E83,'Updated SES'!A:J,10,0)</f>
        <v>0.28050000000000003</v>
      </c>
      <c r="O83" s="102">
        <f>VLOOKUP($B83,'Language Penetration'!$B$1:$BL$14,MATCH('Compile data Working'!$H33,'Language Penetration'!$B$1:$BL$1,0),0)</f>
        <v>0.28333333333333333</v>
      </c>
      <c r="P83" s="102" t="str">
        <f t="shared" ca="1" si="6"/>
        <v>1%</v>
      </c>
      <c r="Q83" s="101">
        <f t="shared" ca="1" si="7"/>
        <v>7.8724334400000012E-2</v>
      </c>
      <c r="R83" s="104">
        <f>VLOOKUP(D:D,ranking!W:X,2,0)</f>
        <v>0.7</v>
      </c>
      <c r="S83" s="59">
        <f t="shared" ca="1" si="8"/>
        <v>5.5107034080000006E-2</v>
      </c>
      <c r="T83" s="101">
        <v>8.0213295196624994</v>
      </c>
    </row>
    <row r="84" spans="1:20" x14ac:dyDescent="0.25">
      <c r="A84" s="46" t="s">
        <v>1774</v>
      </c>
      <c r="B84" s="46" t="s">
        <v>85</v>
      </c>
      <c r="C84" s="46" t="s">
        <v>1810</v>
      </c>
      <c r="D84" s="46" t="s">
        <v>456</v>
      </c>
      <c r="E84" s="46" t="s">
        <v>211</v>
      </c>
      <c r="F84" s="46" t="s">
        <v>1819</v>
      </c>
      <c r="G84" s="46" t="s">
        <v>1776</v>
      </c>
      <c r="H84" s="46" t="s">
        <v>19</v>
      </c>
      <c r="I84" s="122">
        <v>44025</v>
      </c>
      <c r="J84" s="46"/>
      <c r="K84" s="46" t="s">
        <v>216</v>
      </c>
      <c r="L84" s="101">
        <f>VLOOKUP($C84&amp;$E84,'Updated SES'!A:N,14,0)</f>
        <v>127.11702000000001</v>
      </c>
      <c r="M84" s="102">
        <f>VLOOKUP($K84,'Genre Penetration'!A:B,2,0)*VLOOKUP($C84&amp;$E84,'Updated SES'!A:I,9,0)</f>
        <v>0.33499999999999996</v>
      </c>
      <c r="N84" s="102">
        <f>VLOOKUP(K:K,'Genre Penetration'!A:C,3,0)*VLOOKUP($C84&amp;$E84,'Updated SES'!A:J,10,0)</f>
        <v>0.16499999999999998</v>
      </c>
      <c r="O84" s="102">
        <f>VLOOKUP($B84,'Language Penetration'!$B$1:$BL$14,MATCH('Compile data Working'!$H133,'Language Penetration'!$B$1:$BL$1,0),0)</f>
        <v>0.20400000000000001</v>
      </c>
      <c r="P84" s="102" t="str">
        <f t="shared" ca="1" si="6"/>
        <v>2%</v>
      </c>
      <c r="Q84" s="101">
        <f t="shared" ca="1" si="7"/>
        <v>0.25931872080000001</v>
      </c>
      <c r="R84" s="104">
        <f>VLOOKUP(D:D,ranking!W:X,2,0)</f>
        <v>0.3</v>
      </c>
      <c r="S84" s="59">
        <f t="shared" ca="1" si="8"/>
        <v>7.7795616240000004E-2</v>
      </c>
      <c r="T84" s="101">
        <v>7.3358627549644551</v>
      </c>
    </row>
    <row r="85" spans="1:20" x14ac:dyDescent="0.25">
      <c r="A85" s="46" t="s">
        <v>1057</v>
      </c>
      <c r="B85" s="46" t="s">
        <v>85</v>
      </c>
      <c r="C85" s="46" t="s">
        <v>1810</v>
      </c>
      <c r="D85" s="46" t="s">
        <v>431</v>
      </c>
      <c r="E85" s="46" t="s">
        <v>211</v>
      </c>
      <c r="F85" s="46" t="s">
        <v>215</v>
      </c>
      <c r="G85" s="46" t="s">
        <v>1840</v>
      </c>
      <c r="H85" s="46" t="s">
        <v>1058</v>
      </c>
      <c r="I85" s="53">
        <v>46094</v>
      </c>
      <c r="J85" s="124">
        <v>6</v>
      </c>
      <c r="K85" s="46" t="s">
        <v>145</v>
      </c>
      <c r="L85" s="101">
        <f>VLOOKUP($C85&amp;$E85,'Updated SES'!A:N,14,0)</f>
        <v>127.11702000000001</v>
      </c>
      <c r="M85" s="102">
        <f>VLOOKUP($K85,'Genre Penetration'!A:B,2,0)*VLOOKUP($C85&amp;$E85,'Updated SES'!A:I,9,0)</f>
        <v>0.24789999999999998</v>
      </c>
      <c r="N85" s="102">
        <f>VLOOKUP(K:K,'Genre Penetration'!A:C,3,0)*VLOOKUP($C85&amp;$E85,'Updated SES'!A:J,10,0)</f>
        <v>0.20789999999999997</v>
      </c>
      <c r="O85" s="102">
        <f>VLOOKUP($B85,'Language Penetration'!$B$1:$BL$14,MATCH('Compile data Working'!$H88,'Language Penetration'!$B$1:$BL$1,0),0)</f>
        <v>0.6</v>
      </c>
      <c r="P85" s="102" t="str">
        <f t="shared" ca="1" si="6"/>
        <v>14%</v>
      </c>
      <c r="Q85" s="101">
        <f t="shared" ca="1" si="7"/>
        <v>4.8669547681440006</v>
      </c>
      <c r="R85" s="104">
        <f>VLOOKUP(D:D,ranking!W:X,2,0)</f>
        <v>0.6</v>
      </c>
      <c r="S85" s="59">
        <f t="shared" ca="1" si="8"/>
        <v>2.9201728608864004</v>
      </c>
      <c r="T85" s="101">
        <v>6.8033219127463092</v>
      </c>
    </row>
    <row r="86" spans="1:20" x14ac:dyDescent="0.25">
      <c r="A86" s="46" t="s">
        <v>1942</v>
      </c>
      <c r="B86" s="46" t="s">
        <v>85</v>
      </c>
      <c r="C86" s="46" t="s">
        <v>64</v>
      </c>
      <c r="D86" s="46" t="s">
        <v>859</v>
      </c>
      <c r="E86" s="46" t="s">
        <v>233</v>
      </c>
      <c r="F86" s="46" t="s">
        <v>213</v>
      </c>
      <c r="G86" s="46" t="s">
        <v>1919</v>
      </c>
      <c r="H86" s="46" t="s">
        <v>33</v>
      </c>
      <c r="I86" s="53">
        <v>46220</v>
      </c>
      <c r="J86" s="124"/>
      <c r="K86" s="46" t="s">
        <v>138</v>
      </c>
      <c r="L86" s="101">
        <f>VLOOKUP($C86&amp;$E86,'Updated SES'!A:N,14,0)</f>
        <v>4.6890000000000001</v>
      </c>
      <c r="M86" s="102">
        <f>VLOOKUP($K86,'Genre Penetration'!A:B,2,0)*VLOOKUP($C86&amp;$E86,'Updated SES'!A:I,9,0)</f>
        <v>0.3196</v>
      </c>
      <c r="N86" s="102">
        <f>VLOOKUP(K:K,'Genre Penetration'!A:C,3,0)*VLOOKUP($C86&amp;$E86,'Updated SES'!A:J,10,0)</f>
        <v>0.1696</v>
      </c>
      <c r="O86" s="102">
        <f>VLOOKUP($B86,'Language Penetration'!$B$1:$BL$14,MATCH('Compile data Working'!$H44,'Language Penetration'!$B$1:$BL$1,0),0)</f>
        <v>0.20333333333333337</v>
      </c>
      <c r="P86" s="102" t="str">
        <f t="shared" ca="1" si="6"/>
        <v>1%</v>
      </c>
      <c r="Q86" s="101">
        <f t="shared" ca="1" si="7"/>
        <v>4.6641795600000004E-3</v>
      </c>
      <c r="R86" s="104">
        <f>VLOOKUP(D:D,ranking!W:X,2,0)</f>
        <v>0.7</v>
      </c>
      <c r="S86" s="59">
        <f t="shared" ca="1" si="8"/>
        <v>3.264925692E-3</v>
      </c>
      <c r="T86" s="101">
        <v>6.6075639751359221</v>
      </c>
    </row>
    <row r="87" spans="1:20" x14ac:dyDescent="0.25">
      <c r="A87" s="46" t="s">
        <v>1057</v>
      </c>
      <c r="B87" s="46" t="s">
        <v>85</v>
      </c>
      <c r="C87" s="46" t="s">
        <v>1229</v>
      </c>
      <c r="D87" s="46" t="s">
        <v>433</v>
      </c>
      <c r="E87" s="46" t="s">
        <v>219</v>
      </c>
      <c r="F87" s="46" t="s">
        <v>215</v>
      </c>
      <c r="G87" s="46" t="s">
        <v>1801</v>
      </c>
      <c r="H87" s="46" t="s">
        <v>19</v>
      </c>
      <c r="I87" s="53">
        <v>46176</v>
      </c>
      <c r="J87" s="124">
        <v>2</v>
      </c>
      <c r="K87" s="46" t="s">
        <v>216</v>
      </c>
      <c r="L87" s="101">
        <f>VLOOKUP($C87&amp;$E87,'Updated SES'!A:N,14,0)</f>
        <v>78.939870000000013</v>
      </c>
      <c r="M87" s="102">
        <f>VLOOKUP($K87,'Genre Penetration'!A:B,2,0)*VLOOKUP($C87&amp;$E87,'Updated SES'!A:I,9,0)</f>
        <v>0.4</v>
      </c>
      <c r="N87" s="102">
        <f>VLOOKUP(K:K,'Genre Penetration'!A:C,3,0)*VLOOKUP($C87&amp;$E87,'Updated SES'!A:J,10,0)</f>
        <v>0.1</v>
      </c>
      <c r="O87" s="102">
        <f>VLOOKUP($B87,'Language Penetration'!$B$1:$BL$14,MATCH('Compile data Working'!$H68,'Language Penetration'!$B$1:$BL$1,0),0)</f>
        <v>0.1</v>
      </c>
      <c r="P87" s="102" t="str">
        <f t="shared" ca="1" si="6"/>
        <v>35%</v>
      </c>
      <c r="Q87" s="101">
        <f t="shared" ca="1" si="7"/>
        <v>1.3814477250000003</v>
      </c>
      <c r="R87" s="104">
        <f>VLOOKUP(D:D,ranking!W:X,2,0)</f>
        <v>0.6</v>
      </c>
      <c r="S87" s="59">
        <f t="shared" ca="1" si="8"/>
        <v>0.82886863500000019</v>
      </c>
      <c r="T87" s="101">
        <v>6.4963203765134878</v>
      </c>
    </row>
    <row r="88" spans="1:20" x14ac:dyDescent="0.25">
      <c r="A88" s="46" t="s">
        <v>1057</v>
      </c>
      <c r="B88" s="46" t="s">
        <v>85</v>
      </c>
      <c r="C88" s="46" t="s">
        <v>132</v>
      </c>
      <c r="D88" s="46" t="s">
        <v>456</v>
      </c>
      <c r="E88" s="46" t="s">
        <v>219</v>
      </c>
      <c r="F88" s="46" t="s">
        <v>1819</v>
      </c>
      <c r="G88" s="46" t="s">
        <v>1515</v>
      </c>
      <c r="H88" s="124" t="s">
        <v>19</v>
      </c>
      <c r="I88" s="53">
        <v>45948</v>
      </c>
      <c r="J88" s="124">
        <v>2</v>
      </c>
      <c r="K88" s="46" t="s">
        <v>987</v>
      </c>
      <c r="L88" s="101">
        <f>VLOOKUP($C88&amp;$E88,'Updated SES'!A:N,14,0)</f>
        <v>5.2679999999999998</v>
      </c>
      <c r="M88" s="102">
        <f>VLOOKUP($K88,'Genre Penetration'!A:B,2,0)*VLOOKUP($C88&amp;$E88,'Updated SES'!A:I,9,0)</f>
        <v>0.26400000000000001</v>
      </c>
      <c r="N88" s="102">
        <f>VLOOKUP(K:K,'Genre Penetration'!A:C,3,0)*VLOOKUP($C88&amp;$E88,'Updated SES'!A:J,10,0)</f>
        <v>0.20400000000000001</v>
      </c>
      <c r="O88" s="102">
        <f>VLOOKUP($B88,'Language Penetration'!$B$1:$BL$14,MATCH('Compile data Working'!$H105,'Language Penetration'!$B$1:$BL$1,0),0)</f>
        <v>0.12</v>
      </c>
      <c r="P88" s="102" t="str">
        <f t="shared" ca="1" si="6"/>
        <v>34%</v>
      </c>
      <c r="Q88" s="101">
        <f t="shared" ca="1" si="7"/>
        <v>0.1005892992</v>
      </c>
      <c r="R88" s="104">
        <f>VLOOKUP(D:D,ranking!W:X,2,0)</f>
        <v>0.3</v>
      </c>
      <c r="S88" s="59">
        <f t="shared" ca="1" si="8"/>
        <v>3.0176789759999996E-2</v>
      </c>
      <c r="T88" s="101">
        <v>6.0072023816322631</v>
      </c>
    </row>
    <row r="89" spans="1:20" x14ac:dyDescent="0.25">
      <c r="A89" s="46" t="s">
        <v>1774</v>
      </c>
      <c r="B89" s="46" t="s">
        <v>85</v>
      </c>
      <c r="C89" s="46" t="s">
        <v>1810</v>
      </c>
      <c r="D89" s="46" t="s">
        <v>456</v>
      </c>
      <c r="E89" s="46" t="s">
        <v>211</v>
      </c>
      <c r="F89" s="46" t="s">
        <v>1819</v>
      </c>
      <c r="G89" s="46" t="s">
        <v>1782</v>
      </c>
      <c r="H89" s="46" t="s">
        <v>19</v>
      </c>
      <c r="I89" s="122">
        <v>39825</v>
      </c>
      <c r="J89" s="46"/>
      <c r="K89" s="46" t="s">
        <v>216</v>
      </c>
      <c r="L89" s="101">
        <f>VLOOKUP($C89&amp;$E89,'Updated SES'!A:N,14,0)</f>
        <v>127.11702000000001</v>
      </c>
      <c r="M89" s="102">
        <f>VLOOKUP($K89,'Genre Penetration'!A:B,2,0)*VLOOKUP($C89&amp;$E89,'Updated SES'!A:I,9,0)</f>
        <v>0.33499999999999996</v>
      </c>
      <c r="N89" s="102">
        <f>VLOOKUP(K:K,'Genre Penetration'!A:C,3,0)*VLOOKUP($C89&amp;$E89,'Updated SES'!A:J,10,0)</f>
        <v>0.16499999999999998</v>
      </c>
      <c r="O89" s="102">
        <f>VLOOKUP($B89,'Language Penetration'!$B$1:$BL$14,MATCH('Compile data Working'!$H135,'Language Penetration'!$B$1:$BL$1,0),0)</f>
        <v>0.09</v>
      </c>
      <c r="P89" s="102" t="str">
        <f t="shared" ca="1" si="6"/>
        <v>2%</v>
      </c>
      <c r="Q89" s="101">
        <f t="shared" ca="1" si="7"/>
        <v>0.11440531799999999</v>
      </c>
      <c r="R89" s="104">
        <f>VLOOKUP(D:D,ranking!W:X,2,0)</f>
        <v>0.3</v>
      </c>
      <c r="S89" s="59">
        <f t="shared" ca="1" si="8"/>
        <v>3.4321595399999995E-2</v>
      </c>
      <c r="T89" s="101">
        <v>5.8988082088944003</v>
      </c>
    </row>
    <row r="90" spans="1:20" x14ac:dyDescent="0.25">
      <c r="A90" s="46" t="s">
        <v>1057</v>
      </c>
      <c r="B90" s="46" t="s">
        <v>85</v>
      </c>
      <c r="C90" s="46" t="s">
        <v>150</v>
      </c>
      <c r="D90" s="46" t="s">
        <v>859</v>
      </c>
      <c r="E90" s="46" t="s">
        <v>211</v>
      </c>
      <c r="F90" s="46" t="s">
        <v>213</v>
      </c>
      <c r="G90" s="46" t="s">
        <v>1867</v>
      </c>
      <c r="H90" s="46" t="s">
        <v>1058</v>
      </c>
      <c r="I90" s="53">
        <v>46213</v>
      </c>
      <c r="J90" s="46">
        <v>1</v>
      </c>
      <c r="K90" s="46" t="s">
        <v>131</v>
      </c>
      <c r="L90" s="101">
        <f>VLOOKUP($C90&amp;$E90,'Updated SES'!A:N,14,0)</f>
        <v>60.152000000000001</v>
      </c>
      <c r="M90" s="102">
        <f>VLOOKUP($K90,'Genre Penetration'!A:B,2,0)*VLOOKUP($C90&amp;$E90,'Updated SES'!A:I,9,0)</f>
        <v>0.40300000000000002</v>
      </c>
      <c r="N90" s="102">
        <f>VLOOKUP(K:K,'Genre Penetration'!A:C,3,0)*VLOOKUP($C90&amp;$E90,'Updated SES'!A:J,10,0)</f>
        <v>0.13299999999999998</v>
      </c>
      <c r="O90" s="102">
        <f>VLOOKUP($B90,'Language Penetration'!$B$1:$BL$14,MATCH('Compile data Working'!$H114,'Language Penetration'!$B$1:$BL$1,0),0)</f>
        <v>0.6</v>
      </c>
      <c r="P90" s="102" t="str">
        <f t="shared" ca="1" si="6"/>
        <v>40%</v>
      </c>
      <c r="Q90" s="101">
        <f t="shared" ca="1" si="7"/>
        <v>7.737953280000001</v>
      </c>
      <c r="R90" s="104">
        <f>VLOOKUP(D:D,ranking!W:X,2,0)</f>
        <v>0.7</v>
      </c>
      <c r="S90" s="59">
        <f t="shared" ca="1" si="8"/>
        <v>5.4165672960000002</v>
      </c>
      <c r="T90" s="101">
        <v>5.8633130195010015</v>
      </c>
    </row>
    <row r="91" spans="1:20" x14ac:dyDescent="0.25">
      <c r="A91" s="46" t="s">
        <v>1774</v>
      </c>
      <c r="B91" s="46" t="s">
        <v>85</v>
      </c>
      <c r="C91" s="46" t="s">
        <v>1810</v>
      </c>
      <c r="D91" s="46" t="s">
        <v>456</v>
      </c>
      <c r="E91" s="46" t="s">
        <v>211</v>
      </c>
      <c r="F91" s="46" t="s">
        <v>1819</v>
      </c>
      <c r="G91" s="46" t="s">
        <v>1778</v>
      </c>
      <c r="H91" s="46" t="s">
        <v>19</v>
      </c>
      <c r="I91" s="46">
        <v>36710</v>
      </c>
      <c r="J91" s="46"/>
      <c r="K91" s="46" t="s">
        <v>216</v>
      </c>
      <c r="L91" s="101">
        <f>VLOOKUP($C91&amp;$E91,'Updated SES'!A:N,14,0)</f>
        <v>127.11702000000001</v>
      </c>
      <c r="M91" s="102">
        <f>VLOOKUP($K91,'Genre Penetration'!A:B,2,0)*VLOOKUP($C91&amp;$E91,'Updated SES'!A:I,9,0)</f>
        <v>0.33499999999999996</v>
      </c>
      <c r="N91" s="102">
        <f>VLOOKUP(K:K,'Genre Penetration'!A:C,3,0)*VLOOKUP($C91&amp;$E91,'Updated SES'!A:J,10,0)</f>
        <v>0.16499999999999998</v>
      </c>
      <c r="O91" s="102">
        <f>VLOOKUP($B91,'Language Penetration'!$B$1:$BL$14,MATCH('Compile data Working'!$H134,'Language Penetration'!$B$1:$BL$1,0),0)</f>
        <v>0.6</v>
      </c>
      <c r="P91" s="102" t="str">
        <f t="shared" ca="1" si="6"/>
        <v>2%</v>
      </c>
      <c r="Q91" s="101">
        <f t="shared" ca="1" si="7"/>
        <v>0.76270212000000004</v>
      </c>
      <c r="R91" s="104">
        <f>VLOOKUP(D:D,ranking!W:X,2,0)</f>
        <v>0.3</v>
      </c>
      <c r="S91" s="59">
        <f t="shared" ca="1" si="8"/>
        <v>0.22881063600000001</v>
      </c>
      <c r="T91" s="101">
        <v>5.8025256384196204</v>
      </c>
    </row>
    <row r="92" spans="1:20" x14ac:dyDescent="0.25">
      <c r="A92" s="46" t="s">
        <v>1057</v>
      </c>
      <c r="B92" s="46" t="s">
        <v>85</v>
      </c>
      <c r="C92" s="46" t="s">
        <v>150</v>
      </c>
      <c r="D92" s="46" t="s">
        <v>1012</v>
      </c>
      <c r="E92" s="46" t="s">
        <v>211</v>
      </c>
      <c r="F92" s="46" t="s">
        <v>215</v>
      </c>
      <c r="G92" s="46" t="s">
        <v>1865</v>
      </c>
      <c r="H92" s="46" t="s">
        <v>1879</v>
      </c>
      <c r="I92" s="53">
        <v>46213</v>
      </c>
      <c r="J92" s="124">
        <v>2</v>
      </c>
      <c r="K92" s="46" t="s">
        <v>286</v>
      </c>
      <c r="L92" s="101">
        <f>VLOOKUP($C92&amp;$E92,'Updated SES'!A:N,14,0)</f>
        <v>60.152000000000001</v>
      </c>
      <c r="M92" s="102">
        <f>VLOOKUP($K92,'Genre Penetration'!A:B,2,0)*VLOOKUP($C92&amp;$E92,'Updated SES'!A:I,9,0)</f>
        <v>0.35424999999999995</v>
      </c>
      <c r="N92" s="102">
        <f>VLOOKUP(K:K,'Genre Penetration'!A:C,3,0)*VLOOKUP($C92&amp;$E92,'Updated SES'!A:J,10,0)</f>
        <v>0.15924999999999997</v>
      </c>
      <c r="O92" s="102">
        <f>VLOOKUP($B92,'Language Penetration'!$B$1:$BL$14,MATCH('Compile data Working'!$H115,'Language Penetration'!$B$1:$BL$1,0),0)</f>
        <v>0.20400000000000001</v>
      </c>
      <c r="P92" s="102" t="str">
        <f t="shared" ca="1" si="6"/>
        <v>31%</v>
      </c>
      <c r="Q92" s="101">
        <f t="shared" ca="1" si="7"/>
        <v>1.95336040848</v>
      </c>
      <c r="R92" s="104">
        <f>VLOOKUP(D:D,ranking!W:X,2,0)</f>
        <v>0.6</v>
      </c>
      <c r="S92" s="59">
        <f t="shared" ca="1" si="8"/>
        <v>1.1720162450880001</v>
      </c>
      <c r="T92" s="101">
        <v>5.4724254848676006</v>
      </c>
    </row>
    <row r="93" spans="1:20" x14ac:dyDescent="0.25">
      <c r="A93" s="46" t="s">
        <v>1057</v>
      </c>
      <c r="B93" s="46" t="s">
        <v>85</v>
      </c>
      <c r="C93" s="46" t="s">
        <v>64</v>
      </c>
      <c r="D93" s="46" t="s">
        <v>431</v>
      </c>
      <c r="E93" s="46" t="s">
        <v>211</v>
      </c>
      <c r="F93" s="46" t="s">
        <v>215</v>
      </c>
      <c r="G93" s="125" t="s">
        <v>1786</v>
      </c>
      <c r="H93" s="124" t="s">
        <v>1432</v>
      </c>
      <c r="I93" s="53">
        <v>46155</v>
      </c>
      <c r="J93" s="124">
        <v>8</v>
      </c>
      <c r="K93" s="46" t="s">
        <v>172</v>
      </c>
      <c r="L93" s="101">
        <f>VLOOKUP($C93&amp;$E93,'Updated SES'!A:N,14,0)</f>
        <v>36.498239999999996</v>
      </c>
      <c r="M93" s="102">
        <f>VLOOKUP($K93,'Genre Penetration'!A:B,2,0)*VLOOKUP($C93&amp;$E93,'Updated SES'!A:I,9,0)</f>
        <v>0.20800000000000002</v>
      </c>
      <c r="N93" s="102">
        <f>VLOOKUP(K:K,'Genre Penetration'!A:C,3,0)*VLOOKUP($C93&amp;$E93,'Updated SES'!A:J,10,0)</f>
        <v>0.28799999999999998</v>
      </c>
      <c r="O93" s="102">
        <f>VLOOKUP($B93,'Language Penetration'!$B$1:$BL$14,MATCH('Compile data Working'!$H82,'Language Penetration'!$B$1:$BL$1,0),0)</f>
        <v>0.20400000000000001</v>
      </c>
      <c r="P93" s="102" t="str">
        <f t="shared" ca="1" si="6"/>
        <v>7%</v>
      </c>
      <c r="Q93" s="101">
        <f t="shared" ca="1" si="7"/>
        <v>0.2585126541312</v>
      </c>
      <c r="R93" s="104">
        <f>VLOOKUP(D:D,ranking!W:X,2,0)</f>
        <v>0.6</v>
      </c>
      <c r="S93" s="59">
        <f t="shared" ca="1" si="8"/>
        <v>0.15510759247872</v>
      </c>
      <c r="T93" s="101">
        <v>5.3401606915854414</v>
      </c>
    </row>
    <row r="94" spans="1:20" x14ac:dyDescent="0.25">
      <c r="A94" s="46" t="s">
        <v>1057</v>
      </c>
      <c r="B94" s="46" t="s">
        <v>85</v>
      </c>
      <c r="C94" s="46" t="s">
        <v>1229</v>
      </c>
      <c r="D94" s="46" t="s">
        <v>433</v>
      </c>
      <c r="E94" s="46" t="s">
        <v>219</v>
      </c>
      <c r="F94" s="46" t="s">
        <v>215</v>
      </c>
      <c r="G94" s="46" t="s">
        <v>1797</v>
      </c>
      <c r="H94" s="46" t="s">
        <v>19</v>
      </c>
      <c r="I94" s="53">
        <v>46157</v>
      </c>
      <c r="J94" s="124">
        <v>3</v>
      </c>
      <c r="K94" s="46" t="s">
        <v>176</v>
      </c>
      <c r="L94" s="101">
        <f>VLOOKUP($C94&amp;$E94,'Updated SES'!A:N,14,0)</f>
        <v>78.939870000000013</v>
      </c>
      <c r="M94" s="102">
        <f>VLOOKUP($K94,'Genre Penetration'!A:B,2,0)*VLOOKUP($C94&amp;$E94,'Updated SES'!A:I,9,0)</f>
        <v>0.496</v>
      </c>
      <c r="N94" s="102">
        <f>VLOOKUP(K:K,'Genre Penetration'!A:C,3,0)*VLOOKUP($C94&amp;$E94,'Updated SES'!A:J,10,0)</f>
        <v>7.6000000000000012E-2</v>
      </c>
      <c r="O94" s="102">
        <f>VLOOKUP($B94,'Language Penetration'!$B$1:$BL$14,MATCH('Compile data Working'!$H69,'Language Penetration'!$B$1:$BL$1,0),0)</f>
        <v>0.22999999999999998</v>
      </c>
      <c r="P94" s="102" t="str">
        <f t="shared" ca="1" si="6"/>
        <v>30%</v>
      </c>
      <c r="Q94" s="101">
        <f t="shared" ca="1" si="7"/>
        <v>3.1155987891600003</v>
      </c>
      <c r="R94" s="104">
        <f>VLOOKUP(D:D,ranking!W:X,2,0)</f>
        <v>0.6</v>
      </c>
      <c r="S94" s="59">
        <f t="shared" ca="1" si="8"/>
        <v>1.8693592734960001</v>
      </c>
      <c r="T94" s="101">
        <v>4.9174487857659797</v>
      </c>
    </row>
    <row r="95" spans="1:20" x14ac:dyDescent="0.25">
      <c r="A95" s="46" t="s">
        <v>1774</v>
      </c>
      <c r="B95" s="46" t="s">
        <v>85</v>
      </c>
      <c r="C95" s="46" t="s">
        <v>1810</v>
      </c>
      <c r="D95" s="46" t="s">
        <v>456</v>
      </c>
      <c r="E95" s="46" t="s">
        <v>211</v>
      </c>
      <c r="F95" s="46" t="s">
        <v>1819</v>
      </c>
      <c r="G95" s="46" t="s">
        <v>1800</v>
      </c>
      <c r="H95" s="46" t="s">
        <v>22</v>
      </c>
      <c r="I95" s="46" t="s">
        <v>254</v>
      </c>
      <c r="J95" s="46"/>
      <c r="K95" s="46" t="s">
        <v>216</v>
      </c>
      <c r="L95" s="101">
        <f>VLOOKUP($C95&amp;$E95,'Updated SES'!A:N,14,0)</f>
        <v>127.11702000000001</v>
      </c>
      <c r="M95" s="102">
        <f>VLOOKUP($K95,'Genre Penetration'!A:B,2,0)*VLOOKUP($C95&amp;$E95,'Updated SES'!A:I,9,0)</f>
        <v>0.33499999999999996</v>
      </c>
      <c r="N95" s="102">
        <f>VLOOKUP(K:K,'Genre Penetration'!A:C,3,0)*VLOOKUP($C95&amp;$E95,'Updated SES'!A:J,10,0)</f>
        <v>0.16499999999999998</v>
      </c>
      <c r="O95" s="102">
        <f>VLOOKUP($B95,'Language Penetration'!$B$1:$BL$14,MATCH('Compile data Working'!$H136,'Language Penetration'!$B$1:$BL$1,0),0)</f>
        <v>0.1</v>
      </c>
      <c r="P95" s="102" t="str">
        <f t="shared" ca="1" si="6"/>
        <v>2%</v>
      </c>
      <c r="Q95" s="101">
        <f t="shared" ca="1" si="7"/>
        <v>0.12711702</v>
      </c>
      <c r="R95" s="104">
        <f>VLOOKUP(D:D,ranking!W:X,2,0)</f>
        <v>0.3</v>
      </c>
      <c r="S95" s="59">
        <f t="shared" ca="1" si="8"/>
        <v>3.8135105999999995E-2</v>
      </c>
      <c r="T95" s="101">
        <v>4.9111470426809554</v>
      </c>
    </row>
    <row r="96" spans="1:20" x14ac:dyDescent="0.25">
      <c r="A96" s="46" t="s">
        <v>1774</v>
      </c>
      <c r="B96" s="46" t="s">
        <v>85</v>
      </c>
      <c r="C96" s="46" t="s">
        <v>1810</v>
      </c>
      <c r="D96" s="46" t="s">
        <v>456</v>
      </c>
      <c r="E96" s="46" t="s">
        <v>211</v>
      </c>
      <c r="F96" s="46" t="s">
        <v>1819</v>
      </c>
      <c r="G96" s="46" t="s">
        <v>1799</v>
      </c>
      <c r="H96" s="46" t="s">
        <v>22</v>
      </c>
      <c r="I96" s="46">
        <v>44949</v>
      </c>
      <c r="J96" s="46"/>
      <c r="K96" s="46" t="s">
        <v>216</v>
      </c>
      <c r="L96" s="101">
        <f>VLOOKUP($C96&amp;$E96,'Updated SES'!A:N,14,0)</f>
        <v>127.11702000000001</v>
      </c>
      <c r="M96" s="102">
        <f>VLOOKUP($K96,'Genre Penetration'!A:B,2,0)*VLOOKUP($C96&amp;$E96,'Updated SES'!A:I,9,0)</f>
        <v>0.33499999999999996</v>
      </c>
      <c r="N96" s="102">
        <f>VLOOKUP(K:K,'Genre Penetration'!A:C,3,0)*VLOOKUP($C96&amp;$E96,'Updated SES'!A:J,10,0)</f>
        <v>0.16499999999999998</v>
      </c>
      <c r="O96" s="102">
        <f>VLOOKUP($B96,'Language Penetration'!$B$1:$BL$14,MATCH('Compile data Working'!$H137,'Language Penetration'!$B$1:$BL$1,0),0)</f>
        <v>0.1</v>
      </c>
      <c r="P96" s="102" t="str">
        <f t="shared" ca="1" si="6"/>
        <v>1%</v>
      </c>
      <c r="Q96" s="101">
        <f t="shared" ca="1" si="7"/>
        <v>6.3558509999999999E-2</v>
      </c>
      <c r="R96" s="104">
        <f>VLOOKUP(D:D,ranking!W:X,2,0)</f>
        <v>0.3</v>
      </c>
      <c r="S96" s="59">
        <f t="shared" ca="1" si="8"/>
        <v>1.9067552999999998E-2</v>
      </c>
      <c r="T96" s="101">
        <v>4.7615128279632168</v>
      </c>
    </row>
    <row r="97" spans="1:20" x14ac:dyDescent="0.25">
      <c r="A97" s="46" t="s">
        <v>1057</v>
      </c>
      <c r="B97" s="46" t="s">
        <v>85</v>
      </c>
      <c r="C97" s="46" t="s">
        <v>150</v>
      </c>
      <c r="D97" s="46" t="s">
        <v>1013</v>
      </c>
      <c r="E97" s="46" t="s">
        <v>211</v>
      </c>
      <c r="F97" s="46" t="s">
        <v>213</v>
      </c>
      <c r="G97" s="46" t="s">
        <v>1863</v>
      </c>
      <c r="H97" s="46" t="s">
        <v>29</v>
      </c>
      <c r="I97" s="53">
        <v>46213</v>
      </c>
      <c r="J97" s="124">
        <v>4</v>
      </c>
      <c r="K97" s="46" t="s">
        <v>216</v>
      </c>
      <c r="L97" s="101">
        <f>VLOOKUP($C97&amp;$E97,'Updated SES'!A:N,14,0)</f>
        <v>60.152000000000001</v>
      </c>
      <c r="M97" s="102">
        <f>VLOOKUP($K97,'Genre Penetration'!A:B,2,0)*VLOOKUP($C97&amp;$E97,'Updated SES'!A:I,9,0)</f>
        <v>0.32500000000000001</v>
      </c>
      <c r="N97" s="102">
        <f>VLOOKUP(K:K,'Genre Penetration'!A:C,3,0)*VLOOKUP($C97&amp;$E97,'Updated SES'!A:J,10,0)</f>
        <v>0.17499999999999999</v>
      </c>
      <c r="O97" s="102">
        <f>VLOOKUP($B97,'Language Penetration'!$B$1:$BL$14,MATCH('Compile data Working'!$H117,'Language Penetration'!$B$1:$BL$1,0),0)</f>
        <v>0.6</v>
      </c>
      <c r="P97" s="102" t="str">
        <f t="shared" ca="1" si="6"/>
        <v>21%</v>
      </c>
      <c r="Q97" s="101">
        <f t="shared" ca="1" si="7"/>
        <v>3.7895759999999998</v>
      </c>
      <c r="R97" s="104">
        <f>VLOOKUP(D:D,ranking!W:X,2,0)</f>
        <v>0.8</v>
      </c>
      <c r="S97" s="59">
        <f t="shared" ca="1" si="8"/>
        <v>3.0316608</v>
      </c>
      <c r="T97" s="101">
        <v>4.6906504156008006</v>
      </c>
    </row>
    <row r="98" spans="1:20" x14ac:dyDescent="0.25">
      <c r="A98" s="46" t="s">
        <v>1057</v>
      </c>
      <c r="B98" s="46" t="s">
        <v>85</v>
      </c>
      <c r="C98" s="46" t="s">
        <v>132</v>
      </c>
      <c r="D98" s="46" t="s">
        <v>859</v>
      </c>
      <c r="E98" s="46" t="s">
        <v>211</v>
      </c>
      <c r="F98" s="46" t="s">
        <v>213</v>
      </c>
      <c r="G98" s="46" t="s">
        <v>1860</v>
      </c>
      <c r="H98" s="46" t="s">
        <v>1058</v>
      </c>
      <c r="I98" s="53">
        <v>46212</v>
      </c>
      <c r="J98" s="124">
        <v>4</v>
      </c>
      <c r="K98" s="46" t="s">
        <v>87</v>
      </c>
      <c r="L98" s="101">
        <f>VLOOKUP($C98&amp;$E98,'Updated SES'!A:N,14,0)</f>
        <v>21.682040000000004</v>
      </c>
      <c r="M98" s="102">
        <f>VLOOKUP($K98,'Genre Penetration'!A:B,2,0)*VLOOKUP($C98&amp;$E98,'Updated SES'!A:I,9,0)</f>
        <v>0.39650000000000002</v>
      </c>
      <c r="N98" s="102">
        <f>VLOOKUP(K:K,'Genre Penetration'!A:C,3,0)*VLOOKUP($C98&amp;$E98,'Updated SES'!A:J,10,0)</f>
        <v>0.13649999999999998</v>
      </c>
      <c r="O98" s="102">
        <f>VLOOKUP($B98,'Language Penetration'!$B$1:$BL$14,MATCH('Compile data Working'!$H107,'Language Penetration'!$B$1:$BL$1,0),0)</f>
        <v>7.0000000000000007E-2</v>
      </c>
      <c r="P98" s="102" t="str">
        <f t="shared" ca="1" si="6"/>
        <v>25%</v>
      </c>
      <c r="Q98" s="101">
        <f t="shared" ca="1" si="7"/>
        <v>0.20223922810000006</v>
      </c>
      <c r="R98" s="104">
        <f>VLOOKUP(D:D,ranking!W:X,2,0)</f>
        <v>0.7</v>
      </c>
      <c r="S98" s="59">
        <f t="shared" ca="1" si="8"/>
        <v>0.14156745967000003</v>
      </c>
      <c r="T98" s="101">
        <v>3.9088753463340007</v>
      </c>
    </row>
    <row r="99" spans="1:20" x14ac:dyDescent="0.25">
      <c r="A99" s="46" t="s">
        <v>1774</v>
      </c>
      <c r="B99" s="46" t="s">
        <v>85</v>
      </c>
      <c r="C99" s="46" t="s">
        <v>1810</v>
      </c>
      <c r="D99" s="46" t="s">
        <v>456</v>
      </c>
      <c r="E99" s="46" t="s">
        <v>211</v>
      </c>
      <c r="F99" s="46" t="s">
        <v>1819</v>
      </c>
      <c r="G99" s="46" t="s">
        <v>1777</v>
      </c>
      <c r="H99" s="46" t="s">
        <v>19</v>
      </c>
      <c r="I99" s="46" t="s">
        <v>254</v>
      </c>
      <c r="J99" s="46"/>
      <c r="K99" s="46" t="s">
        <v>216</v>
      </c>
      <c r="L99" s="101">
        <f>VLOOKUP($C99&amp;$E99,'Updated SES'!A:N,14,0)</f>
        <v>127.11702000000001</v>
      </c>
      <c r="M99" s="102">
        <f>VLOOKUP($K99,'Genre Penetration'!A:B,2,0)*VLOOKUP($C99&amp;$E99,'Updated SES'!A:I,9,0)</f>
        <v>0.33499999999999996</v>
      </c>
      <c r="N99" s="102">
        <f>VLOOKUP(K:K,'Genre Penetration'!A:C,3,0)*VLOOKUP($C99&amp;$E99,'Updated SES'!A:J,10,0)</f>
        <v>0.16499999999999998</v>
      </c>
      <c r="O99" s="102">
        <f>VLOOKUP($B99,'Language Penetration'!$B$1:$BL$14,MATCH('Compile data Working'!$H138,'Language Penetration'!$B$1:$BL$1,0),0)</f>
        <v>0.1</v>
      </c>
      <c r="P99" s="102" t="str">
        <f t="shared" ca="1" si="6"/>
        <v>2%</v>
      </c>
      <c r="Q99" s="101">
        <f t="shared" ca="1" si="7"/>
        <v>0.12711702</v>
      </c>
      <c r="R99" s="104">
        <f>VLOOKUP(D:D,ranking!W:X,2,0)</f>
        <v>0.3</v>
      </c>
      <c r="S99" s="59">
        <f t="shared" ca="1" si="8"/>
        <v>3.8135105999999995E-2</v>
      </c>
      <c r="T99" s="101">
        <v>3.530555417966541</v>
      </c>
    </row>
    <row r="100" spans="1:20" x14ac:dyDescent="0.25">
      <c r="A100" s="46" t="s">
        <v>1057</v>
      </c>
      <c r="B100" s="46" t="s">
        <v>85</v>
      </c>
      <c r="C100" s="46" t="s">
        <v>132</v>
      </c>
      <c r="D100" s="46" t="s">
        <v>859</v>
      </c>
      <c r="E100" s="46" t="s">
        <v>211</v>
      </c>
      <c r="F100" s="46" t="s">
        <v>213</v>
      </c>
      <c r="G100" s="46" t="s">
        <v>1852</v>
      </c>
      <c r="H100" s="46" t="s">
        <v>1058</v>
      </c>
      <c r="I100" s="53">
        <v>46206</v>
      </c>
      <c r="J100" s="124">
        <v>8</v>
      </c>
      <c r="K100" s="46" t="s">
        <v>380</v>
      </c>
      <c r="L100" s="101">
        <f>VLOOKUP($C100&amp;$E100,'Updated SES'!A:N,14,0)</f>
        <v>21.682040000000004</v>
      </c>
      <c r="M100" s="102">
        <f>VLOOKUP($K100,'Genre Penetration'!A:B,2,0)*VLOOKUP($C100&amp;$E100,'Updated SES'!A:I,9,0)</f>
        <v>0.42575000000000002</v>
      </c>
      <c r="N100" s="102">
        <f>VLOOKUP(K:K,'Genre Penetration'!A:C,3,0)*VLOOKUP($C100&amp;$E100,'Updated SES'!A:J,10,0)</f>
        <v>0.12074999999999998</v>
      </c>
      <c r="O100" s="102">
        <f>VLOOKUP($B100,'Language Penetration'!$B$1:$BL$14,MATCH('Compile data Working'!$H111,'Language Penetration'!$B$1:$BL$1,0),0)</f>
        <v>0.20400000000000001</v>
      </c>
      <c r="P100" s="102" t="str">
        <f t="shared" ca="1" si="6"/>
        <v>6%</v>
      </c>
      <c r="Q100" s="101">
        <f t="shared" ca="1" si="7"/>
        <v>0.14503463468640004</v>
      </c>
      <c r="R100" s="104">
        <f>VLOOKUP(D:D,ranking!W:X,2,0)</f>
        <v>0.7</v>
      </c>
      <c r="S100" s="59">
        <f t="shared" ca="1" si="8"/>
        <v>0.10152424428048003</v>
      </c>
      <c r="T100" s="101">
        <v>3.4693550640248838</v>
      </c>
    </row>
    <row r="101" spans="1:20" x14ac:dyDescent="0.25">
      <c r="A101" s="46" t="s">
        <v>1057</v>
      </c>
      <c r="B101" s="46" t="s">
        <v>85</v>
      </c>
      <c r="C101" s="46" t="s">
        <v>132</v>
      </c>
      <c r="D101" s="46" t="s">
        <v>431</v>
      </c>
      <c r="E101" s="46" t="s">
        <v>211</v>
      </c>
      <c r="F101" s="46" t="s">
        <v>215</v>
      </c>
      <c r="G101" s="53" t="s">
        <v>1845</v>
      </c>
      <c r="H101" s="46" t="s">
        <v>1755</v>
      </c>
      <c r="I101" s="53">
        <v>46199</v>
      </c>
      <c r="J101" s="124">
        <v>10</v>
      </c>
      <c r="K101" s="46" t="s">
        <v>216</v>
      </c>
      <c r="L101" s="101">
        <f>VLOOKUP($C101&amp;$E101,'Updated SES'!A:N,14,0)</f>
        <v>21.682040000000004</v>
      </c>
      <c r="M101" s="102">
        <f>VLOOKUP($K101,'Genre Penetration'!A:B,2,0)*VLOOKUP($C101&amp;$E101,'Updated SES'!A:I,9,0)</f>
        <v>0.32500000000000001</v>
      </c>
      <c r="N101" s="102">
        <f>VLOOKUP(K:K,'Genre Penetration'!A:C,3,0)*VLOOKUP($C101&amp;$E101,'Updated SES'!A:J,10,0)</f>
        <v>0.17499999999999999</v>
      </c>
      <c r="O101" s="102">
        <f>VLOOKUP($B101,'Language Penetration'!$B$1:$BL$14,MATCH('Compile data Working'!$H113,'Language Penetration'!$B$1:$BL$1,0),0)</f>
        <v>0.6</v>
      </c>
      <c r="P101" s="102" t="str">
        <f t="shared" ref="P101:P132" ca="1" si="9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2%</v>
      </c>
      <c r="Q101" s="101">
        <f t="shared" ref="Q101:Q132" ca="1" si="10">IFERROR(L101*(M101+N101)*O101*P101,RANDBETWEEN(1,2)%*L101*(M101+N101)*O101)</f>
        <v>0.13009224000000003</v>
      </c>
      <c r="R101" s="104">
        <f>VLOOKUP(D:D,ranking!W:X,2,0)</f>
        <v>0.6</v>
      </c>
      <c r="S101" s="59">
        <f t="shared" ref="S101:S132" ca="1" si="11">R101*Q101</f>
        <v>7.8055344000000013E-2</v>
      </c>
      <c r="T101" s="101">
        <v>3.3438190460240445</v>
      </c>
    </row>
    <row r="102" spans="1:20" x14ac:dyDescent="0.25">
      <c r="A102" s="46" t="s">
        <v>1057</v>
      </c>
      <c r="B102" s="46" t="s">
        <v>85</v>
      </c>
      <c r="C102" s="46" t="s">
        <v>150</v>
      </c>
      <c r="D102" s="46" t="s">
        <v>1013</v>
      </c>
      <c r="E102" s="46" t="s">
        <v>211</v>
      </c>
      <c r="F102" s="46" t="s">
        <v>213</v>
      </c>
      <c r="G102" s="46" t="s">
        <v>1866</v>
      </c>
      <c r="H102" s="46" t="s">
        <v>33</v>
      </c>
      <c r="I102" s="53">
        <v>46213</v>
      </c>
      <c r="J102" s="124">
        <v>3</v>
      </c>
      <c r="K102" s="46" t="s">
        <v>138</v>
      </c>
      <c r="L102" s="101">
        <f>VLOOKUP($C102&amp;$E102,'Updated SES'!A:N,14,0)</f>
        <v>60.152000000000001</v>
      </c>
      <c r="M102" s="102">
        <f>VLOOKUP($K102,'Genre Penetration'!A:B,2,0)*VLOOKUP($C102&amp;$E102,'Updated SES'!A:I,9,0)</f>
        <v>0.30549999999999999</v>
      </c>
      <c r="N102" s="102">
        <f>VLOOKUP(K:K,'Genre Penetration'!A:C,3,0)*VLOOKUP($C102&amp;$E102,'Updated SES'!A:J,10,0)</f>
        <v>0.1855</v>
      </c>
      <c r="O102" s="102">
        <f>VLOOKUP($B102,'Language Penetration'!$B$1:$BL$14,MATCH('Compile data Working'!$H116,'Language Penetration'!$B$1:$BL$1,0),0)</f>
        <v>0.6</v>
      </c>
      <c r="P102" s="102" t="str">
        <f t="shared" ca="1" si="9"/>
        <v>27%</v>
      </c>
      <c r="Q102" s="101">
        <f t="shared" ca="1" si="10"/>
        <v>4.7846103840000005</v>
      </c>
      <c r="R102" s="104">
        <f>VLOOKUP(D:D,ranking!W:X,2,0)</f>
        <v>0.8</v>
      </c>
      <c r="S102" s="59">
        <f t="shared" ca="1" si="11"/>
        <v>3.8276883072000008</v>
      </c>
      <c r="T102" s="101">
        <v>3.1271002770672007</v>
      </c>
    </row>
    <row r="103" spans="1:20" x14ac:dyDescent="0.25">
      <c r="A103" s="46" t="s">
        <v>1057</v>
      </c>
      <c r="B103" s="46" t="s">
        <v>85</v>
      </c>
      <c r="C103" s="46" t="s">
        <v>150</v>
      </c>
      <c r="D103" s="46" t="s">
        <v>431</v>
      </c>
      <c r="E103" s="46" t="s">
        <v>211</v>
      </c>
      <c r="F103" s="46" t="s">
        <v>215</v>
      </c>
      <c r="G103" s="46" t="s">
        <v>1812</v>
      </c>
      <c r="H103" s="46" t="s">
        <v>19</v>
      </c>
      <c r="I103" s="53">
        <v>46185</v>
      </c>
      <c r="J103" s="124">
        <v>3</v>
      </c>
      <c r="K103" s="46" t="s">
        <v>1947</v>
      </c>
      <c r="L103" s="101">
        <f>VLOOKUP($C103&amp;$E103,'Updated SES'!A:N,14,0)</f>
        <v>60.152000000000001</v>
      </c>
      <c r="M103" s="102">
        <f>VLOOKUP($K103,'Genre Penetration'!A:B,2,0)*VLOOKUP($C103&amp;$E103,'Updated SES'!A:I,9,0)</f>
        <v>0.26</v>
      </c>
      <c r="N103" s="102">
        <f>VLOOKUP(K:K,'Genre Penetration'!A:C,3,0)*VLOOKUP($C103&amp;$E103,'Updated SES'!A:J,10,0)</f>
        <v>0.21</v>
      </c>
      <c r="O103" s="102">
        <f>VLOOKUP($B103,'Language Penetration'!$B$1:$BL$14,MATCH('Compile data Working'!$H125,'Language Penetration'!$B$1:$BL$1,0),0)</f>
        <v>0.6</v>
      </c>
      <c r="P103" s="102" t="str">
        <f t="shared" ca="1" si="9"/>
        <v>26%</v>
      </c>
      <c r="Q103" s="101">
        <f t="shared" ca="1" si="10"/>
        <v>4.4103446399999999</v>
      </c>
      <c r="R103" s="104">
        <f>VLOOKUP(D:D,ranking!W:X,2,0)</f>
        <v>0.6</v>
      </c>
      <c r="S103" s="59">
        <f t="shared" ca="1" si="11"/>
        <v>2.6462067839999999</v>
      </c>
      <c r="T103" s="101">
        <v>2.761267523248871</v>
      </c>
    </row>
    <row r="104" spans="1:20" x14ac:dyDescent="0.25">
      <c r="A104" s="46" t="s">
        <v>1057</v>
      </c>
      <c r="B104" s="46" t="s">
        <v>85</v>
      </c>
      <c r="C104" s="46" t="s">
        <v>150</v>
      </c>
      <c r="D104" s="46" t="s">
        <v>433</v>
      </c>
      <c r="E104" s="46" t="s">
        <v>219</v>
      </c>
      <c r="F104" s="46" t="s">
        <v>215</v>
      </c>
      <c r="G104" s="46" t="s">
        <v>1875</v>
      </c>
      <c r="H104" s="46" t="s">
        <v>19</v>
      </c>
      <c r="I104" s="53">
        <v>45653</v>
      </c>
      <c r="J104" s="124">
        <v>7</v>
      </c>
      <c r="K104" s="46" t="s">
        <v>173</v>
      </c>
      <c r="L104" s="101">
        <f>VLOOKUP($C104&amp;$E104,'Updated SES'!A:N,14,0)</f>
        <v>24.425800000000002</v>
      </c>
      <c r="M104" s="102">
        <f>VLOOKUP($K104,'Genre Penetration'!A:B,2,0)*VLOOKUP($C104&amp;$E104,'Updated SES'!A:I,9,0)</f>
        <v>0.37400000000000005</v>
      </c>
      <c r="N104" s="102">
        <f>VLOOKUP(K:K,'Genre Penetration'!A:C,3,0)*VLOOKUP($C104&amp;$E104,'Updated SES'!A:J,10,0)</f>
        <v>0.14400000000000002</v>
      </c>
      <c r="O104" s="102">
        <f>VLOOKUP($B104,'Language Penetration'!$B$1:$BL$14,MATCH('Compile data Working'!$H129,'Language Penetration'!$B$1:$BL$1,0),0)</f>
        <v>0.6</v>
      </c>
      <c r="P104" s="102" t="str">
        <f t="shared" ca="1" si="9"/>
        <v>10%</v>
      </c>
      <c r="Q104" s="101">
        <f t="shared" ca="1" si="10"/>
        <v>0.75915386400000007</v>
      </c>
      <c r="R104" s="104">
        <f>VLOOKUP(D:D,ranking!W:X,2,0)</f>
        <v>0.6</v>
      </c>
      <c r="S104" s="59">
        <f t="shared" ca="1" si="11"/>
        <v>0.45549231840000004</v>
      </c>
      <c r="T104" s="101">
        <v>2.375694756669827</v>
      </c>
    </row>
    <row r="105" spans="1:20" x14ac:dyDescent="0.25">
      <c r="A105" s="46" t="s">
        <v>1774</v>
      </c>
      <c r="B105" s="46" t="s">
        <v>85</v>
      </c>
      <c r="C105" s="46" t="s">
        <v>1810</v>
      </c>
      <c r="D105" s="46" t="s">
        <v>456</v>
      </c>
      <c r="E105" s="46" t="s">
        <v>211</v>
      </c>
      <c r="F105" s="46" t="s">
        <v>1819</v>
      </c>
      <c r="G105" s="46" t="s">
        <v>1798</v>
      </c>
      <c r="H105" s="46" t="s">
        <v>29</v>
      </c>
      <c r="I105" s="122" t="s">
        <v>254</v>
      </c>
      <c r="J105" s="46"/>
      <c r="K105" s="46" t="s">
        <v>216</v>
      </c>
      <c r="L105" s="101">
        <f>VLOOKUP($C105&amp;$E105,'Updated SES'!A:N,14,0)</f>
        <v>127.11702000000001</v>
      </c>
      <c r="M105" s="102">
        <f>VLOOKUP($K105,'Genre Penetration'!A:B,2,0)*VLOOKUP($C105&amp;$E105,'Updated SES'!A:I,9,0)</f>
        <v>0.33499999999999996</v>
      </c>
      <c r="N105" s="102">
        <f>VLOOKUP(K:K,'Genre Penetration'!A:C,3,0)*VLOOKUP($C105&amp;$E105,'Updated SES'!A:J,10,0)</f>
        <v>0.16499999999999998</v>
      </c>
      <c r="O105" s="102">
        <f>VLOOKUP($B105,'Language Penetration'!$B$1:$BL$14,MATCH('Compile data Working'!$H139,'Language Penetration'!$B$1:$BL$1,0),0)</f>
        <v>0.26250000000000001</v>
      </c>
      <c r="P105" s="102" t="str">
        <f t="shared" ca="1" si="9"/>
        <v>1%</v>
      </c>
      <c r="Q105" s="101">
        <f t="shared" ca="1" si="10"/>
        <v>0.16684108875000001</v>
      </c>
      <c r="R105" s="104">
        <f>VLOOKUP(D:D,ranking!W:X,2,0)</f>
        <v>0.3</v>
      </c>
      <c r="S105" s="59">
        <f t="shared" ca="1" si="11"/>
        <v>5.0052326624999997E-2</v>
      </c>
      <c r="T105" s="101">
        <v>2.34421927061643</v>
      </c>
    </row>
    <row r="106" spans="1:20" x14ac:dyDescent="0.25">
      <c r="A106" s="46" t="s">
        <v>1057</v>
      </c>
      <c r="B106" s="46" t="s">
        <v>85</v>
      </c>
      <c r="C106" s="46" t="s">
        <v>150</v>
      </c>
      <c r="D106" s="46" t="s">
        <v>1013</v>
      </c>
      <c r="E106" s="46" t="s">
        <v>211</v>
      </c>
      <c r="F106" s="46" t="s">
        <v>213</v>
      </c>
      <c r="G106" s="46" t="s">
        <v>1872</v>
      </c>
      <c r="H106" s="46" t="s">
        <v>19</v>
      </c>
      <c r="I106" s="53">
        <v>45828</v>
      </c>
      <c r="J106" s="124">
        <v>9</v>
      </c>
      <c r="K106" s="46" t="s">
        <v>124</v>
      </c>
      <c r="L106" s="101">
        <f>VLOOKUP($C106&amp;$E106,'Updated SES'!A:N,14,0)</f>
        <v>60.152000000000001</v>
      </c>
      <c r="M106" s="102">
        <f>VLOOKUP($K106,'Genre Penetration'!A:B,2,0)*VLOOKUP($C106&amp;$E106,'Updated SES'!A:I,9,0)</f>
        <v>0.29250000000000004</v>
      </c>
      <c r="N106" s="102">
        <f>VLOOKUP(K:K,'Genre Penetration'!A:C,3,0)*VLOOKUP($C106&amp;$E106,'Updated SES'!A:J,10,0)</f>
        <v>0.1925</v>
      </c>
      <c r="O106" s="102">
        <f>VLOOKUP($B106,'Language Penetration'!$B$1:$BL$14,MATCH('Compile data Working'!$H122,'Language Penetration'!$B$1:$BL$1,0),0)</f>
        <v>0.2</v>
      </c>
      <c r="P106" s="102" t="str">
        <f t="shared" ca="1" si="9"/>
        <v>5%</v>
      </c>
      <c r="Q106" s="101">
        <f t="shared" ca="1" si="10"/>
        <v>0.29173720000000003</v>
      </c>
      <c r="R106" s="104">
        <f>VLOOKUP(D:D,ranking!W:X,2,0)</f>
        <v>0.8</v>
      </c>
      <c r="S106" s="59">
        <f t="shared" ca="1" si="11"/>
        <v>0.23338976000000003</v>
      </c>
      <c r="T106" s="101">
        <v>2.1929490061567636</v>
      </c>
    </row>
    <row r="107" spans="1:20" x14ac:dyDescent="0.25">
      <c r="A107" s="46" t="s">
        <v>1942</v>
      </c>
      <c r="B107" s="46" t="s">
        <v>85</v>
      </c>
      <c r="C107" s="46" t="s">
        <v>117</v>
      </c>
      <c r="D107" s="46" t="s">
        <v>859</v>
      </c>
      <c r="E107" s="46" t="s">
        <v>211</v>
      </c>
      <c r="F107" s="46" t="s">
        <v>213</v>
      </c>
      <c r="G107" s="46" t="s">
        <v>1882</v>
      </c>
      <c r="H107" s="46" t="s">
        <v>26</v>
      </c>
      <c r="I107" s="53">
        <v>46214</v>
      </c>
      <c r="J107" s="46"/>
      <c r="K107" s="46" t="s">
        <v>216</v>
      </c>
      <c r="L107" s="101">
        <f>VLOOKUP($C107&amp;$E107,'Updated SES'!A:N,14,0)</f>
        <v>0.15089999999999998</v>
      </c>
      <c r="M107" s="102">
        <f>VLOOKUP($K107,'Genre Penetration'!A:B,2,0)*VLOOKUP($C107&amp;$E107,'Updated SES'!A:I,9,0)</f>
        <v>0.37</v>
      </c>
      <c r="N107" s="102">
        <f>VLOOKUP(K:K,'Genre Penetration'!A:C,3,0)*VLOOKUP($C107&amp;$E107,'Updated SES'!A:J,10,0)</f>
        <v>0.13</v>
      </c>
      <c r="O107" s="102">
        <f>VLOOKUP($B107,'Language Penetration'!$B$1:$BL$14,MATCH('Compile data Working'!$H7,'Language Penetration'!$B$1:$BL$1,0),0)</f>
        <v>0.28333333333333333</v>
      </c>
      <c r="P107" s="102" t="str">
        <f t="shared" ca="1" si="9"/>
        <v>2%</v>
      </c>
      <c r="Q107" s="101">
        <f t="shared" ca="1" si="10"/>
        <v>4.2754999999999996E-4</v>
      </c>
      <c r="R107" s="104">
        <f>VLOOKUP(D:D,ranking!W:X,2,0)</f>
        <v>0.7</v>
      </c>
      <c r="S107" s="59">
        <f t="shared" ca="1" si="11"/>
        <v>2.9928499999999994E-4</v>
      </c>
      <c r="T107" s="101">
        <v>2.1539192453120002</v>
      </c>
    </row>
    <row r="108" spans="1:20" x14ac:dyDescent="0.25">
      <c r="A108" s="46" t="s">
        <v>1057</v>
      </c>
      <c r="B108" s="46" t="s">
        <v>85</v>
      </c>
      <c r="C108" s="46" t="s">
        <v>1229</v>
      </c>
      <c r="D108" s="46" t="s">
        <v>433</v>
      </c>
      <c r="E108" s="46" t="s">
        <v>219</v>
      </c>
      <c r="F108" s="46" t="s">
        <v>215</v>
      </c>
      <c r="G108" s="46" t="s">
        <v>1787</v>
      </c>
      <c r="H108" s="46" t="s">
        <v>19</v>
      </c>
      <c r="I108" s="53">
        <v>46141</v>
      </c>
      <c r="J108" s="124">
        <v>5</v>
      </c>
      <c r="K108" s="46" t="s">
        <v>154</v>
      </c>
      <c r="L108" s="101">
        <f>VLOOKUP($C108&amp;$E108,'Updated SES'!A:N,14,0)</f>
        <v>78.939870000000013</v>
      </c>
      <c r="M108" s="102">
        <f>VLOOKUP($K108,'Genre Penetration'!A:B,2,0)*VLOOKUP($C108&amp;$E108,'Updated SES'!A:I,9,0)</f>
        <v>0.24</v>
      </c>
      <c r="N108" s="102">
        <f>VLOOKUP(K:K,'Genre Penetration'!A:C,3,0)*VLOOKUP($C108&amp;$E108,'Updated SES'!A:J,10,0)</f>
        <v>0.13999999999999999</v>
      </c>
      <c r="O108" s="102">
        <f>VLOOKUP($B108,'Language Penetration'!$B$1:$BL$14,MATCH('Compile data Working'!$H71,'Language Penetration'!$B$1:$BL$1,0),0)</f>
        <v>0.15</v>
      </c>
      <c r="P108" s="102" t="str">
        <f t="shared" ca="1" si="9"/>
        <v>18%</v>
      </c>
      <c r="Q108" s="101">
        <f t="shared" ca="1" si="10"/>
        <v>0.8099230662000001</v>
      </c>
      <c r="R108" s="104">
        <f>VLOOKUP(D:D,ranking!W:X,2,0)</f>
        <v>0.6</v>
      </c>
      <c r="S108" s="59">
        <f t="shared" ca="1" si="11"/>
        <v>0.48595383972000006</v>
      </c>
      <c r="T108" s="101">
        <v>2.0964106487161005</v>
      </c>
    </row>
    <row r="109" spans="1:20" x14ac:dyDescent="0.25">
      <c r="A109" s="46" t="s">
        <v>1057</v>
      </c>
      <c r="B109" s="46" t="s">
        <v>85</v>
      </c>
      <c r="C109" s="46" t="s">
        <v>150</v>
      </c>
      <c r="D109" s="46" t="s">
        <v>431</v>
      </c>
      <c r="E109" s="46" t="s">
        <v>211</v>
      </c>
      <c r="F109" s="46" t="s">
        <v>215</v>
      </c>
      <c r="G109" s="46" t="s">
        <v>1874</v>
      </c>
      <c r="H109" s="46" t="s">
        <v>19</v>
      </c>
      <c r="I109" s="53">
        <v>45352</v>
      </c>
      <c r="J109" s="124">
        <v>6</v>
      </c>
      <c r="K109" s="46" t="s">
        <v>449</v>
      </c>
      <c r="L109" s="101">
        <f>VLOOKUP($C109&amp;$E109,'Updated SES'!A:N,14,0)</f>
        <v>60.152000000000001</v>
      </c>
      <c r="M109" s="102">
        <f>VLOOKUP($K109,'Genre Penetration'!A:B,2,0)*VLOOKUP($C109&amp;$E109,'Updated SES'!A:I,9,0)</f>
        <v>0.3705</v>
      </c>
      <c r="N109" s="102">
        <f>VLOOKUP(K:K,'Genre Penetration'!A:C,3,0)*VLOOKUP($C109&amp;$E109,'Updated SES'!A:J,10,0)</f>
        <v>0.15049999999999999</v>
      </c>
      <c r="O109" s="102">
        <f>VLOOKUP($B109,'Language Penetration'!$B$1:$BL$14,MATCH('Compile data Working'!$H128,'Language Penetration'!$B$1:$BL$1,0),0)</f>
        <v>0.27166666666666667</v>
      </c>
      <c r="P109" s="102" t="str">
        <f t="shared" ca="1" si="9"/>
        <v>12%</v>
      </c>
      <c r="Q109" s="101">
        <f t="shared" ca="1" si="10"/>
        <v>1.0216576592</v>
      </c>
      <c r="R109" s="104">
        <f>VLOOKUP(D:D,ranking!W:X,2,0)</f>
        <v>0.6</v>
      </c>
      <c r="S109" s="59">
        <f t="shared" ca="1" si="11"/>
        <v>0.61299459551999991</v>
      </c>
      <c r="T109" s="101">
        <v>2.0102032556437002</v>
      </c>
    </row>
    <row r="110" spans="1:20" x14ac:dyDescent="0.25">
      <c r="A110" s="46" t="s">
        <v>1057</v>
      </c>
      <c r="B110" s="46" t="s">
        <v>85</v>
      </c>
      <c r="C110" s="46" t="s">
        <v>1229</v>
      </c>
      <c r="D110" s="46" t="s">
        <v>433</v>
      </c>
      <c r="E110" s="46" t="s">
        <v>219</v>
      </c>
      <c r="F110" s="46" t="s">
        <v>215</v>
      </c>
      <c r="G110" s="46" t="s">
        <v>1869</v>
      </c>
      <c r="H110" s="46" t="s">
        <v>19</v>
      </c>
      <c r="I110" s="53">
        <v>46129</v>
      </c>
      <c r="J110" s="124">
        <v>4</v>
      </c>
      <c r="K110" s="46" t="s">
        <v>448</v>
      </c>
      <c r="L110" s="101">
        <f>VLOOKUP($C110&amp;$E110,'Updated SES'!A:N,14,0)</f>
        <v>78.939870000000013</v>
      </c>
      <c r="M110" s="102">
        <f>VLOOKUP($K110,'Genre Penetration'!A:B,2,0)*VLOOKUP($C110&amp;$E110,'Updated SES'!A:I,9,0)</f>
        <v>0.55999999999999994</v>
      </c>
      <c r="N110" s="102">
        <f>VLOOKUP(K:K,'Genre Penetration'!A:C,3,0)*VLOOKUP($C110&amp;$E110,'Updated SES'!A:J,10,0)</f>
        <v>0.06</v>
      </c>
      <c r="O110" s="102">
        <f>VLOOKUP($B110,'Language Penetration'!$B$1:$BL$14,MATCH('Compile data Working'!$H70,'Language Penetration'!$B$1:$BL$1,0),0)</f>
        <v>0.4</v>
      </c>
      <c r="P110" s="102" t="str">
        <f t="shared" ca="1" si="9"/>
        <v>21%</v>
      </c>
      <c r="Q110" s="101">
        <f t="shared" ca="1" si="10"/>
        <v>4.1111884296000003</v>
      </c>
      <c r="R110" s="104">
        <f>VLOOKUP(D:D,ranking!W:X,2,0)</f>
        <v>0.6</v>
      </c>
      <c r="S110" s="59">
        <f t="shared" ca="1" si="11"/>
        <v>2.4667130577600003</v>
      </c>
      <c r="T110" s="101">
        <v>1.96634488464</v>
      </c>
    </row>
    <row r="111" spans="1:20" x14ac:dyDescent="0.25">
      <c r="A111" s="46" t="s">
        <v>1057</v>
      </c>
      <c r="B111" s="46" t="s">
        <v>85</v>
      </c>
      <c r="C111" s="46" t="s">
        <v>150</v>
      </c>
      <c r="D111" s="46" t="s">
        <v>859</v>
      </c>
      <c r="E111" s="46" t="s">
        <v>211</v>
      </c>
      <c r="F111" s="46" t="s">
        <v>213</v>
      </c>
      <c r="G111" s="46" t="s">
        <v>1804</v>
      </c>
      <c r="H111" s="46" t="s">
        <v>1058</v>
      </c>
      <c r="I111" s="53">
        <v>46178</v>
      </c>
      <c r="J111" s="124">
        <v>5</v>
      </c>
      <c r="K111" s="46" t="s">
        <v>355</v>
      </c>
      <c r="L111" s="101">
        <f>VLOOKUP($C111&amp;$E111,'Updated SES'!A:N,14,0)</f>
        <v>60.152000000000001</v>
      </c>
      <c r="M111" s="102">
        <f>VLOOKUP($K111,'Genre Penetration'!A:B,2,0)*VLOOKUP($C111&amp;$E111,'Updated SES'!A:I,9,0)</f>
        <v>0.377</v>
      </c>
      <c r="N111" s="102">
        <f>VLOOKUP(K:K,'Genre Penetration'!A:C,3,0)*VLOOKUP($C111&amp;$E111,'Updated SES'!A:J,10,0)</f>
        <v>0.14699999999999999</v>
      </c>
      <c r="O111" s="102">
        <f>VLOOKUP($B111,'Language Penetration'!$B$1:$BL$14,MATCH('Compile data Working'!$H118,'Language Penetration'!$B$1:$BL$1,0),0)</f>
        <v>7.0000000000000007E-2</v>
      </c>
      <c r="P111" s="102" t="str">
        <f t="shared" ca="1" si="9"/>
        <v>20%</v>
      </c>
      <c r="Q111" s="101">
        <f t="shared" ca="1" si="10"/>
        <v>0.44127507200000005</v>
      </c>
      <c r="R111" s="104">
        <f>VLOOKUP(D:D,ranking!W:X,2,0)</f>
        <v>0.7</v>
      </c>
      <c r="S111" s="59">
        <f t="shared" ca="1" si="11"/>
        <v>0.30889255040000002</v>
      </c>
      <c r="T111" s="101">
        <v>1.9399162602568552</v>
      </c>
    </row>
    <row r="112" spans="1:20" x14ac:dyDescent="0.25">
      <c r="A112" s="46" t="s">
        <v>1942</v>
      </c>
      <c r="B112" s="46" t="s">
        <v>85</v>
      </c>
      <c r="C112" s="46" t="s">
        <v>117</v>
      </c>
      <c r="D112" s="46" t="s">
        <v>859</v>
      </c>
      <c r="E112" s="46" t="s">
        <v>211</v>
      </c>
      <c r="F112" s="46" t="s">
        <v>213</v>
      </c>
      <c r="G112" s="53" t="s">
        <v>1883</v>
      </c>
      <c r="H112" s="46" t="s">
        <v>26</v>
      </c>
      <c r="I112" s="53">
        <v>46214</v>
      </c>
      <c r="J112" s="46"/>
      <c r="K112" s="46" t="s">
        <v>216</v>
      </c>
      <c r="L112" s="101">
        <f>VLOOKUP($C112&amp;$E112,'Updated SES'!A:N,14,0)</f>
        <v>0.15089999999999998</v>
      </c>
      <c r="M112" s="102">
        <f>VLOOKUP($K112,'Genre Penetration'!A:B,2,0)*VLOOKUP($C112&amp;$E112,'Updated SES'!A:I,9,0)</f>
        <v>0.37</v>
      </c>
      <c r="N112" s="102">
        <f>VLOOKUP(K:K,'Genre Penetration'!A:C,3,0)*VLOOKUP($C112&amp;$E112,'Updated SES'!A:J,10,0)</f>
        <v>0.13</v>
      </c>
      <c r="O112" s="102">
        <f>VLOOKUP($B112,'Language Penetration'!$B$1:$BL$14,MATCH('Compile data Working'!$H8,'Language Penetration'!$B$1:$BL$1,0),0)</f>
        <v>0.6</v>
      </c>
      <c r="P112" s="102" t="str">
        <f t="shared" ca="1" si="9"/>
        <v>2%</v>
      </c>
      <c r="Q112" s="101">
        <f t="shared" ca="1" si="10"/>
        <v>9.0539999999999978E-4</v>
      </c>
      <c r="R112" s="104">
        <f>VLOOKUP(D:D,ranking!W:X,2,0)</f>
        <v>0.7</v>
      </c>
      <c r="S112" s="59">
        <f t="shared" ca="1" si="11"/>
        <v>6.337799999999998E-4</v>
      </c>
      <c r="T112" s="101">
        <v>1.9385273207808003</v>
      </c>
    </row>
    <row r="113" spans="1:20" x14ac:dyDescent="0.25">
      <c r="A113" s="46" t="s">
        <v>1057</v>
      </c>
      <c r="B113" s="46" t="s">
        <v>85</v>
      </c>
      <c r="C113" s="46" t="s">
        <v>150</v>
      </c>
      <c r="D113" s="46" t="s">
        <v>431</v>
      </c>
      <c r="E113" s="46" t="s">
        <v>211</v>
      </c>
      <c r="F113" s="46" t="s">
        <v>215</v>
      </c>
      <c r="G113" s="46" t="s">
        <v>1802</v>
      </c>
      <c r="H113" s="46" t="s">
        <v>19</v>
      </c>
      <c r="I113" s="53">
        <v>46178</v>
      </c>
      <c r="J113" s="46">
        <v>1</v>
      </c>
      <c r="K113" s="46" t="s">
        <v>202</v>
      </c>
      <c r="L113" s="101">
        <f>VLOOKUP($C113&amp;$E113,'Updated SES'!A:N,14,0)</f>
        <v>60.152000000000001</v>
      </c>
      <c r="M113" s="102">
        <f>VLOOKUP($K113,'Genre Penetration'!A:B,2,0)*VLOOKUP($C113&amp;$E113,'Updated SES'!A:I,9,0)</f>
        <v>0.46799999999999997</v>
      </c>
      <c r="N113" s="102">
        <f>VLOOKUP(K:K,'Genre Penetration'!A:C,3,0)*VLOOKUP($C113&amp;$E113,'Updated SES'!A:J,10,0)</f>
        <v>9.8000000000000004E-2</v>
      </c>
      <c r="O113" s="102">
        <f>VLOOKUP($B113,'Language Penetration'!$B$1:$BL$14,MATCH('Compile data Working'!$H123,'Language Penetration'!$B$1:$BL$1,0),0)</f>
        <v>0.1</v>
      </c>
      <c r="P113" s="102" t="str">
        <f t="shared" ca="1" si="9"/>
        <v>36%</v>
      </c>
      <c r="Q113" s="101">
        <f t="shared" ca="1" si="10"/>
        <v>1.2256571519999999</v>
      </c>
      <c r="R113" s="104">
        <f>VLOOKUP(D:D,ranking!W:X,2,0)</f>
        <v>0.6</v>
      </c>
      <c r="S113" s="59">
        <f t="shared" ca="1" si="11"/>
        <v>0.73539429119999988</v>
      </c>
      <c r="T113" s="101">
        <v>1.923252437223574</v>
      </c>
    </row>
    <row r="114" spans="1:20" x14ac:dyDescent="0.25">
      <c r="A114" s="46" t="s">
        <v>1774</v>
      </c>
      <c r="B114" s="46" t="s">
        <v>85</v>
      </c>
      <c r="C114" s="46" t="s">
        <v>150</v>
      </c>
      <c r="D114" s="46" t="s">
        <v>456</v>
      </c>
      <c r="E114" s="46" t="s">
        <v>211</v>
      </c>
      <c r="F114" s="46" t="s">
        <v>1819</v>
      </c>
      <c r="G114" s="38" t="s">
        <v>1878</v>
      </c>
      <c r="H114" s="46" t="s">
        <v>19</v>
      </c>
      <c r="I114" s="53">
        <v>45845</v>
      </c>
      <c r="J114" s="46"/>
      <c r="K114" s="46" t="s">
        <v>216</v>
      </c>
      <c r="L114" s="101">
        <f>VLOOKUP($C114&amp;$E114,'Updated SES'!A:N,14,0)</f>
        <v>60.152000000000001</v>
      </c>
      <c r="M114" s="102">
        <f>VLOOKUP($K114,'Genre Penetration'!A:B,2,0)*VLOOKUP($C114&amp;$E114,'Updated SES'!A:I,9,0)</f>
        <v>0.32500000000000001</v>
      </c>
      <c r="N114" s="102">
        <f>VLOOKUP(K:K,'Genre Penetration'!A:C,3,0)*VLOOKUP($C114&amp;$E114,'Updated SES'!A:J,10,0)</f>
        <v>0.17499999999999999</v>
      </c>
      <c r="O114" s="102">
        <f>VLOOKUP($B114,'Language Penetration'!$B$1:$BL$14,MATCH('Compile data Working'!$H140,'Language Penetration'!$B$1:$BL$1,0),0)</f>
        <v>0.6</v>
      </c>
      <c r="P114" s="102" t="str">
        <f t="shared" ca="1" si="9"/>
        <v>2%</v>
      </c>
      <c r="Q114" s="101">
        <f t="shared" ca="1" si="10"/>
        <v>0.36091200000000001</v>
      </c>
      <c r="R114" s="104">
        <f>VLOOKUP(D:D,ranking!W:X,2,0)</f>
        <v>0.3</v>
      </c>
      <c r="S114" s="59">
        <f t="shared" ca="1" si="11"/>
        <v>0.1082736</v>
      </c>
      <c r="T114" s="101">
        <v>1.8274575051306361</v>
      </c>
    </row>
    <row r="115" spans="1:20" x14ac:dyDescent="0.25">
      <c r="A115" s="46" t="s">
        <v>1057</v>
      </c>
      <c r="B115" s="46" t="s">
        <v>85</v>
      </c>
      <c r="C115" s="46" t="s">
        <v>150</v>
      </c>
      <c r="D115" s="46" t="s">
        <v>859</v>
      </c>
      <c r="E115" s="46" t="s">
        <v>211</v>
      </c>
      <c r="F115" s="46" t="s">
        <v>213</v>
      </c>
      <c r="G115" s="46" t="s">
        <v>1871</v>
      </c>
      <c r="H115" s="46" t="s">
        <v>1058</v>
      </c>
      <c r="I115" s="53">
        <v>46143</v>
      </c>
      <c r="J115" s="124">
        <v>8</v>
      </c>
      <c r="K115" s="46" t="s">
        <v>262</v>
      </c>
      <c r="L115" s="101">
        <f>VLOOKUP($C115&amp;$E115,'Updated SES'!A:N,14,0)</f>
        <v>60.152000000000001</v>
      </c>
      <c r="M115" s="102">
        <f>VLOOKUP($K115,'Genre Penetration'!A:B,2,0)*VLOOKUP($C115&amp;$E115,'Updated SES'!A:I,9,0)</f>
        <v>0.43550000000000005</v>
      </c>
      <c r="N115" s="102">
        <f>VLOOKUP(K:K,'Genre Penetration'!A:C,3,0)*VLOOKUP($C115&amp;$E115,'Updated SES'!A:J,10,0)</f>
        <v>0.11549999999999999</v>
      </c>
      <c r="O115" s="102">
        <f>VLOOKUP($B115,'Language Penetration'!$B$1:$BL$14,MATCH('Compile data Working'!$H121,'Language Penetration'!$B$1:$BL$1,0),0)</f>
        <v>0.17714285714285719</v>
      </c>
      <c r="P115" s="102" t="str">
        <f t="shared" ca="1" si="9"/>
        <v>7%</v>
      </c>
      <c r="Q115" s="101">
        <f t="shared" ca="1" si="10"/>
        <v>0.41098252480000019</v>
      </c>
      <c r="R115" s="104">
        <f>VLOOKUP(D:D,ranking!W:X,2,0)</f>
        <v>0.7</v>
      </c>
      <c r="S115" s="59">
        <f t="shared" ca="1" si="11"/>
        <v>0.28768776736000012</v>
      </c>
      <c r="T115" s="101">
        <v>1.70433452572416</v>
      </c>
    </row>
    <row r="116" spans="1:20" x14ac:dyDescent="0.25">
      <c r="A116" s="46" t="s">
        <v>1057</v>
      </c>
      <c r="B116" s="46" t="s">
        <v>85</v>
      </c>
      <c r="C116" s="46" t="s">
        <v>150</v>
      </c>
      <c r="D116" s="46" t="s">
        <v>431</v>
      </c>
      <c r="E116" s="46" t="s">
        <v>211</v>
      </c>
      <c r="F116" s="46" t="s">
        <v>215</v>
      </c>
      <c r="G116" s="46" t="s">
        <v>1877</v>
      </c>
      <c r="H116" s="46" t="s">
        <v>19</v>
      </c>
      <c r="I116" s="53">
        <v>45415</v>
      </c>
      <c r="J116" s="124">
        <v>9</v>
      </c>
      <c r="K116" s="46" t="s">
        <v>216</v>
      </c>
      <c r="L116" s="101">
        <f>VLOOKUP($C116&amp;$E116,'Updated SES'!A:N,14,0)</f>
        <v>60.152000000000001</v>
      </c>
      <c r="M116" s="102">
        <f>VLOOKUP($K116,'Genre Penetration'!A:B,2,0)*VLOOKUP($C116&amp;$E116,'Updated SES'!A:I,9,0)</f>
        <v>0.32500000000000001</v>
      </c>
      <c r="N116" s="102">
        <f>VLOOKUP(K:K,'Genre Penetration'!A:C,3,0)*VLOOKUP($C116&amp;$E116,'Updated SES'!A:J,10,0)</f>
        <v>0.17499999999999999</v>
      </c>
      <c r="O116" s="102">
        <f>VLOOKUP($B116,'Language Penetration'!$B$1:$BL$14,MATCH('Compile data Working'!$H131,'Language Penetration'!$B$1:$BL$1,0),0)</f>
        <v>0.6</v>
      </c>
      <c r="P116" s="102" t="str">
        <f t="shared" ca="1" si="9"/>
        <v>6%</v>
      </c>
      <c r="Q116" s="101">
        <f t="shared" ca="1" si="10"/>
        <v>1.0827359999999999</v>
      </c>
      <c r="R116" s="104">
        <f>VLOOKUP(D:D,ranking!W:X,2,0)</f>
        <v>0.6</v>
      </c>
      <c r="S116" s="59">
        <f t="shared" ca="1" si="11"/>
        <v>0.64964159999999993</v>
      </c>
      <c r="T116" s="101">
        <v>1.6447117546175725</v>
      </c>
    </row>
    <row r="117" spans="1:20" x14ac:dyDescent="0.25">
      <c r="A117" s="46" t="s">
        <v>1057</v>
      </c>
      <c r="B117" s="46" t="s">
        <v>85</v>
      </c>
      <c r="C117" s="46" t="s">
        <v>1229</v>
      </c>
      <c r="D117" s="46" t="s">
        <v>433</v>
      </c>
      <c r="E117" s="46" t="s">
        <v>219</v>
      </c>
      <c r="F117" s="46" t="s">
        <v>215</v>
      </c>
      <c r="G117" s="46" t="s">
        <v>1788</v>
      </c>
      <c r="H117" s="46" t="s">
        <v>19</v>
      </c>
      <c r="I117" s="53">
        <v>46115</v>
      </c>
      <c r="J117" s="124">
        <v>6</v>
      </c>
      <c r="K117" s="46" t="s">
        <v>202</v>
      </c>
      <c r="L117" s="101">
        <f>VLOOKUP($C117&amp;$E117,'Updated SES'!A:N,14,0)</f>
        <v>78.939870000000013</v>
      </c>
      <c r="M117" s="102">
        <f>VLOOKUP($K117,'Genre Penetration'!A:B,2,0)*VLOOKUP($C117&amp;$E117,'Updated SES'!A:I,9,0)</f>
        <v>0.57599999999999996</v>
      </c>
      <c r="N117" s="102">
        <f>VLOOKUP(K:K,'Genre Penetration'!A:C,3,0)*VLOOKUP($C117&amp;$E117,'Updated SES'!A:J,10,0)</f>
        <v>5.6000000000000008E-2</v>
      </c>
      <c r="O117" s="102">
        <f>VLOOKUP($B117,'Language Penetration'!$B$1:$BL$14,MATCH('Compile data Working'!$H72,'Language Penetration'!$B$1:$BL$1,0),0)</f>
        <v>0.6</v>
      </c>
      <c r="P117" s="102" t="str">
        <f t="shared" ca="1" si="9"/>
        <v>11%</v>
      </c>
      <c r="Q117" s="101">
        <f t="shared" ca="1" si="10"/>
        <v>3.2927398574400004</v>
      </c>
      <c r="R117" s="104">
        <f>VLOOKUP(D:D,ranking!W:X,2,0)</f>
        <v>0.6</v>
      </c>
      <c r="S117" s="59">
        <f t="shared" ca="1" si="11"/>
        <v>1.9756439144640001</v>
      </c>
      <c r="T117" s="101">
        <v>1.2976096168563365</v>
      </c>
    </row>
    <row r="118" spans="1:20" x14ac:dyDescent="0.25">
      <c r="A118" s="46" t="s">
        <v>1942</v>
      </c>
      <c r="B118" s="46" t="s">
        <v>85</v>
      </c>
      <c r="C118" s="46" t="s">
        <v>1810</v>
      </c>
      <c r="D118" s="46" t="s">
        <v>1012</v>
      </c>
      <c r="E118" s="46" t="s">
        <v>211</v>
      </c>
      <c r="F118" s="46" t="s">
        <v>215</v>
      </c>
      <c r="G118" s="46" t="s">
        <v>1890</v>
      </c>
      <c r="H118" s="46" t="s">
        <v>26</v>
      </c>
      <c r="I118" s="53">
        <v>46216</v>
      </c>
      <c r="J118" s="124"/>
      <c r="K118" s="46" t="s">
        <v>216</v>
      </c>
      <c r="L118" s="101">
        <f>VLOOKUP($C118&amp;$E118,'Updated SES'!A:N,14,0)</f>
        <v>127.11702000000001</v>
      </c>
      <c r="M118" s="102">
        <f>VLOOKUP($K118,'Genre Penetration'!A:B,2,0)*VLOOKUP($C118&amp;$E118,'Updated SES'!A:I,9,0)</f>
        <v>0.33499999999999996</v>
      </c>
      <c r="N118" s="102">
        <f>VLOOKUP(K:K,'Genre Penetration'!A:C,3,0)*VLOOKUP($C118&amp;$E118,'Updated SES'!A:J,10,0)</f>
        <v>0.16499999999999998</v>
      </c>
      <c r="O118" s="102">
        <f>VLOOKUP($B118,'Language Penetration'!$B$1:$BL$14,MATCH('Compile data Working'!$H15,'Language Penetration'!$B$1:$BL$1,0),0)</f>
        <v>0.4</v>
      </c>
      <c r="P118" s="102" t="str">
        <f t="shared" ca="1" si="9"/>
        <v>2%</v>
      </c>
      <c r="Q118" s="101">
        <f t="shared" ca="1" si="10"/>
        <v>0.50846807999999999</v>
      </c>
      <c r="R118" s="104">
        <f>VLOOKUP(D:D,ranking!W:X,2,0)</f>
        <v>0.6</v>
      </c>
      <c r="S118" s="59">
        <f t="shared" ca="1" si="11"/>
        <v>0.30508084799999996</v>
      </c>
      <c r="T118" s="101">
        <v>1.14588087976</v>
      </c>
    </row>
    <row r="119" spans="1:20" x14ac:dyDescent="0.25">
      <c r="A119" s="46" t="s">
        <v>1057</v>
      </c>
      <c r="B119" s="46" t="s">
        <v>85</v>
      </c>
      <c r="C119" s="46" t="s">
        <v>150</v>
      </c>
      <c r="D119" s="46" t="s">
        <v>431</v>
      </c>
      <c r="E119" s="46" t="s">
        <v>211</v>
      </c>
      <c r="F119" s="46" t="s">
        <v>215</v>
      </c>
      <c r="G119" s="124" t="s">
        <v>1784</v>
      </c>
      <c r="H119" s="124" t="s">
        <v>40</v>
      </c>
      <c r="I119" s="126">
        <v>45513</v>
      </c>
      <c r="J119" s="124">
        <v>2</v>
      </c>
      <c r="K119" s="124" t="s">
        <v>173</v>
      </c>
      <c r="L119" s="101">
        <f>VLOOKUP($C119&amp;$E119,'Updated SES'!A:N,14,0)</f>
        <v>60.152000000000001</v>
      </c>
      <c r="M119" s="102">
        <f>VLOOKUP($K119,'Genre Penetration'!A:B,2,0)*VLOOKUP($C119&amp;$E119,'Updated SES'!A:I,9,0)</f>
        <v>0.35750000000000004</v>
      </c>
      <c r="N119" s="102">
        <f>VLOOKUP(K:K,'Genre Penetration'!A:C,3,0)*VLOOKUP($C119&amp;$E119,'Updated SES'!A:J,10,0)</f>
        <v>0.1575</v>
      </c>
      <c r="O119" s="102">
        <f>VLOOKUP($B119,'Language Penetration'!$B$1:$BL$14,MATCH('Compile data Working'!$H124,'Language Penetration'!$B$1:$BL$1,0),0)</f>
        <v>0.15</v>
      </c>
      <c r="P119" s="102" t="str">
        <f t="shared" ca="1" si="9"/>
        <v>34%</v>
      </c>
      <c r="Q119" s="101">
        <f t="shared" ca="1" si="10"/>
        <v>1.5798922799999999</v>
      </c>
      <c r="R119" s="104">
        <f>VLOOKUP(D:D,ranking!W:X,2,0)</f>
        <v>0.6</v>
      </c>
      <c r="S119" s="59">
        <f t="shared" ca="1" si="11"/>
        <v>0.94793536799999989</v>
      </c>
      <c r="T119" s="101">
        <v>0.87125093624635286</v>
      </c>
    </row>
    <row r="120" spans="1:20" x14ac:dyDescent="0.25">
      <c r="A120" s="46" t="s">
        <v>1057</v>
      </c>
      <c r="B120" s="46" t="s">
        <v>85</v>
      </c>
      <c r="C120" s="46" t="s">
        <v>150</v>
      </c>
      <c r="D120" s="46" t="s">
        <v>431</v>
      </c>
      <c r="E120" s="46" t="s">
        <v>211</v>
      </c>
      <c r="F120" s="46" t="s">
        <v>215</v>
      </c>
      <c r="G120" s="46" t="s">
        <v>1518</v>
      </c>
      <c r="H120" s="46" t="s">
        <v>19</v>
      </c>
      <c r="I120" s="53">
        <v>45926</v>
      </c>
      <c r="J120" s="124">
        <v>5</v>
      </c>
      <c r="K120" s="46" t="s">
        <v>103</v>
      </c>
      <c r="L120" s="101">
        <f>VLOOKUP($C120&amp;$E120,'Updated SES'!A:N,14,0)</f>
        <v>60.152000000000001</v>
      </c>
      <c r="M120" s="102">
        <f>VLOOKUP($K120,'Genre Penetration'!A:B,2,0)*VLOOKUP($C120&amp;$E120,'Updated SES'!A:I,9,0)</f>
        <v>0.46149999999999997</v>
      </c>
      <c r="N120" s="102">
        <f>VLOOKUP(K:K,'Genre Penetration'!A:C,3,0)*VLOOKUP($C120&amp;$E120,'Updated SES'!A:J,10,0)</f>
        <v>0.10149999999999999</v>
      </c>
      <c r="O120" s="102">
        <f>VLOOKUP($B120,'Language Penetration'!$B$1:$BL$14,MATCH('Compile data Working'!$H127,'Language Penetration'!$B$1:$BL$1,0),0)</f>
        <v>0.12</v>
      </c>
      <c r="P120" s="102" t="str">
        <f t="shared" ca="1" si="9"/>
        <v>18%</v>
      </c>
      <c r="Q120" s="101">
        <f t="shared" ca="1" si="10"/>
        <v>0.73149644159999994</v>
      </c>
      <c r="R120" s="104">
        <f>VLOOKUP(D:D,ranking!W:X,2,0)</f>
        <v>0.6</v>
      </c>
      <c r="S120" s="59">
        <f t="shared" ca="1" si="11"/>
        <v>0.43889786495999994</v>
      </c>
      <c r="T120" s="101">
        <v>0.80684115886079999</v>
      </c>
    </row>
    <row r="121" spans="1:20" x14ac:dyDescent="0.25">
      <c r="A121" s="46" t="s">
        <v>1057</v>
      </c>
      <c r="B121" s="46" t="s">
        <v>85</v>
      </c>
      <c r="C121" s="46" t="s">
        <v>132</v>
      </c>
      <c r="D121" s="46" t="s">
        <v>431</v>
      </c>
      <c r="E121" s="46" t="s">
        <v>211</v>
      </c>
      <c r="F121" s="46" t="s">
        <v>215</v>
      </c>
      <c r="G121" s="46" t="s">
        <v>1870</v>
      </c>
      <c r="H121" s="46" t="s">
        <v>1222</v>
      </c>
      <c r="I121" s="53">
        <v>45421</v>
      </c>
      <c r="J121" s="124">
        <v>6</v>
      </c>
      <c r="K121" s="46" t="s">
        <v>202</v>
      </c>
      <c r="L121" s="101">
        <f>VLOOKUP($C121&amp;$E121,'Updated SES'!A:N,14,0)</f>
        <v>21.682040000000004</v>
      </c>
      <c r="M121" s="102">
        <f>VLOOKUP($K121,'Genre Penetration'!A:B,2,0)*VLOOKUP($C121&amp;$E121,'Updated SES'!A:I,9,0)</f>
        <v>0.46799999999999997</v>
      </c>
      <c r="N121" s="102">
        <f>VLOOKUP(K:K,'Genre Penetration'!A:C,3,0)*VLOOKUP($C121&amp;$E121,'Updated SES'!A:J,10,0)</f>
        <v>9.8000000000000004E-2</v>
      </c>
      <c r="O121" s="102">
        <f>VLOOKUP($B121,'Language Penetration'!$B$1:$BL$14,MATCH('Compile data Working'!$H109,'Language Penetration'!$B$1:$BL$1,0),0)</f>
        <v>0.6</v>
      </c>
      <c r="P121" s="102" t="str">
        <f t="shared" ca="1" si="9"/>
        <v>11%</v>
      </c>
      <c r="Q121" s="101">
        <f t="shared" ca="1" si="10"/>
        <v>0.80995428623999999</v>
      </c>
      <c r="R121" s="104">
        <f>VLOOKUP(D:D,ranking!W:X,2,0)</f>
        <v>0.6</v>
      </c>
      <c r="S121" s="59">
        <f t="shared" ca="1" si="11"/>
        <v>0.48597257174399999</v>
      </c>
      <c r="T121" s="101">
        <v>0.77478155414125205</v>
      </c>
    </row>
    <row r="122" spans="1:20" x14ac:dyDescent="0.25">
      <c r="A122" s="46" t="s">
        <v>1942</v>
      </c>
      <c r="B122" s="46" t="s">
        <v>85</v>
      </c>
      <c r="C122" s="46" t="s">
        <v>406</v>
      </c>
      <c r="D122" s="46" t="s">
        <v>1012</v>
      </c>
      <c r="E122" s="46" t="s">
        <v>211</v>
      </c>
      <c r="F122" s="46" t="s">
        <v>215</v>
      </c>
      <c r="G122" s="46" t="s">
        <v>1899</v>
      </c>
      <c r="H122" s="46" t="s">
        <v>20</v>
      </c>
      <c r="I122" s="53">
        <v>46218</v>
      </c>
      <c r="J122" s="124"/>
      <c r="K122" s="46" t="s">
        <v>202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0.432</v>
      </c>
      <c r="N122" s="102">
        <f>VLOOKUP(K:K,'Genre Penetration'!A:C,3,0)*VLOOKUP($C122&amp;$E122,'Updated SES'!A:J,10,0)</f>
        <v>0.11200000000000002</v>
      </c>
      <c r="O122" s="102">
        <f>VLOOKUP($B122,'Language Penetration'!$B$1:$BL$14,MATCH('Compile data Working'!$H24,'Language Penetration'!$B$1:$BL$1,0),0)</f>
        <v>0.20400000000000001</v>
      </c>
      <c r="P122" s="102" t="str">
        <f t="shared" ca="1" si="9"/>
        <v>1%</v>
      </c>
      <c r="Q122" s="101">
        <f t="shared" ca="1" si="10"/>
        <v>1.8521894400000004E-3</v>
      </c>
      <c r="R122" s="104">
        <f>VLOOKUP(D:D,ranking!W:X,2,0)</f>
        <v>0.6</v>
      </c>
      <c r="S122" s="59">
        <f t="shared" ca="1" si="11"/>
        <v>1.1113136640000002E-3</v>
      </c>
      <c r="T122" s="101">
        <v>0.7471358130304</v>
      </c>
    </row>
    <row r="123" spans="1:20" x14ac:dyDescent="0.25">
      <c r="A123" s="46" t="s">
        <v>1942</v>
      </c>
      <c r="B123" s="46" t="s">
        <v>85</v>
      </c>
      <c r="C123" s="46" t="s">
        <v>150</v>
      </c>
      <c r="D123" s="46" t="s">
        <v>859</v>
      </c>
      <c r="E123" s="46" t="s">
        <v>211</v>
      </c>
      <c r="F123" s="46" t="s">
        <v>213</v>
      </c>
      <c r="G123" s="46" t="s">
        <v>1935</v>
      </c>
      <c r="H123" s="46" t="s">
        <v>25</v>
      </c>
      <c r="I123" s="53">
        <v>46220</v>
      </c>
      <c r="J123" s="124"/>
      <c r="K123" s="46" t="s">
        <v>103</v>
      </c>
      <c r="L123" s="101">
        <f>VLOOKUP($C123&amp;$E123,'Updated SES'!A:N,14,0)</f>
        <v>60.152000000000001</v>
      </c>
      <c r="M123" s="102">
        <f>VLOOKUP($K123,'Genre Penetration'!A:B,2,0)*VLOOKUP($C123&amp;$E123,'Updated SES'!A:I,9,0)</f>
        <v>0.46149999999999997</v>
      </c>
      <c r="N123" s="102">
        <f>VLOOKUP(K:K,'Genre Penetration'!A:C,3,0)*VLOOKUP($C123&amp;$E123,'Updated SES'!A:J,10,0)</f>
        <v>0.10149999999999999</v>
      </c>
      <c r="O123" s="102">
        <f>VLOOKUP($B123,'Language Penetration'!$B$1:$BL$14,MATCH('Compile data Working'!$H60,'Language Penetration'!$B$1:$BL$1,0),0)</f>
        <v>0.2</v>
      </c>
      <c r="P123" s="102" t="str">
        <f t="shared" ca="1" si="9"/>
        <v>2%</v>
      </c>
      <c r="Q123" s="101">
        <f t="shared" ca="1" si="10"/>
        <v>0.13546230400000001</v>
      </c>
      <c r="R123" s="104">
        <f>VLOOKUP(D:D,ranking!W:X,2,0)</f>
        <v>0.7</v>
      </c>
      <c r="S123" s="59">
        <f t="shared" ca="1" si="11"/>
        <v>9.4823612799999998E-2</v>
      </c>
      <c r="T123" s="101">
        <v>0.71713581303039997</v>
      </c>
    </row>
    <row r="124" spans="1:20" x14ac:dyDescent="0.25">
      <c r="A124" s="46" t="s">
        <v>1942</v>
      </c>
      <c r="B124" s="46" t="s">
        <v>85</v>
      </c>
      <c r="C124" s="46" t="s">
        <v>150</v>
      </c>
      <c r="D124" s="46" t="s">
        <v>859</v>
      </c>
      <c r="E124" s="46" t="s">
        <v>211</v>
      </c>
      <c r="F124" s="46" t="s">
        <v>213</v>
      </c>
      <c r="G124" s="46" t="s">
        <v>1937</v>
      </c>
      <c r="H124" s="46" t="s">
        <v>23</v>
      </c>
      <c r="I124" s="53">
        <v>46220</v>
      </c>
      <c r="J124" s="46"/>
      <c r="K124" s="46" t="s">
        <v>92</v>
      </c>
      <c r="L124" s="101">
        <f>VLOOKUP($C124&amp;$E124,'Updated SES'!A:N,14,0)</f>
        <v>60.152000000000001</v>
      </c>
      <c r="M124" s="102">
        <f>VLOOKUP($K124,'Genre Penetration'!A:B,2,0)*VLOOKUP($C124&amp;$E124,'Updated SES'!A:I,9,0)</f>
        <v>0.34450000000000003</v>
      </c>
      <c r="N124" s="102">
        <f>VLOOKUP(K:K,'Genre Penetration'!A:C,3,0)*VLOOKUP($C124&amp;$E124,'Updated SES'!A:J,10,0)</f>
        <v>0.16449999999999998</v>
      </c>
      <c r="O124" s="102">
        <f>VLOOKUP($B124,'Language Penetration'!$B$1:$BL$14,MATCH('Compile data Working'!$H62,'Language Penetration'!$B$1:$BL$1,0),0)</f>
        <v>0.4</v>
      </c>
      <c r="P124" s="102" t="str">
        <f t="shared" ca="1" si="9"/>
        <v>1%</v>
      </c>
      <c r="Q124" s="101">
        <f t="shared" ca="1" si="10"/>
        <v>0.12246947200000001</v>
      </c>
      <c r="R124" s="104">
        <f>VLOOKUP(D:D,ranking!W:X,2,0)</f>
        <v>0.7</v>
      </c>
      <c r="S124" s="59">
        <f t="shared" ca="1" si="11"/>
        <v>8.5728630400000005E-2</v>
      </c>
      <c r="T124" s="101">
        <v>0.623908157336448</v>
      </c>
    </row>
    <row r="125" spans="1:20" x14ac:dyDescent="0.25">
      <c r="A125" s="46" t="s">
        <v>1057</v>
      </c>
      <c r="B125" s="46" t="s">
        <v>85</v>
      </c>
      <c r="C125" s="46" t="s">
        <v>150</v>
      </c>
      <c r="D125" s="46" t="s">
        <v>431</v>
      </c>
      <c r="E125" s="46" t="s">
        <v>211</v>
      </c>
      <c r="F125" s="46" t="s">
        <v>215</v>
      </c>
      <c r="G125" s="46" t="s">
        <v>1876</v>
      </c>
      <c r="H125" s="46" t="s">
        <v>19</v>
      </c>
      <c r="I125" s="53">
        <v>44218</v>
      </c>
      <c r="J125" s="124">
        <v>8</v>
      </c>
      <c r="K125" s="46" t="s">
        <v>92</v>
      </c>
      <c r="L125" s="101">
        <f>VLOOKUP($C125&amp;$E125,'Updated SES'!A:N,14,0)</f>
        <v>60.152000000000001</v>
      </c>
      <c r="M125" s="102">
        <f>VLOOKUP($K125,'Genre Penetration'!A:B,2,0)*VLOOKUP($C125&amp;$E125,'Updated SES'!A:I,9,0)</f>
        <v>0.34450000000000003</v>
      </c>
      <c r="N125" s="102">
        <f>VLOOKUP(K:K,'Genre Penetration'!A:C,3,0)*VLOOKUP($C125&amp;$E125,'Updated SES'!A:J,10,0)</f>
        <v>0.16449999999999998</v>
      </c>
      <c r="O125" s="102">
        <f>VLOOKUP($B125,'Language Penetration'!$B$1:$BL$14,MATCH('Compile data Working'!$H130,'Language Penetration'!$B$1:$BL$1,0),0)</f>
        <v>0.6</v>
      </c>
      <c r="P125" s="102" t="str">
        <f t="shared" ca="1" si="9"/>
        <v>7%</v>
      </c>
      <c r="Q125" s="101">
        <f t="shared" ca="1" si="10"/>
        <v>1.2859294560000003</v>
      </c>
      <c r="R125" s="104">
        <f>VLOOKUP(D:D,ranking!W:X,2,0)</f>
        <v>0.6</v>
      </c>
      <c r="S125" s="59">
        <f t="shared" ca="1" si="11"/>
        <v>0.77155767360000016</v>
      </c>
      <c r="T125" s="101">
        <v>0.57502711840169074</v>
      </c>
    </row>
    <row r="126" spans="1:20" x14ac:dyDescent="0.25">
      <c r="A126" s="46" t="s">
        <v>1942</v>
      </c>
      <c r="B126" s="46" t="s">
        <v>85</v>
      </c>
      <c r="C126" s="46" t="s">
        <v>49</v>
      </c>
      <c r="D126" s="46" t="s">
        <v>859</v>
      </c>
      <c r="E126" s="46" t="s">
        <v>211</v>
      </c>
      <c r="F126" s="46" t="s">
        <v>213</v>
      </c>
      <c r="G126" s="46" t="s">
        <v>1938</v>
      </c>
      <c r="H126" s="46" t="s">
        <v>22</v>
      </c>
      <c r="I126" s="53">
        <v>46220</v>
      </c>
      <c r="J126" s="46"/>
      <c r="K126" s="46" t="s">
        <v>216</v>
      </c>
      <c r="L126" s="101">
        <f>VLOOKUP($C126&amp;$E126,'Updated SES'!A:N,14,0)</f>
        <v>12.626640000000002</v>
      </c>
      <c r="M126" s="102">
        <f>VLOOKUP($K126,'Genre Penetration'!A:B,2,0)*VLOOKUP($C126&amp;$E126,'Updated SES'!A:I,9,0)</f>
        <v>0.38</v>
      </c>
      <c r="N126" s="102">
        <f>VLOOKUP(K:K,'Genre Penetration'!A:C,3,0)*VLOOKUP($C126&amp;$E126,'Updated SES'!A:J,10,0)</f>
        <v>0.12</v>
      </c>
      <c r="O126" s="102">
        <f>VLOOKUP($B126,'Language Penetration'!$B$1:$BL$14,MATCH('Compile data Working'!$H63,'Language Penetration'!$B$1:$BL$1,0),0)</f>
        <v>0.2</v>
      </c>
      <c r="P126" s="102" t="str">
        <f t="shared" ca="1" si="9"/>
        <v>2%</v>
      </c>
      <c r="Q126" s="101">
        <f t="shared" ca="1" si="10"/>
        <v>2.5253280000000006E-2</v>
      </c>
      <c r="R126" s="104">
        <f>VLOOKUP(D:D,ranking!W:X,2,0)</f>
        <v>0.7</v>
      </c>
      <c r="S126" s="59">
        <f t="shared" ca="1" si="11"/>
        <v>1.7677296000000002E-2</v>
      </c>
      <c r="T126" s="101">
        <v>0.55229556359577603</v>
      </c>
    </row>
    <row r="127" spans="1:20" x14ac:dyDescent="0.25">
      <c r="A127" s="46" t="s">
        <v>1774</v>
      </c>
      <c r="B127" s="46" t="s">
        <v>85</v>
      </c>
      <c r="C127" s="46" t="s">
        <v>150</v>
      </c>
      <c r="D127" s="46" t="s">
        <v>456</v>
      </c>
      <c r="E127" s="46" t="s">
        <v>211</v>
      </c>
      <c r="F127" s="46" t="s">
        <v>1819</v>
      </c>
      <c r="G127" s="46" t="s">
        <v>1796</v>
      </c>
      <c r="H127" s="46" t="s">
        <v>29</v>
      </c>
      <c r="I127" s="122">
        <v>45803</v>
      </c>
      <c r="J127" s="46"/>
      <c r="K127" s="46" t="s">
        <v>216</v>
      </c>
      <c r="L127" s="101">
        <f>VLOOKUP($C127&amp;$E127,'Updated SES'!A:N,14,0)</f>
        <v>60.152000000000001</v>
      </c>
      <c r="M127" s="102">
        <f>VLOOKUP($K127,'Genre Penetration'!A:B,2,0)*VLOOKUP($C127&amp;$E127,'Updated SES'!A:I,9,0)</f>
        <v>0.32500000000000001</v>
      </c>
      <c r="N127" s="102">
        <f>VLOOKUP(K:K,'Genre Penetration'!A:C,3,0)*VLOOKUP($C127&amp;$E127,'Updated SES'!A:J,10,0)</f>
        <v>0.17499999999999999</v>
      </c>
      <c r="O127" s="102">
        <f>VLOOKUP($B127,'Language Penetration'!$B$1:$BL$14,MATCH('Compile data Working'!$H141,'Language Penetration'!$B$1:$BL$1,0),0)</f>
        <v>7.0000000000000007E-2</v>
      </c>
      <c r="P127" s="102" t="str">
        <f t="shared" ca="1" si="9"/>
        <v>2%</v>
      </c>
      <c r="Q127" s="101">
        <f t="shared" ca="1" si="10"/>
        <v>4.2106400000000009E-2</v>
      </c>
      <c r="R127" s="104">
        <f>VLOOKUP(D:D,ranking!W:X,2,0)</f>
        <v>0.3</v>
      </c>
      <c r="S127" s="59">
        <f t="shared" ca="1" si="11"/>
        <v>1.2631920000000003E-2</v>
      </c>
      <c r="T127" s="101">
        <v>0.54515797542386601</v>
      </c>
    </row>
    <row r="128" spans="1:20" x14ac:dyDescent="0.25">
      <c r="A128" s="46" t="s">
        <v>1057</v>
      </c>
      <c r="B128" s="46" t="s">
        <v>85</v>
      </c>
      <c r="C128" s="46" t="s">
        <v>150</v>
      </c>
      <c r="D128" s="46" t="s">
        <v>431</v>
      </c>
      <c r="E128" s="46" t="s">
        <v>211</v>
      </c>
      <c r="F128" s="46" t="s">
        <v>215</v>
      </c>
      <c r="G128" s="46" t="s">
        <v>1873</v>
      </c>
      <c r="H128" s="124" t="s">
        <v>1879</v>
      </c>
      <c r="I128" s="53">
        <v>44876</v>
      </c>
      <c r="J128" s="124">
        <v>4</v>
      </c>
      <c r="K128" s="46" t="s">
        <v>173</v>
      </c>
      <c r="L128" s="101">
        <f>VLOOKUP($C128&amp;$E128,'Updated SES'!A:N,14,0)</f>
        <v>60.152000000000001</v>
      </c>
      <c r="M128" s="102">
        <f>VLOOKUP($K128,'Genre Penetration'!A:B,2,0)*VLOOKUP($C128&amp;$E128,'Updated SES'!A:I,9,0)</f>
        <v>0.35750000000000004</v>
      </c>
      <c r="N128" s="102">
        <f>VLOOKUP(K:K,'Genre Penetration'!A:C,3,0)*VLOOKUP($C128&amp;$E128,'Updated SES'!A:J,10,0)</f>
        <v>0.1575</v>
      </c>
      <c r="O128" s="102">
        <f>VLOOKUP($B128,'Language Penetration'!$B$1:$BL$14,MATCH('Compile data Working'!$H126,'Language Penetration'!$B$1:$BL$1,0),0)</f>
        <v>0.1</v>
      </c>
      <c r="P128" s="102" t="str">
        <f t="shared" ca="1" si="9"/>
        <v>23%</v>
      </c>
      <c r="Q128" s="101">
        <f t="shared" ca="1" si="10"/>
        <v>0.71250044000000012</v>
      </c>
      <c r="R128" s="104">
        <f>VLOOKUP(D:D,ranking!W:X,2,0)</f>
        <v>0.6</v>
      </c>
      <c r="S128" s="59">
        <f t="shared" ca="1" si="11"/>
        <v>0.42750026400000007</v>
      </c>
      <c r="T128" s="101">
        <v>0.50805880565759998</v>
      </c>
    </row>
    <row r="129" spans="1:20" x14ac:dyDescent="0.25">
      <c r="A129" s="46" t="s">
        <v>1057</v>
      </c>
      <c r="B129" s="46" t="s">
        <v>85</v>
      </c>
      <c r="C129" s="46" t="s">
        <v>1229</v>
      </c>
      <c r="D129" s="46" t="s">
        <v>433</v>
      </c>
      <c r="E129" s="46" t="s">
        <v>219</v>
      </c>
      <c r="F129" s="46" t="s">
        <v>215</v>
      </c>
      <c r="G129" s="53" t="s">
        <v>1789</v>
      </c>
      <c r="H129" s="46" t="s">
        <v>19</v>
      </c>
      <c r="I129" s="53">
        <v>46108</v>
      </c>
      <c r="J129" s="124">
        <v>7</v>
      </c>
      <c r="K129" s="46" t="s">
        <v>910</v>
      </c>
      <c r="L129" s="101">
        <f>VLOOKUP($C129&amp;$E129,'Updated SES'!A:N,14,0)</f>
        <v>78.939870000000013</v>
      </c>
      <c r="M129" s="102">
        <f>VLOOKUP($K129,'Genre Penetration'!A:B,2,0)*VLOOKUP($C129&amp;$E129,'Updated SES'!A:I,9,0)</f>
        <v>0.4</v>
      </c>
      <c r="N129" s="102">
        <f>VLOOKUP(K:K,'Genre Penetration'!A:C,3,0)*VLOOKUP($C129&amp;$E129,'Updated SES'!A:J,10,0)</f>
        <v>0.1</v>
      </c>
      <c r="O129" s="102">
        <f>VLOOKUP($B129,'Language Penetration'!$B$1:$BL$14,MATCH('Compile data Working'!$H73,'Language Penetration'!$B$1:$BL$1,0),0)</f>
        <v>0.2</v>
      </c>
      <c r="P129" s="102" t="str">
        <f t="shared" ca="1" si="9"/>
        <v>10%</v>
      </c>
      <c r="Q129" s="101">
        <f t="shared" ca="1" si="10"/>
        <v>0.78939870000000023</v>
      </c>
      <c r="R129" s="104">
        <f>VLOOKUP(D:D,ranking!W:X,2,0)</f>
        <v>0.6</v>
      </c>
      <c r="S129" s="59">
        <f t="shared" ca="1" si="11"/>
        <v>0.47363922000000014</v>
      </c>
      <c r="T129" s="101">
        <v>0.49426043186408647</v>
      </c>
    </row>
    <row r="130" spans="1:20" x14ac:dyDescent="0.25">
      <c r="A130" s="46" t="s">
        <v>1057</v>
      </c>
      <c r="B130" s="46" t="s">
        <v>85</v>
      </c>
      <c r="C130" s="46" t="s">
        <v>1229</v>
      </c>
      <c r="D130" s="46" t="s">
        <v>433</v>
      </c>
      <c r="E130" s="46" t="s">
        <v>219</v>
      </c>
      <c r="F130" s="46" t="s">
        <v>215</v>
      </c>
      <c r="G130" s="46" t="s">
        <v>1790</v>
      </c>
      <c r="H130" s="46" t="s">
        <v>19</v>
      </c>
      <c r="I130" s="53">
        <v>46092</v>
      </c>
      <c r="J130" s="124">
        <v>9</v>
      </c>
      <c r="K130" s="46" t="s">
        <v>173</v>
      </c>
      <c r="L130" s="101">
        <f>VLOOKUP($C130&amp;$E130,'Updated SES'!A:N,14,0)</f>
        <v>78.939870000000013</v>
      </c>
      <c r="M130" s="102">
        <f>VLOOKUP($K130,'Genre Penetration'!A:B,2,0)*VLOOKUP($C130&amp;$E130,'Updated SES'!A:I,9,0)</f>
        <v>0.44000000000000006</v>
      </c>
      <c r="N130" s="102">
        <f>VLOOKUP(K:K,'Genre Penetration'!A:C,3,0)*VLOOKUP($C130&amp;$E130,'Updated SES'!A:J,10,0)</f>
        <v>9.0000000000000011E-2</v>
      </c>
      <c r="O130" s="102">
        <f>VLOOKUP($B130,'Language Penetration'!$B$1:$BL$14,MATCH('Compile data Working'!$H74,'Language Penetration'!$B$1:$BL$1,0),0)</f>
        <v>0.20400000000000001</v>
      </c>
      <c r="P130" s="102" t="str">
        <f t="shared" ca="1" si="9"/>
        <v>5%</v>
      </c>
      <c r="Q130" s="101">
        <f t="shared" ca="1" si="10"/>
        <v>0.42674893722000018</v>
      </c>
      <c r="R130" s="104">
        <f>VLOOKUP(D:D,ranking!W:X,2,0)</f>
        <v>0.6</v>
      </c>
      <c r="S130" s="59">
        <f t="shared" ca="1" si="11"/>
        <v>0.2560493623320001</v>
      </c>
      <c r="T130" s="101">
        <v>0.40172641486278216</v>
      </c>
    </row>
    <row r="131" spans="1:20" x14ac:dyDescent="0.25">
      <c r="A131" s="46" t="s">
        <v>1057</v>
      </c>
      <c r="B131" s="46" t="s">
        <v>85</v>
      </c>
      <c r="C131" s="46" t="s">
        <v>150</v>
      </c>
      <c r="D131" s="46" t="s">
        <v>859</v>
      </c>
      <c r="E131" s="46" t="s">
        <v>211</v>
      </c>
      <c r="F131" s="46" t="s">
        <v>213</v>
      </c>
      <c r="G131" s="46" t="s">
        <v>1793</v>
      </c>
      <c r="H131" s="46" t="s">
        <v>19</v>
      </c>
      <c r="I131" s="53">
        <v>46129</v>
      </c>
      <c r="J131" s="124">
        <v>7</v>
      </c>
      <c r="K131" s="46" t="s">
        <v>202</v>
      </c>
      <c r="L131" s="101">
        <f>VLOOKUP($C131&amp;$E131,'Updated SES'!A:N,14,0)</f>
        <v>60.152000000000001</v>
      </c>
      <c r="M131" s="102">
        <f>VLOOKUP($K131,'Genre Penetration'!A:B,2,0)*VLOOKUP($C131&amp;$E131,'Updated SES'!A:I,9,0)</f>
        <v>0.46799999999999997</v>
      </c>
      <c r="N131" s="102">
        <f>VLOOKUP(K:K,'Genre Penetration'!A:C,3,0)*VLOOKUP($C131&amp;$E131,'Updated SES'!A:J,10,0)</f>
        <v>9.8000000000000004E-2</v>
      </c>
      <c r="O131" s="102">
        <f>VLOOKUP($B131,'Language Penetration'!$B$1:$BL$14,MATCH('Compile data Working'!$H120,'Language Penetration'!$B$1:$BL$1,0),0)</f>
        <v>0.6</v>
      </c>
      <c r="P131" s="102" t="str">
        <f t="shared" ca="1" si="9"/>
        <v>9%</v>
      </c>
      <c r="Q131" s="101">
        <f t="shared" ca="1" si="10"/>
        <v>1.8384857279999998</v>
      </c>
      <c r="R131" s="104">
        <f>VLOOKUP(D:D,ranking!W:X,2,0)</f>
        <v>0.7</v>
      </c>
      <c r="S131" s="59">
        <f t="shared" ca="1" si="11"/>
        <v>1.2869400095999997</v>
      </c>
      <c r="T131" s="101">
        <v>0.39344131293156587</v>
      </c>
    </row>
    <row r="132" spans="1:20" x14ac:dyDescent="0.25">
      <c r="A132" s="46" t="s">
        <v>1774</v>
      </c>
      <c r="B132" s="46" t="s">
        <v>85</v>
      </c>
      <c r="C132" s="46" t="s">
        <v>1810</v>
      </c>
      <c r="D132" s="46" t="s">
        <v>1012</v>
      </c>
      <c r="E132" s="124" t="s">
        <v>211</v>
      </c>
      <c r="F132" s="46" t="s">
        <v>215</v>
      </c>
      <c r="G132" s="46" t="s">
        <v>1780</v>
      </c>
      <c r="H132" s="46" t="s">
        <v>29</v>
      </c>
      <c r="I132" s="122">
        <v>44900</v>
      </c>
      <c r="J132" s="46"/>
      <c r="K132" s="46" t="s">
        <v>84</v>
      </c>
      <c r="L132" s="101">
        <f>VLOOKUP($C132&amp;$E132,'Updated SES'!A:N,14,0)</f>
        <v>127.11702000000001</v>
      </c>
      <c r="M132" s="102">
        <f>VLOOKUP($K132,'Genre Penetration'!A:B,2,0)*VLOOKUP($C132&amp;$E132,'Updated SES'!A:I,9,0)</f>
        <v>0.42879999999999996</v>
      </c>
      <c r="N132" s="102">
        <f>VLOOKUP(K:K,'Genre Penetration'!A:C,3,0)*VLOOKUP($C132&amp;$E132,'Updated SES'!A:J,10,0)</f>
        <v>0.11879999999999998</v>
      </c>
      <c r="O132" s="102">
        <f>VLOOKUP($B132,'Language Penetration'!$B$1:$BL$14,MATCH('Compile data Working'!$H142,'Language Penetration'!$B$1:$BL$1,0),0)</f>
        <v>0.1</v>
      </c>
      <c r="P132" s="102" t="str">
        <f t="shared" ca="1" si="9"/>
        <v>1%</v>
      </c>
      <c r="Q132" s="101">
        <f t="shared" ca="1" si="10"/>
        <v>6.9609280152000005E-2</v>
      </c>
      <c r="R132" s="104">
        <f>VLOOKUP(D:D,ranking!W:X,2,0)</f>
        <v>0.6</v>
      </c>
      <c r="S132" s="59">
        <f t="shared" ca="1" si="11"/>
        <v>4.1765568091200002E-2</v>
      </c>
      <c r="T132" s="101">
        <v>0.30460786464702944</v>
      </c>
    </row>
    <row r="133" spans="1:20" x14ac:dyDescent="0.25">
      <c r="A133" s="46" t="s">
        <v>1057</v>
      </c>
      <c r="B133" s="46" t="s">
        <v>85</v>
      </c>
      <c r="C133" s="46" t="s">
        <v>150</v>
      </c>
      <c r="D133" s="46" t="s">
        <v>859</v>
      </c>
      <c r="E133" s="46" t="s">
        <v>211</v>
      </c>
      <c r="F133" s="46" t="s">
        <v>213</v>
      </c>
      <c r="G133" s="46" t="s">
        <v>1792</v>
      </c>
      <c r="H133" s="46" t="s">
        <v>1058</v>
      </c>
      <c r="I133" s="53">
        <v>46143</v>
      </c>
      <c r="J133" s="124">
        <v>6</v>
      </c>
      <c r="K133" s="46" t="s">
        <v>170</v>
      </c>
      <c r="L133" s="101">
        <f>VLOOKUP($C133&amp;$E133,'Updated SES'!A:N,14,0)</f>
        <v>60.152000000000001</v>
      </c>
      <c r="M133" s="102">
        <f>VLOOKUP($K133,'Genre Penetration'!A:B,2,0)*VLOOKUP($C133&amp;$E133,'Updated SES'!A:I,9,0)</f>
        <v>0.377</v>
      </c>
      <c r="N133" s="102">
        <f>VLOOKUP(K:K,'Genre Penetration'!A:C,3,0)*VLOOKUP($C133&amp;$E133,'Updated SES'!A:J,10,0)</f>
        <v>0.14699999999999999</v>
      </c>
      <c r="O133" s="102">
        <f>VLOOKUP($B133,'Language Penetration'!$B$1:$BL$14,MATCH('Compile data Working'!$H119,'Language Penetration'!$B$1:$BL$1,0),0)</f>
        <v>0.28333333333333333</v>
      </c>
      <c r="P133" s="102" t="str">
        <f t="shared" ref="P133:P145" ca="1" si="12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10%</v>
      </c>
      <c r="Q133" s="101">
        <f t="shared" ref="Q133:Q145" ca="1" si="13">IFERROR(L133*(M133+N133)*O133*P133,RANDBETWEEN(1,2)%*L133*(M133+N133)*O133)</f>
        <v>0.89305669333333337</v>
      </c>
      <c r="R133" s="104">
        <f>VLOOKUP(D:D,ranking!W:X,2,0)</f>
        <v>0.7</v>
      </c>
      <c r="S133" s="59">
        <f t="shared" ref="S133:S145" ca="1" si="14">R133*Q133</f>
        <v>0.62513968533333331</v>
      </c>
      <c r="T133" s="101">
        <v>0.30140962141547378</v>
      </c>
    </row>
    <row r="134" spans="1:20" x14ac:dyDescent="0.25">
      <c r="A134" s="46" t="s">
        <v>1774</v>
      </c>
      <c r="B134" s="46" t="s">
        <v>85</v>
      </c>
      <c r="C134" s="46" t="s">
        <v>1810</v>
      </c>
      <c r="D134" s="46" t="s">
        <v>1012</v>
      </c>
      <c r="E134" s="46" t="s">
        <v>211</v>
      </c>
      <c r="F134" s="46" t="s">
        <v>215</v>
      </c>
      <c r="G134" s="46" t="s">
        <v>1781</v>
      </c>
      <c r="H134" s="46" t="s">
        <v>19</v>
      </c>
      <c r="I134" s="122">
        <v>46087</v>
      </c>
      <c r="J134" s="124"/>
      <c r="K134" s="46" t="s">
        <v>103</v>
      </c>
      <c r="L134" s="101">
        <f>VLOOKUP($C134&amp;$E134,'Updated SES'!A:N,14,0)</f>
        <v>127.11702000000001</v>
      </c>
      <c r="M134" s="102">
        <f>VLOOKUP($K134,'Genre Penetration'!A:B,2,0)*VLOOKUP($C134&amp;$E134,'Updated SES'!A:I,9,0)</f>
        <v>0.4756999999999999</v>
      </c>
      <c r="N134" s="102">
        <f>VLOOKUP(K:K,'Genre Penetration'!A:C,3,0)*VLOOKUP($C134&amp;$E134,'Updated SES'!A:J,10,0)</f>
        <v>9.569999999999998E-2</v>
      </c>
      <c r="O134" s="102">
        <f>VLOOKUP($B134,'Language Penetration'!$B$1:$BL$14,MATCH('Compile data Working'!$H143,'Language Penetration'!$B$1:$BL$1,0),0)</f>
        <v>0.15</v>
      </c>
      <c r="P134" s="102" t="str">
        <f t="shared" ca="1" si="12"/>
        <v>1%</v>
      </c>
      <c r="Q134" s="101">
        <f t="shared" ca="1" si="13"/>
        <v>0.10895199784199998</v>
      </c>
      <c r="R134" s="104">
        <f>VLOOKUP(D:D,ranking!W:X,2,0)</f>
        <v>0.6</v>
      </c>
      <c r="S134" s="59">
        <f t="shared" ca="1" si="14"/>
        <v>6.5371198705199987E-2</v>
      </c>
      <c r="T134" s="101">
        <v>0.30062232345192086</v>
      </c>
    </row>
    <row r="135" spans="1:20" x14ac:dyDescent="0.25">
      <c r="A135" s="46" t="s">
        <v>1942</v>
      </c>
      <c r="B135" s="46" t="s">
        <v>85</v>
      </c>
      <c r="C135" s="46" t="s">
        <v>71</v>
      </c>
      <c r="D135" s="46" t="s">
        <v>859</v>
      </c>
      <c r="E135" s="46" t="s">
        <v>211</v>
      </c>
      <c r="F135" s="46" t="s">
        <v>213</v>
      </c>
      <c r="G135" s="53" t="s">
        <v>1909</v>
      </c>
      <c r="H135" s="46" t="s">
        <v>32</v>
      </c>
      <c r="I135" s="53">
        <v>46219</v>
      </c>
      <c r="J135" s="124"/>
      <c r="K135" s="46" t="s">
        <v>124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0.33750000000000002</v>
      </c>
      <c r="N135" s="102">
        <f>VLOOKUP(K:K,'Genre Penetration'!A:C,3,0)*VLOOKUP($C135&amp;$E135,'Updated SES'!A:J,10,0)</f>
        <v>0.13750000000000001</v>
      </c>
      <c r="O135" s="102">
        <f>VLOOKUP($B135,'Language Penetration'!$B$1:$BL$14,MATCH('Compile data Working'!$H34,'Language Penetration'!$B$1:$BL$1,0),0)</f>
        <v>0.3</v>
      </c>
      <c r="P135" s="102" t="str">
        <f t="shared" ca="1" si="12"/>
        <v>1%</v>
      </c>
      <c r="Q135" s="101">
        <f t="shared" ca="1" si="13"/>
        <v>5.8952249999999996E-3</v>
      </c>
      <c r="R135" s="104">
        <f>VLOOKUP(D:D,ranking!W:X,2,0)</f>
        <v>0.7</v>
      </c>
      <c r="S135" s="59">
        <f t="shared" ca="1" si="14"/>
        <v>4.1266574999999995E-3</v>
      </c>
      <c r="T135" s="101">
        <v>0.24248232909021317</v>
      </c>
    </row>
    <row r="136" spans="1:20" x14ac:dyDescent="0.25">
      <c r="A136" s="46" t="s">
        <v>1942</v>
      </c>
      <c r="B136" s="46" t="s">
        <v>85</v>
      </c>
      <c r="C136" s="46" t="s">
        <v>71</v>
      </c>
      <c r="D136" s="46" t="s">
        <v>859</v>
      </c>
      <c r="E136" s="46" t="s">
        <v>211</v>
      </c>
      <c r="F136" s="46" t="s">
        <v>213</v>
      </c>
      <c r="G136" s="46" t="s">
        <v>1930</v>
      </c>
      <c r="H136" s="46" t="s">
        <v>468</v>
      </c>
      <c r="I136" s="53">
        <v>46220</v>
      </c>
      <c r="J136" s="46"/>
      <c r="K136" s="46" t="s">
        <v>216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0.375</v>
      </c>
      <c r="N136" s="102">
        <f>VLOOKUP(K:K,'Genre Penetration'!A:C,3,0)*VLOOKUP($C136&amp;$E136,'Updated SES'!A:J,10,0)</f>
        <v>0.125</v>
      </c>
      <c r="O136" s="102">
        <f>VLOOKUP($B136,'Language Penetration'!$B$1:$BL$14,MATCH('Compile data Working'!$H55,'Language Penetration'!$B$1:$BL$1,0),0)</f>
        <v>0.2</v>
      </c>
      <c r="P136" s="102" t="str">
        <f t="shared" ca="1" si="12"/>
        <v>1%</v>
      </c>
      <c r="Q136" s="101">
        <f t="shared" ca="1" si="13"/>
        <v>4.1370000000000001E-3</v>
      </c>
      <c r="R136" s="104">
        <f>VLOOKUP(D:D,ranking!W:X,2,0)</f>
        <v>0.7</v>
      </c>
      <c r="S136" s="59">
        <f t="shared" ca="1" si="14"/>
        <v>2.8958999999999999E-3</v>
      </c>
      <c r="T136" s="101">
        <v>0.20840125680000005</v>
      </c>
    </row>
    <row r="137" spans="1:20" x14ac:dyDescent="0.25">
      <c r="A137" s="46" t="s">
        <v>1942</v>
      </c>
      <c r="B137" s="46" t="s">
        <v>85</v>
      </c>
      <c r="C137" s="46" t="s">
        <v>71</v>
      </c>
      <c r="D137" s="46" t="s">
        <v>1012</v>
      </c>
      <c r="E137" s="46" t="s">
        <v>211</v>
      </c>
      <c r="F137" s="46" t="s">
        <v>215</v>
      </c>
      <c r="G137" s="46" t="s">
        <v>1940</v>
      </c>
      <c r="H137" s="46" t="s">
        <v>468</v>
      </c>
      <c r="I137" s="53">
        <v>46220</v>
      </c>
      <c r="J137" s="124"/>
      <c r="K137" s="46" t="s">
        <v>46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0.52499999999999991</v>
      </c>
      <c r="N137" s="102">
        <f>VLOOKUP(K:K,'Genre Penetration'!A:C,3,0)*VLOOKUP($C137&amp;$E137,'Updated SES'!A:J,10,0)</f>
        <v>7.4999999999999997E-2</v>
      </c>
      <c r="O137" s="102">
        <f>VLOOKUP($B137,'Language Penetration'!$B$1:$BL$14,MATCH('Compile data Working'!$H65,'Language Penetration'!$B$1:$BL$1,0),0)</f>
        <v>0.26250000000000001</v>
      </c>
      <c r="P137" s="102" t="str">
        <f t="shared" ca="1" si="12"/>
        <v>2%</v>
      </c>
      <c r="Q137" s="101">
        <f t="shared" ca="1" si="13"/>
        <v>1.3031549999999996E-2</v>
      </c>
      <c r="R137" s="104">
        <f>VLOOKUP(D:D,ranking!W:X,2,0)</f>
        <v>0.6</v>
      </c>
      <c r="S137" s="59">
        <f t="shared" ca="1" si="14"/>
        <v>7.8189299999999965E-3</v>
      </c>
      <c r="T137" s="101">
        <v>0.19840125680000001</v>
      </c>
    </row>
    <row r="138" spans="1:20" x14ac:dyDescent="0.25">
      <c r="A138" s="46" t="s">
        <v>1942</v>
      </c>
      <c r="B138" s="46" t="s">
        <v>85</v>
      </c>
      <c r="C138" s="46" t="s">
        <v>135</v>
      </c>
      <c r="D138" s="46" t="s">
        <v>859</v>
      </c>
      <c r="E138" s="46" t="s">
        <v>211</v>
      </c>
      <c r="F138" s="46" t="s">
        <v>213</v>
      </c>
      <c r="G138" s="46" t="s">
        <v>1927</v>
      </c>
      <c r="H138" s="46" t="s">
        <v>25</v>
      </c>
      <c r="I138" s="53">
        <v>46220</v>
      </c>
      <c r="J138" s="46"/>
      <c r="K138" s="46" t="s">
        <v>216</v>
      </c>
      <c r="L138" s="101">
        <f>VLOOKUP($C138&amp;$E138,'Updated SES'!A:N,14,0)</f>
        <v>12.64146</v>
      </c>
      <c r="M138" s="102">
        <f>VLOOKUP($K138,'Genre Penetration'!A:B,2,0)*VLOOKUP($C138&amp;$E138,'Updated SES'!A:I,9,0)</f>
        <v>0.39</v>
      </c>
      <c r="N138" s="102">
        <f>VLOOKUP(K:K,'Genre Penetration'!A:C,3,0)*VLOOKUP($C138&amp;$E138,'Updated SES'!A:J,10,0)</f>
        <v>0.11</v>
      </c>
      <c r="O138" s="102">
        <f>VLOOKUP($B138,'Language Penetration'!$B$1:$BL$14,MATCH('Compile data Working'!$H52,'Language Penetration'!$B$1:$BL$1,0),0)</f>
        <v>0.2</v>
      </c>
      <c r="P138" s="102" t="str">
        <f t="shared" ca="1" si="12"/>
        <v>1%</v>
      </c>
      <c r="Q138" s="101">
        <f t="shared" ca="1" si="13"/>
        <v>1.2641460000000002E-2</v>
      </c>
      <c r="R138" s="104">
        <f>VLOOKUP(D:D,ranking!W:X,2,0)</f>
        <v>0.7</v>
      </c>
      <c r="S138" s="59">
        <f t="shared" ca="1" si="14"/>
        <v>8.8490220000000015E-3</v>
      </c>
      <c r="T138" s="101">
        <v>9.6927871411058686E-2</v>
      </c>
    </row>
    <row r="139" spans="1:20" x14ac:dyDescent="0.25">
      <c r="A139" s="46" t="s">
        <v>1942</v>
      </c>
      <c r="B139" s="46" t="s">
        <v>85</v>
      </c>
      <c r="C139" s="46" t="s">
        <v>114</v>
      </c>
      <c r="D139" s="46" t="s">
        <v>859</v>
      </c>
      <c r="E139" s="46" t="s">
        <v>211</v>
      </c>
      <c r="F139" s="46" t="s">
        <v>213</v>
      </c>
      <c r="G139" s="46" t="s">
        <v>1922</v>
      </c>
      <c r="H139" s="46" t="s">
        <v>77</v>
      </c>
      <c r="I139" s="53">
        <v>46220</v>
      </c>
      <c r="J139" s="124"/>
      <c r="K139" s="46" t="s">
        <v>62</v>
      </c>
      <c r="L139" s="101">
        <f>VLOOKUP($C139&amp;$E139,'Updated SES'!A:N,14,0)</f>
        <v>25.340000000000003</v>
      </c>
      <c r="M139" s="102">
        <f>VLOOKUP($K139,'Genre Penetration'!A:B,2,0)*VLOOKUP($C139&amp;$E139,'Updated SES'!A:I,9,0)</f>
        <v>0.47559999999999991</v>
      </c>
      <c r="N139" s="102">
        <f>VLOOKUP(K:K,'Genre Penetration'!A:C,3,0)*VLOOKUP($C139&amp;$E139,'Updated SES'!A:J,10,0)</f>
        <v>7.5600000000000001E-2</v>
      </c>
      <c r="O139" s="102">
        <f>VLOOKUP($B139,'Language Penetration'!$B$1:$BL$14,MATCH('Compile data Working'!$H47,'Language Penetration'!$B$1:$BL$1,0),0)</f>
        <v>0.4</v>
      </c>
      <c r="P139" s="102" t="str">
        <f t="shared" ca="1" si="12"/>
        <v>2%</v>
      </c>
      <c r="Q139" s="101">
        <f t="shared" ca="1" si="13"/>
        <v>0.11173926399999999</v>
      </c>
      <c r="R139" s="104">
        <f>VLOOKUP(D:D,ranking!W:X,2,0)</f>
        <v>0.7</v>
      </c>
      <c r="S139" s="59">
        <f t="shared" ca="1" si="14"/>
        <v>7.8217484799999987E-2</v>
      </c>
      <c r="T139" s="101">
        <v>7.8903599290345364E-2</v>
      </c>
    </row>
    <row r="140" spans="1:20" x14ac:dyDescent="0.25">
      <c r="A140" s="46" t="s">
        <v>1057</v>
      </c>
      <c r="B140" s="46" t="s">
        <v>85</v>
      </c>
      <c r="C140" s="46" t="s">
        <v>1229</v>
      </c>
      <c r="D140" s="46" t="s">
        <v>433</v>
      </c>
      <c r="E140" s="46" t="s">
        <v>219</v>
      </c>
      <c r="F140" s="46" t="s">
        <v>215</v>
      </c>
      <c r="G140" s="46" t="s">
        <v>1791</v>
      </c>
      <c r="H140" s="46" t="s">
        <v>19</v>
      </c>
      <c r="I140" s="53">
        <v>46043</v>
      </c>
      <c r="J140" s="124">
        <v>10</v>
      </c>
      <c r="K140" s="46" t="s">
        <v>138</v>
      </c>
      <c r="L140" s="101">
        <f>VLOOKUP($C140&amp;$E140,'Updated SES'!A:N,14,0)</f>
        <v>78.939870000000013</v>
      </c>
      <c r="M140" s="102">
        <f>VLOOKUP($K140,'Genre Penetration'!A:B,2,0)*VLOOKUP($C140&amp;$E140,'Updated SES'!A:I,9,0)</f>
        <v>0.376</v>
      </c>
      <c r="N140" s="102">
        <f>VLOOKUP(K:K,'Genre Penetration'!A:C,3,0)*VLOOKUP($C140&amp;$E140,'Updated SES'!A:J,10,0)</f>
        <v>0.10600000000000001</v>
      </c>
      <c r="O140" s="102">
        <f>VLOOKUP($B140,'Language Penetration'!$B$1:$BL$14,MATCH('Compile data Working'!$H75,'Language Penetration'!$B$1:$BL$1,0),0)</f>
        <v>0.6</v>
      </c>
      <c r="P140" s="102" t="str">
        <f t="shared" ca="1" si="12"/>
        <v>3%</v>
      </c>
      <c r="Q140" s="101">
        <f t="shared" ca="1" si="13"/>
        <v>0.68488231212000006</v>
      </c>
      <c r="R140" s="104">
        <f>VLOOKUP(D:D,ranking!W:X,2,0)</f>
        <v>0.6</v>
      </c>
      <c r="S140" s="59">
        <f t="shared" ca="1" si="14"/>
        <v>0.41092938727200001</v>
      </c>
      <c r="T140" s="101">
        <v>7.4716532002138861E-2</v>
      </c>
    </row>
    <row r="141" spans="1:20" x14ac:dyDescent="0.25">
      <c r="A141" s="46" t="s">
        <v>1942</v>
      </c>
      <c r="B141" s="46" t="s">
        <v>85</v>
      </c>
      <c r="C141" s="46" t="s">
        <v>117</v>
      </c>
      <c r="D141" s="46" t="s">
        <v>859</v>
      </c>
      <c r="E141" s="46" t="s">
        <v>211</v>
      </c>
      <c r="F141" s="46" t="s">
        <v>213</v>
      </c>
      <c r="G141" s="46" t="s">
        <v>1921</v>
      </c>
      <c r="H141" s="46" t="s">
        <v>26</v>
      </c>
      <c r="I141" s="53">
        <v>46220</v>
      </c>
      <c r="J141" s="46"/>
      <c r="K141" s="46" t="s">
        <v>169</v>
      </c>
      <c r="L141" s="101">
        <f>VLOOKUP($C141&amp;$E141,'Updated SES'!A:N,14,0)</f>
        <v>0.15089999999999998</v>
      </c>
      <c r="M141" s="102">
        <f>VLOOKUP($K141,'Genre Penetration'!A:B,2,0)*VLOOKUP($C141&amp;$E141,'Updated SES'!A:I,9,0)</f>
        <v>0.51059999999999994</v>
      </c>
      <c r="N141" s="102">
        <f>VLOOKUP(K:K,'Genre Penetration'!A:C,3,0)*VLOOKUP($C141&amp;$E141,'Updated SES'!A:J,10,0)</f>
        <v>8.0600000000000005E-2</v>
      </c>
      <c r="O141" s="102">
        <f>VLOOKUP($B141,'Language Penetration'!$B$1:$BL$14,MATCH('Compile data Working'!$H46,'Language Penetration'!$B$1:$BL$1,0),0)</f>
        <v>0.6</v>
      </c>
      <c r="P141" s="102" t="str">
        <f t="shared" ca="1" si="12"/>
        <v>1%</v>
      </c>
      <c r="Q141" s="101">
        <f t="shared" ca="1" si="13"/>
        <v>5.3527247999999997E-4</v>
      </c>
      <c r="R141" s="104">
        <f>VLOOKUP(D:D,ranking!W:X,2,0)</f>
        <v>0.7</v>
      </c>
      <c r="S141" s="59">
        <f t="shared" ca="1" si="14"/>
        <v>3.7469073599999994E-4</v>
      </c>
      <c r="T141" s="101">
        <v>6.2903599290345405E-2</v>
      </c>
    </row>
    <row r="142" spans="1:20" x14ac:dyDescent="0.25">
      <c r="A142" s="46" t="s">
        <v>1942</v>
      </c>
      <c r="B142" s="46" t="s">
        <v>85</v>
      </c>
      <c r="C142" s="46" t="s">
        <v>104</v>
      </c>
      <c r="D142" s="46" t="s">
        <v>859</v>
      </c>
      <c r="E142" s="46" t="s">
        <v>211</v>
      </c>
      <c r="F142" s="46" t="s">
        <v>213</v>
      </c>
      <c r="G142" s="46" t="s">
        <v>1933</v>
      </c>
      <c r="H142" s="46" t="s">
        <v>33</v>
      </c>
      <c r="I142" s="53">
        <v>46220</v>
      </c>
      <c r="J142" s="124"/>
      <c r="K142" s="46" t="s">
        <v>293</v>
      </c>
      <c r="L142" s="101">
        <f>VLOOKUP($C142&amp;$E142,'Updated SES'!A:N,14,0)</f>
        <v>16.906969999999998</v>
      </c>
      <c r="M142" s="102">
        <f>VLOOKUP($K142,'Genre Penetration'!A:B,2,0)*VLOOKUP($C142&amp;$E142,'Updated SES'!A:I,9,0)</f>
        <v>0.33</v>
      </c>
      <c r="N142" s="102">
        <f>VLOOKUP(K:K,'Genre Penetration'!A:C,3,0)*VLOOKUP($C142&amp;$E142,'Updated SES'!A:J,10,0)</f>
        <v>0.18</v>
      </c>
      <c r="O142" s="102">
        <f>VLOOKUP($B142,'Language Penetration'!$B$1:$BL$14,MATCH('Compile data Working'!$H58,'Language Penetration'!$B$1:$BL$1,0),0)</f>
        <v>0.2</v>
      </c>
      <c r="P142" s="102" t="str">
        <f t="shared" ca="1" si="12"/>
        <v>1%</v>
      </c>
      <c r="Q142" s="101">
        <f t="shared" ca="1" si="13"/>
        <v>1.72451094E-2</v>
      </c>
      <c r="R142" s="104">
        <f>VLOOKUP(D:D,ranking!W:X,2,0)</f>
        <v>0.7</v>
      </c>
      <c r="S142" s="59">
        <f t="shared" ca="1" si="14"/>
        <v>1.207157658E-2</v>
      </c>
      <c r="T142" s="101">
        <v>4.5700673755816802E-2</v>
      </c>
    </row>
    <row r="143" spans="1:20" x14ac:dyDescent="0.25">
      <c r="A143" s="46" t="s">
        <v>1942</v>
      </c>
      <c r="B143" s="46" t="s">
        <v>85</v>
      </c>
      <c r="C143" s="46" t="s">
        <v>100</v>
      </c>
      <c r="D143" s="46" t="s">
        <v>859</v>
      </c>
      <c r="E143" s="46" t="s">
        <v>211</v>
      </c>
      <c r="F143" s="46" t="s">
        <v>213</v>
      </c>
      <c r="G143" s="53" t="s">
        <v>1910</v>
      </c>
      <c r="H143" s="46" t="s">
        <v>23</v>
      </c>
      <c r="I143" s="53">
        <v>46219</v>
      </c>
      <c r="J143" s="124"/>
      <c r="K143" s="46" t="s">
        <v>216</v>
      </c>
      <c r="L143" s="101">
        <f>VLOOKUP($C143&amp;$E143,'Updated SES'!A:N,14,0)</f>
        <v>1.8480000000000003</v>
      </c>
      <c r="M143" s="102">
        <f>VLOOKUP($K143,'Genre Penetration'!A:B,2,0)*VLOOKUP($C143&amp;$E143,'Updated SES'!A:I,9,0)</f>
        <v>0.39</v>
      </c>
      <c r="N143" s="102">
        <f>VLOOKUP(K:K,'Genre Penetration'!A:C,3,0)*VLOOKUP($C143&amp;$E143,'Updated SES'!A:J,10,0)</f>
        <v>0.11</v>
      </c>
      <c r="O143" s="102">
        <f>VLOOKUP($B143,'Language Penetration'!$B$1:$BL$14,MATCH('Compile data Working'!$H35,'Language Penetration'!$B$1:$BL$1,0),0)</f>
        <v>0.2</v>
      </c>
      <c r="P143" s="102" t="str">
        <f t="shared" ca="1" si="12"/>
        <v>1%</v>
      </c>
      <c r="Q143" s="101">
        <f t="shared" ca="1" si="13"/>
        <v>1.8480000000000005E-3</v>
      </c>
      <c r="R143" s="104">
        <f>VLOOKUP(D:D,ranking!W:X,2,0)</f>
        <v>0.7</v>
      </c>
      <c r="S143" s="59">
        <f t="shared" ca="1" si="14"/>
        <v>1.2936000000000002E-3</v>
      </c>
      <c r="T143" s="101">
        <v>4.3411298504019161E-2</v>
      </c>
    </row>
    <row r="144" spans="1:20" x14ac:dyDescent="0.25">
      <c r="A144" s="46" t="s">
        <v>1942</v>
      </c>
      <c r="B144" s="46" t="s">
        <v>85</v>
      </c>
      <c r="C144" s="46" t="s">
        <v>100</v>
      </c>
      <c r="D144" s="46" t="s">
        <v>1013</v>
      </c>
      <c r="E144" s="46" t="s">
        <v>211</v>
      </c>
      <c r="F144" s="46" t="s">
        <v>213</v>
      </c>
      <c r="G144" s="46" t="s">
        <v>1934</v>
      </c>
      <c r="H144" s="46" t="s">
        <v>23</v>
      </c>
      <c r="I144" s="53">
        <v>46220</v>
      </c>
      <c r="J144" s="124"/>
      <c r="K144" s="46" t="s">
        <v>216</v>
      </c>
      <c r="L144" s="101">
        <f>VLOOKUP($C144&amp;$E144,'Updated SES'!A:N,14,0)</f>
        <v>1.8480000000000003</v>
      </c>
      <c r="M144" s="102">
        <f>VLOOKUP($K144,'Genre Penetration'!A:B,2,0)*VLOOKUP($C144&amp;$E144,'Updated SES'!A:I,9,0)</f>
        <v>0.39</v>
      </c>
      <c r="N144" s="102">
        <f>VLOOKUP(K:K,'Genre Penetration'!A:C,3,0)*VLOOKUP($C144&amp;$E144,'Updated SES'!A:J,10,0)</f>
        <v>0.11</v>
      </c>
      <c r="O144" s="102">
        <f>VLOOKUP($B144,'Language Penetration'!$B$1:$BL$14,MATCH('Compile data Working'!$H59,'Language Penetration'!$B$1:$BL$1,0),0)</f>
        <v>0.2</v>
      </c>
      <c r="P144" s="102" t="str">
        <f t="shared" ca="1" si="12"/>
        <v>2%</v>
      </c>
      <c r="Q144" s="101">
        <f t="shared" ca="1" si="13"/>
        <v>3.6960000000000009E-3</v>
      </c>
      <c r="R144" s="104">
        <f>VLOOKUP(D:D,ranking!W:X,2,0)</f>
        <v>0.8</v>
      </c>
      <c r="S144" s="59">
        <f t="shared" ca="1" si="14"/>
        <v>2.9568000000000007E-3</v>
      </c>
      <c r="T144" s="101">
        <v>3.1683797297031559E-2</v>
      </c>
    </row>
    <row r="145" spans="1:20" x14ac:dyDescent="0.25">
      <c r="A145" s="46" t="s">
        <v>1774</v>
      </c>
      <c r="B145" s="46" t="s">
        <v>85</v>
      </c>
      <c r="C145" s="46" t="s">
        <v>1810</v>
      </c>
      <c r="D145" s="46" t="s">
        <v>456</v>
      </c>
      <c r="E145" s="46" t="s">
        <v>211</v>
      </c>
      <c r="F145" s="46" t="s">
        <v>1819</v>
      </c>
      <c r="G145" s="46" t="s">
        <v>1779</v>
      </c>
      <c r="H145" s="46" t="s">
        <v>22</v>
      </c>
      <c r="I145" s="46">
        <v>38904</v>
      </c>
      <c r="J145" s="46"/>
      <c r="K145" s="46" t="s">
        <v>216</v>
      </c>
      <c r="L145" s="101">
        <f>VLOOKUP($C145&amp;$E145,'Updated SES'!A:N,14,0)</f>
        <v>127.11702000000001</v>
      </c>
      <c r="M145" s="102">
        <f>VLOOKUP($K145,'Genre Penetration'!A:B,2,0)*VLOOKUP($C145&amp;$E145,'Updated SES'!A:I,9,0)</f>
        <v>0.33499999999999996</v>
      </c>
      <c r="N145" s="102">
        <f>VLOOKUP(K:K,'Genre Penetration'!A:C,3,0)*VLOOKUP($C145&amp;$E145,'Updated SES'!A:J,10,0)</f>
        <v>0.16499999999999998</v>
      </c>
      <c r="O145" s="102">
        <f>VLOOKUP($B145,'Language Penetration'!$B$1:$BL$14,MATCH('Compile data Working'!$H144,'Language Penetration'!$B$1:$BL$1,0),0)</f>
        <v>0.15</v>
      </c>
      <c r="P145" s="102" t="str">
        <f t="shared" ca="1" si="12"/>
        <v>2%</v>
      </c>
      <c r="Q145" s="101">
        <f t="shared" ca="1" si="13"/>
        <v>0.19067553000000001</v>
      </c>
      <c r="R145" s="104">
        <f>VLOOKUP(D:D,ranking!W:X,2,0)</f>
        <v>0.3</v>
      </c>
      <c r="S145" s="59">
        <f t="shared" ca="1" si="14"/>
        <v>5.7202659000000003E-2</v>
      </c>
      <c r="T145" s="101">
        <v>6.9416499452018806E-3</v>
      </c>
    </row>
  </sheetData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 filterMode="1"/>
  <dimension ref="A1:AX46"/>
  <sheetViews>
    <sheetView zoomScale="80" zoomScaleNormal="80" workbookViewId="0">
      <selection activeCell="N43" sqref="N43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hidden="1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O3" t="e">
        <f>VLOOKUP(B:B,'[1]Revenue share'!$C$6:$J$16,8,0)</f>
        <v>#N/A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hidden="1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  <c r="O4" t="e">
        <f>VLOOKUP(B:B,'[1]Revenue share'!$C$6:$J$16,8,0)</f>
        <v>#N/A</v>
      </c>
    </row>
    <row r="5" spans="1:50" hidden="1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O5" t="e">
        <f>VLOOKUP(B:B,'[1]Revenue share'!$C$6:$J$16,8,0)</f>
        <v>#N/A</v>
      </c>
      <c r="W5" s="26"/>
      <c r="X5" s="26"/>
      <c r="Y5" s="26"/>
      <c r="Z5" s="26"/>
    </row>
    <row r="6" spans="1:50" hidden="1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  <c r="O6" t="e">
        <f>VLOOKUP(B:B,'[1]Revenue share'!$C$6:$J$16,8,0)</f>
        <v>#N/A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  <c r="O7">
        <f>VLOOKUP(B:B,'[1]Revenue share'!$C$6:$J$16,8,0)</f>
        <v>78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O8">
        <f>VLOOKUP(B:B,'[1]Revenue share'!$C$6:$J$16,8,0)</f>
        <v>78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O9">
        <f>VLOOKUP(B:B,'[1]Revenue share'!$C$6:$J$16,8,0)</f>
        <v>78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hidden="1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O10" t="e">
        <f>VLOOKUP(B:B,'[1]Revenue share'!$C$6:$J$16,8,0)</f>
        <v>#N/A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hidden="1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O11" t="e">
        <f>VLOOKUP(B:B,'[1]Revenue share'!$C$6:$J$16,8,0)</f>
        <v>#N/A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hidden="1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O12" t="e">
        <f>VLOOKUP(B:B,'[1]Revenue share'!$C$6:$J$16,8,0)</f>
        <v>#N/A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hidden="1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O13" t="e">
        <f>VLOOKUP(B:B,'[1]Revenue share'!$C$6:$J$16,8,0)</f>
        <v>#N/A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hidden="1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O14" t="e">
        <f>VLOOKUP(B:B,'[1]Revenue share'!$C$6:$J$16,8,0)</f>
        <v>#N/A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hidden="1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O15" t="e">
        <f>VLOOKUP(B:B,'[1]Revenue share'!$C$6:$J$16,8,0)</f>
        <v>#N/A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hidden="1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O16" t="e">
        <f>VLOOKUP(B:B,'[1]Revenue share'!$C$6:$J$16,8,0)</f>
        <v>#N/A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hidden="1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  <c r="O17" t="e">
        <f>VLOOKUP(B:B,'[1]Revenue share'!$C$6:$J$16,8,0)</f>
        <v>#N/A</v>
      </c>
    </row>
    <row r="18" spans="1:50" hidden="1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  <c r="O18" t="e">
        <f>VLOOKUP(B:B,'[1]Revenue share'!$C$6:$J$16,8,0)</f>
        <v>#N/A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O19">
        <f>VLOOKUP(B:B,'[1]Revenue share'!$C$6:$J$16,8,0)</f>
        <v>22.1</v>
      </c>
      <c r="T19" s="1" t="s">
        <v>1243</v>
      </c>
    </row>
    <row r="20" spans="1:50" hidden="1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O20" t="e">
        <f>VLOOKUP(B:B,'[1]Revenue share'!$C$6:$J$16,8,0)</f>
        <v>#N/A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JioHotstarFREE</v>
      </c>
      <c r="B21" s="37" t="s">
        <v>1810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O21">
        <f>VLOOKUP(B:B,'[1]Revenue share'!$C$6:$J$16,8,0)</f>
        <v>414</v>
      </c>
      <c r="T21" s="82" t="s">
        <v>1235</v>
      </c>
      <c r="U21" s="83">
        <f ca="1">U9*RANDBETWEEN(90,105)/100</f>
        <v>0.1089792161443216</v>
      </c>
      <c r="V21" s="83">
        <f ca="1">V9*RANDBETWEEN(80,110)/100</f>
        <v>3.2413107051038302E-2</v>
      </c>
      <c r="W21" s="83">
        <f ca="1">W9*RANDBETWEEN(95,115)/100</f>
        <v>3.7753739270735907E-2</v>
      </c>
      <c r="X21" s="83">
        <f ca="1">X9*RANDBETWEEN(98,118)/100</f>
        <v>8.9044028219857269E-2</v>
      </c>
      <c r="Y21" s="83">
        <f t="shared" ref="Y21:AG21" ca="1" si="2">Y9*RANDBETWEEN(90,105)/100</f>
        <v>1.4519981448640886E-2</v>
      </c>
      <c r="Z21" s="83">
        <f t="shared" ca="1" si="2"/>
        <v>4.0039431936559441E-2</v>
      </c>
      <c r="AA21" s="83">
        <f t="shared" ca="1" si="2"/>
        <v>3.2674192982117052E-2</v>
      </c>
      <c r="AB21" s="83">
        <f t="shared" ca="1" si="2"/>
        <v>3.2312455567594191E-2</v>
      </c>
      <c r="AC21" s="83">
        <f t="shared" ca="1" si="2"/>
        <v>0.12438720620236167</v>
      </c>
      <c r="AD21" s="83">
        <f t="shared" ca="1" si="2"/>
        <v>2.1971962869132274E-2</v>
      </c>
      <c r="AE21" s="83">
        <f t="shared" ca="1" si="2"/>
        <v>2.98250758641595E-2</v>
      </c>
      <c r="AF21" s="83">
        <f t="shared" ca="1" si="2"/>
        <v>9.7035396040239127E-2</v>
      </c>
      <c r="AG21" s="83">
        <f t="shared" ca="1" si="2"/>
        <v>4.7883342247203677E-2</v>
      </c>
      <c r="AK21" s="82" t="s">
        <v>1245</v>
      </c>
      <c r="AL21" s="83">
        <f ca="1">AL9*RANDBETWEEN(90,105)/100</f>
        <v>0.15305462117957236</v>
      </c>
      <c r="AM21" s="83">
        <f t="shared" ref="AM21:AX21" ca="1" si="3">AM9*RANDBETWEEN(90,105)/100</f>
        <v>0.21147064716489683</v>
      </c>
      <c r="AN21" s="83">
        <f t="shared" ca="1" si="3"/>
        <v>0.22647659822905514</v>
      </c>
      <c r="AO21" s="83">
        <f t="shared" ca="1" si="3"/>
        <v>0.35754140465857775</v>
      </c>
      <c r="AP21" s="83">
        <f t="shared" ca="1" si="3"/>
        <v>0.18827867261789247</v>
      </c>
      <c r="AQ21" s="83">
        <f t="shared" ca="1" si="3"/>
        <v>0.20675675675675681</v>
      </c>
      <c r="AR21" s="83">
        <f t="shared" ca="1" si="3"/>
        <v>0.1737574552683897</v>
      </c>
      <c r="AS21" s="83">
        <f t="shared" ca="1" si="3"/>
        <v>1.0437252233595645E-3</v>
      </c>
      <c r="AT21" s="83">
        <f t="shared" ca="1" si="3"/>
        <v>4.0831286814262237E-3</v>
      </c>
      <c r="AU21" s="83">
        <f t="shared" ca="1" si="3"/>
        <v>1.9678484727637378E-3</v>
      </c>
      <c r="AV21" s="83">
        <f t="shared" ca="1" si="3"/>
        <v>0.51542399062481448</v>
      </c>
      <c r="AW21" s="83">
        <f t="shared" ca="1" si="3"/>
        <v>0.19778876927553099</v>
      </c>
      <c r="AX21" s="83">
        <f t="shared" ca="1" si="3"/>
        <v>9.1722820074424213E-2</v>
      </c>
    </row>
    <row r="22" spans="1:50" hidden="1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O22" t="e">
        <f>VLOOKUP(B:B,'[1]Revenue share'!$C$6:$J$16,8,0)</f>
        <v>#N/A</v>
      </c>
      <c r="T22" s="82" t="s">
        <v>1236</v>
      </c>
      <c r="U22" s="83">
        <f ca="1">U10*RANDBETWEEN(90,105)/100</f>
        <v>0.14194899364265331</v>
      </c>
      <c r="V22" s="83">
        <f t="shared" ref="V22:V28" ca="1" si="4">V10*RANDBETWEEN(80,110)/100</f>
        <v>0.19121272255432381</v>
      </c>
      <c r="W22" s="83">
        <f t="shared" ref="W22:W28" ca="1" si="5">W10*RANDBETWEEN(95,115)/100</f>
        <v>0.24690394148275099</v>
      </c>
      <c r="X22" s="83">
        <f t="shared" ref="X22:X28" ca="1" si="6">X10*RANDBETWEEN(98,118)/100</f>
        <v>0.32845344057320247</v>
      </c>
      <c r="Y22" s="83">
        <f t="shared" ref="U22:AG28" ca="1" si="7">Y10*RANDBETWEEN(90,105)/100</f>
        <v>0.10392047182603042</v>
      </c>
      <c r="Z22" s="83">
        <f t="shared" ca="1" si="7"/>
        <v>0.12105266548331148</v>
      </c>
      <c r="AA22" s="83">
        <f t="shared" ca="1" si="7"/>
        <v>0.20968460421411728</v>
      </c>
      <c r="AB22" s="83">
        <f t="shared" ca="1" si="7"/>
        <v>0.16426850286197914</v>
      </c>
      <c r="AC22" s="83">
        <f t="shared" ca="1" si="7"/>
        <v>0.14952817924943043</v>
      </c>
      <c r="AD22" s="83">
        <f t="shared" ca="1" si="7"/>
        <v>5.0637629182607655E-2</v>
      </c>
      <c r="AE22" s="83">
        <f t="shared" ca="1" si="7"/>
        <v>0.14445880271364697</v>
      </c>
      <c r="AF22" s="83">
        <f t="shared" ca="1" si="7"/>
        <v>0.22090314103976436</v>
      </c>
      <c r="AG22" s="83">
        <f t="shared" ca="1" si="7"/>
        <v>0.21733635497909276</v>
      </c>
      <c r="AK22" s="82" t="s">
        <v>1246</v>
      </c>
      <c r="AL22" s="83">
        <f ca="1">AL10*RANDBETWEEN(90,105)/100</f>
        <v>0.1419358286923843</v>
      </c>
      <c r="AM22" s="83">
        <f t="shared" ref="AM22:AX22" ca="1" si="8">AM10*RANDBETWEEN(90,105)/100</f>
        <v>9.207573632538571E-2</v>
      </c>
      <c r="AN22" s="83">
        <f t="shared" ca="1" si="8"/>
        <v>8.0864065388732115E-2</v>
      </c>
      <c r="AO22" s="83">
        <f t="shared" ca="1" si="8"/>
        <v>0.3190983969533257</v>
      </c>
      <c r="AP22" s="83">
        <f t="shared" ca="1" si="8"/>
        <v>0.16023190374539106</v>
      </c>
      <c r="AQ22" s="83">
        <f t="shared" ca="1" si="8"/>
        <v>0.10772200772200774</v>
      </c>
      <c r="AR22" s="83">
        <f t="shared" ca="1" si="8"/>
        <v>0.15499502982107355</v>
      </c>
      <c r="AS22" s="83">
        <f t="shared" ca="1" si="8"/>
        <v>1.0354416898408377E-3</v>
      </c>
      <c r="AT22" s="83">
        <f t="shared" ca="1" si="8"/>
        <v>3.4100854921801428E-3</v>
      </c>
      <c r="AU22" s="83">
        <f t="shared" ca="1" si="8"/>
        <v>4.1467107020756785E-3</v>
      </c>
      <c r="AV22" s="83">
        <f t="shared" ca="1" si="8"/>
        <v>0.36972025310664952</v>
      </c>
      <c r="AW22" s="83">
        <f t="shared" ca="1" si="8"/>
        <v>0.12108233924934537</v>
      </c>
      <c r="AX22" s="83">
        <f t="shared" ca="1" si="8"/>
        <v>0.15048275168460223</v>
      </c>
    </row>
    <row r="23" spans="1:50" hidden="1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O23" t="e">
        <f>VLOOKUP(B:B,'[1]Revenue share'!$C$6:$J$16,8,0)</f>
        <v>#N/A</v>
      </c>
      <c r="T23" s="82" t="s">
        <v>1237</v>
      </c>
      <c r="U23" s="83">
        <f ca="1">U11*RANDBETWEEN(90,105)/100</f>
        <v>0.18256064795054555</v>
      </c>
      <c r="V23" s="83">
        <f t="shared" ca="1" si="4"/>
        <v>0.17580000173181098</v>
      </c>
      <c r="W23" s="83">
        <f t="shared" ca="1" si="5"/>
        <v>0.17073393105124557</v>
      </c>
      <c r="X23" s="83">
        <f t="shared" ca="1" si="6"/>
        <v>0.23507817523471761</v>
      </c>
      <c r="Y23" s="83">
        <f t="shared" ca="1" si="7"/>
        <v>0.29723681859985052</v>
      </c>
      <c r="Z23" s="83">
        <f t="shared" ca="1" si="7"/>
        <v>0.2107205759524752</v>
      </c>
      <c r="AA23" s="83">
        <f t="shared" ca="1" si="7"/>
        <v>0.37001843556689357</v>
      </c>
      <c r="AB23" s="83">
        <f t="shared" ca="1" si="7"/>
        <v>0.19355063750837742</v>
      </c>
      <c r="AC23" s="83">
        <f t="shared" ca="1" si="7"/>
        <v>0.20396207347123452</v>
      </c>
      <c r="AD23" s="83">
        <f t="shared" ca="1" si="7"/>
        <v>0.25423316236404653</v>
      </c>
      <c r="AE23" s="83">
        <f t="shared" ca="1" si="7"/>
        <v>0.31633278748480242</v>
      </c>
      <c r="AF23" s="83">
        <f t="shared" ca="1" si="7"/>
        <v>0.10881286359548804</v>
      </c>
      <c r="AG23" s="83">
        <f t="shared" ca="1" si="7"/>
        <v>0.2206600168939801</v>
      </c>
      <c r="AK23" s="82" t="s">
        <v>1247</v>
      </c>
      <c r="AL23" s="83">
        <f ca="1">AL11*RANDBETWEEN(90,105)/100</f>
        <v>0.14934919788273393</v>
      </c>
      <c r="AM23" s="83">
        <f t="shared" ref="AM23:AX23" ca="1" si="9">AM11*RANDBETWEEN(90,105)/100</f>
        <v>0.17138048487277097</v>
      </c>
      <c r="AN23" s="83">
        <f t="shared" ca="1" si="9"/>
        <v>0.22490220881580228</v>
      </c>
      <c r="AO23" s="83">
        <f t="shared" ca="1" si="9"/>
        <v>5.25445044725888E-3</v>
      </c>
      <c r="AP23" s="83">
        <f t="shared" ca="1" si="9"/>
        <v>0.15116631088686203</v>
      </c>
      <c r="AQ23" s="83">
        <f t="shared" ca="1" si="9"/>
        <v>0.16012355212355217</v>
      </c>
      <c r="AR23" s="83">
        <f t="shared" ca="1" si="9"/>
        <v>0.15337375745526841</v>
      </c>
      <c r="AS23" s="83">
        <f t="shared" ca="1" si="9"/>
        <v>0.52612271463227023</v>
      </c>
      <c r="AT23" s="83">
        <f t="shared" ca="1" si="9"/>
        <v>2.2845615525232195E-3</v>
      </c>
      <c r="AU23" s="83">
        <f t="shared" ca="1" si="9"/>
        <v>0.55944005854179801</v>
      </c>
      <c r="AV23" s="83">
        <f t="shared" ca="1" si="9"/>
        <v>2.343309716924293E-3</v>
      </c>
      <c r="AW23" s="83">
        <f t="shared" ca="1" si="9"/>
        <v>0.15280768111725343</v>
      </c>
      <c r="AX23" s="83">
        <f t="shared" ca="1" si="9"/>
        <v>0.18923866036407522</v>
      </c>
    </row>
    <row r="24" spans="1:50" hidden="1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O24" t="e">
        <f>VLOOKUP(B:B,'[1]Revenue share'!$C$6:$J$16,8,0)</f>
        <v>#N/A</v>
      </c>
      <c r="T24" s="82" t="s">
        <v>1238</v>
      </c>
      <c r="U24" s="83">
        <f ca="1">U12*RANDBETWEEN(90,105)/100</f>
        <v>0.11431962006783232</v>
      </c>
      <c r="V24" s="83">
        <f t="shared" ca="1" si="4"/>
        <v>0.11581258393495281</v>
      </c>
      <c r="W24" s="83">
        <f t="shared" ca="1" si="5"/>
        <v>9.411640059031369E-2</v>
      </c>
      <c r="X24" s="83">
        <f t="shared" ca="1" si="6"/>
        <v>7.2250658502456266E-2</v>
      </c>
      <c r="Y24" s="83">
        <f t="shared" ca="1" si="7"/>
        <v>9.0529721125605658E-2</v>
      </c>
      <c r="Z24" s="83">
        <f t="shared" ca="1" si="7"/>
        <v>3.2145921844139794E-2</v>
      </c>
      <c r="AA24" s="83">
        <f t="shared" ca="1" si="7"/>
        <v>7.7853496559145918E-2</v>
      </c>
      <c r="AB24" s="83">
        <f t="shared" ca="1" si="7"/>
        <v>7.7285960686132721E-2</v>
      </c>
      <c r="AC24" s="83">
        <f t="shared" ca="1" si="7"/>
        <v>7.2239979272290727E-2</v>
      </c>
      <c r="AD24" s="83">
        <f t="shared" ca="1" si="7"/>
        <v>9.2486580050735678E-2</v>
      </c>
      <c r="AE24" s="83">
        <f t="shared" ca="1" si="7"/>
        <v>0.16816697034296205</v>
      </c>
      <c r="AF24" s="83">
        <f t="shared" ca="1" si="7"/>
        <v>0.12944092857553968</v>
      </c>
      <c r="AG24" s="83">
        <f t="shared" ca="1" si="7"/>
        <v>9.4107041748766079E-2</v>
      </c>
      <c r="AK24" s="82" t="s">
        <v>1248</v>
      </c>
      <c r="AL24" s="83">
        <f ca="1">AL12*RANDBETWEEN(90,105)/100</f>
        <v>0.11569234181307268</v>
      </c>
      <c r="AM24" s="83">
        <f t="shared" ref="AM24:AX24" ca="1" si="10">AM12*RANDBETWEEN(90,105)/100</f>
        <v>9.3795832498497309E-2</v>
      </c>
      <c r="AN24" s="83">
        <f t="shared" ca="1" si="10"/>
        <v>6.6206091271771933E-2</v>
      </c>
      <c r="AO24" s="83">
        <f t="shared" ca="1" si="10"/>
        <v>3.1288636967496245E-3</v>
      </c>
      <c r="AP24" s="83">
        <f t="shared" ca="1" si="10"/>
        <v>0.11422472346206095</v>
      </c>
      <c r="AQ24" s="83">
        <f t="shared" ca="1" si="10"/>
        <v>8.7254826254826293E-2</v>
      </c>
      <c r="AR24" s="83">
        <f t="shared" ca="1" si="10"/>
        <v>0.12364214711729624</v>
      </c>
      <c r="AS24" s="83">
        <f t="shared" ca="1" si="10"/>
        <v>0.50304715697296021</v>
      </c>
      <c r="AT24" s="83">
        <f t="shared" ca="1" si="10"/>
        <v>3.8284524622855766E-3</v>
      </c>
      <c r="AU24" s="83">
        <f t="shared" ca="1" si="10"/>
        <v>0.46038559376173632</v>
      </c>
      <c r="AV24" s="83">
        <f t="shared" ca="1" si="10"/>
        <v>4.2561707155879007E-3</v>
      </c>
      <c r="AW24" s="83">
        <f t="shared" ca="1" si="10"/>
        <v>9.3104451556590057E-2</v>
      </c>
      <c r="AX24" s="83">
        <f t="shared" ca="1" si="10"/>
        <v>0.17016996882228702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O25">
        <f>VLOOKUP(B:B,'[1]Revenue share'!$C$6:$J$16,8,0)</f>
        <v>168</v>
      </c>
      <c r="T25" s="82" t="s">
        <v>1239</v>
      </c>
      <c r="U25" s="83">
        <f ca="1">U13*RANDBETWEEN(90,105)/100</f>
        <v>7.0922201799959797E-2</v>
      </c>
      <c r="V25" s="83">
        <f t="shared" ca="1" si="4"/>
        <v>5.764883144594575E-2</v>
      </c>
      <c r="W25" s="83">
        <f t="shared" ca="1" si="5"/>
        <v>5.8306368123167134E-2</v>
      </c>
      <c r="X25" s="83">
        <f t="shared" ca="1" si="6"/>
        <v>5.0243777808784917E-2</v>
      </c>
      <c r="Y25" s="83">
        <f t="shared" ca="1" si="7"/>
        <v>2.9438215244854671E-2</v>
      </c>
      <c r="Z25" s="83">
        <f t="shared" ca="1" si="7"/>
        <v>8.4878600199343721E-2</v>
      </c>
      <c r="AA25" s="83">
        <f t="shared" ca="1" si="7"/>
        <v>4.1014089295346841E-2</v>
      </c>
      <c r="AB25" s="83">
        <f t="shared" ca="1" si="7"/>
        <v>0.17031156501811712</v>
      </c>
      <c r="AC25" s="83">
        <f t="shared" ca="1" si="7"/>
        <v>0.14379058466406514</v>
      </c>
      <c r="AD25" s="83">
        <f t="shared" ca="1" si="7"/>
        <v>0.16999232896260605</v>
      </c>
      <c r="AE25" s="83">
        <f t="shared" ca="1" si="7"/>
        <v>4.5075964739445057E-2</v>
      </c>
      <c r="AF25" s="83">
        <f t="shared" ca="1" si="7"/>
        <v>5.3082760006173485E-2</v>
      </c>
      <c r="AG25" s="83">
        <f t="shared" ca="1" si="7"/>
        <v>6.4597942395037813E-2</v>
      </c>
      <c r="AK25" s="82" t="s">
        <v>1249</v>
      </c>
      <c r="AL25" s="83">
        <f ca="1">AL13*RANDBETWEEN(90,105)/100</f>
        <v>0.12062933634838098</v>
      </c>
      <c r="AM25" s="83">
        <f t="shared" ref="AM25:AX25" ca="1" si="11">AM13*RANDBETWEEN(90,105)/100</f>
        <v>0.20617110799438992</v>
      </c>
      <c r="AN25" s="83">
        <f t="shared" ca="1" si="11"/>
        <v>0.23662450131361293</v>
      </c>
      <c r="AO25" s="83">
        <f t="shared" ca="1" si="11"/>
        <v>0.10853482124405872</v>
      </c>
      <c r="AP25" s="83">
        <f t="shared" ca="1" si="11"/>
        <v>0.16599262565495823</v>
      </c>
      <c r="AQ25" s="83">
        <f t="shared" ca="1" si="11"/>
        <v>0.17722007722007727</v>
      </c>
      <c r="AR25" s="83">
        <f t="shared" ca="1" si="11"/>
        <v>0.1735944333996024</v>
      </c>
      <c r="AS25" s="83">
        <f t="shared" ca="1" si="11"/>
        <v>5.0519693114805834E-3</v>
      </c>
      <c r="AT25" s="83">
        <f t="shared" ca="1" si="11"/>
        <v>3.3841239359639567E-3</v>
      </c>
      <c r="AU25" s="83">
        <f t="shared" ca="1" si="11"/>
        <v>1.1290203928340501E-3</v>
      </c>
      <c r="AV25" s="83">
        <f t="shared" ca="1" si="11"/>
        <v>2.8655830826178493E-3</v>
      </c>
      <c r="AW25" s="83">
        <f t="shared" ca="1" si="11"/>
        <v>0.2100358840073708</v>
      </c>
      <c r="AX25" s="83">
        <f t="shared" ca="1" si="11"/>
        <v>0.14904958262093934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O26">
        <f>VLOOKUP(B:B,'[1]Revenue share'!$C$6:$J$16,8,0)</f>
        <v>48</v>
      </c>
      <c r="T26" s="82" t="s">
        <v>1240</v>
      </c>
      <c r="U26" s="83">
        <f t="shared" ca="1" si="7"/>
        <v>0.14797171170470505</v>
      </c>
      <c r="V26" s="83">
        <f t="shared" ca="1" si="4"/>
        <v>0.1509899729367877</v>
      </c>
      <c r="W26" s="83">
        <f t="shared" ca="1" si="5"/>
        <v>0.20206790700548513</v>
      </c>
      <c r="X26" s="83">
        <f t="shared" ca="1" si="6"/>
        <v>0.19690677650701738</v>
      </c>
      <c r="Y26" s="83">
        <f t="shared" ca="1" si="7"/>
        <v>0.14154264411505518</v>
      </c>
      <c r="Z26" s="83">
        <f t="shared" ca="1" si="7"/>
        <v>0.20626114910760815</v>
      </c>
      <c r="AA26" s="83">
        <f t="shared" ca="1" si="7"/>
        <v>0.11455885811810461</v>
      </c>
      <c r="AB26" s="83">
        <f t="shared" ca="1" si="7"/>
        <v>0.11671962478420056</v>
      </c>
      <c r="AC26" s="83">
        <f t="shared" ca="1" si="7"/>
        <v>8.7001915359114737E-2</v>
      </c>
      <c r="AD26" s="83">
        <f t="shared" ca="1" si="7"/>
        <v>0.15611737968659106</v>
      </c>
      <c r="AE26" s="83">
        <f t="shared" ca="1" si="7"/>
        <v>9.6544419833186429E-2</v>
      </c>
      <c r="AF26" s="83">
        <f t="shared" ca="1" si="7"/>
        <v>0.22695644204413021</v>
      </c>
      <c r="AG26" s="83">
        <f t="shared" ca="1" si="7"/>
        <v>9.6971680172726837E-2</v>
      </c>
      <c r="AK26" s="82" t="s">
        <v>1250</v>
      </c>
      <c r="AL26" s="83">
        <f t="shared" ref="AL26:AX26" ca="1" si="12">AL14*RANDBETWEEN(90,105)/100</f>
        <v>0.11586055292788693</v>
      </c>
      <c r="AM26" s="83">
        <f t="shared" ca="1" si="12"/>
        <v>7.5207373271889408E-2</v>
      </c>
      <c r="AN26" s="83">
        <f t="shared" ca="1" si="12"/>
        <v>6.4968375985209686E-2</v>
      </c>
      <c r="AO26" s="83">
        <f t="shared" ca="1" si="12"/>
        <v>7.1366575148348266E-2</v>
      </c>
      <c r="AP26" s="83">
        <f t="shared" ca="1" si="12"/>
        <v>9.7942945856782482E-2</v>
      </c>
      <c r="AQ26" s="83">
        <f t="shared" ca="1" si="12"/>
        <v>9.7374517374517383E-2</v>
      </c>
      <c r="AR26" s="83">
        <f t="shared" ca="1" si="12"/>
        <v>0.10131212723658052</v>
      </c>
      <c r="AS26" s="83">
        <f t="shared" ca="1" si="12"/>
        <v>8.9876338678184702E-4</v>
      </c>
      <c r="AT26" s="83">
        <f t="shared" ca="1" si="12"/>
        <v>4.7217164909429989E-3</v>
      </c>
      <c r="AU26" s="83">
        <f t="shared" ca="1" si="12"/>
        <v>6.6299941535638077E-3</v>
      </c>
      <c r="AV26" s="83">
        <f t="shared" ca="1" si="12"/>
        <v>3.7245727778951192E-3</v>
      </c>
      <c r="AW26" s="83">
        <f t="shared" ca="1" si="12"/>
        <v>9.0902919212491523E-2</v>
      </c>
      <c r="AX26" s="83">
        <f t="shared" ca="1" si="12"/>
        <v>9.3533138891682591E-2</v>
      </c>
    </row>
    <row r="27" spans="1:50" hidden="1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O27" t="e">
        <f>VLOOKUP(B:B,'[1]Revenue share'!$C$6:$J$16,8,0)</f>
        <v>#N/A</v>
      </c>
      <c r="T27" s="82" t="s">
        <v>1241</v>
      </c>
      <c r="U27" s="83">
        <f t="shared" ca="1" si="7"/>
        <v>0.11830867591118924</v>
      </c>
      <c r="V27" s="83">
        <f t="shared" ca="1" si="4"/>
        <v>0.16322937589735978</v>
      </c>
      <c r="W27" s="83">
        <f t="shared" ca="1" si="5"/>
        <v>0.15527738190268678</v>
      </c>
      <c r="X27" s="83">
        <f t="shared" ca="1" si="6"/>
        <v>0.11706926648661155</v>
      </c>
      <c r="Y27" s="83">
        <f t="shared" ca="1" si="7"/>
        <v>0.19048147094435006</v>
      </c>
      <c r="Z27" s="83">
        <f t="shared" ca="1" si="7"/>
        <v>0.1755777901613855</v>
      </c>
      <c r="AA27" s="83">
        <f t="shared" ca="1" si="7"/>
        <v>6.7191238535600967E-2</v>
      </c>
      <c r="AB27" s="83">
        <f t="shared" ca="1" si="7"/>
        <v>0.1131059513439216</v>
      </c>
      <c r="AC27" s="83">
        <f t="shared" ca="1" si="7"/>
        <v>9.8019334135623859E-2</v>
      </c>
      <c r="AD27" s="83">
        <f t="shared" ca="1" si="7"/>
        <v>8.4148586278326706E-2</v>
      </c>
      <c r="AE27" s="83">
        <f t="shared" ca="1" si="7"/>
        <v>7.8550986316444985E-2</v>
      </c>
      <c r="AF27" s="83">
        <f t="shared" ca="1" si="7"/>
        <v>8.1449880141110501E-2</v>
      </c>
      <c r="AG27" s="83">
        <f t="shared" ca="1" si="7"/>
        <v>0.11232107314992365</v>
      </c>
      <c r="AK27" s="82" t="s">
        <v>1251</v>
      </c>
      <c r="AL27" s="83">
        <f t="shared" ref="AL27:AX27" ca="1" si="13">AL15*RANDBETWEEN(90,105)/100</f>
        <v>9.6156521809492884E-2</v>
      </c>
      <c r="AM27" s="83">
        <f t="shared" ca="1" si="13"/>
        <v>9.7510518934081358E-2</v>
      </c>
      <c r="AN27" s="83">
        <f t="shared" ca="1" si="13"/>
        <v>6.8106451299017226E-2</v>
      </c>
      <c r="AO27" s="83">
        <f t="shared" ca="1" si="13"/>
        <v>6.7513949163050244E-2</v>
      </c>
      <c r="AP27" s="83">
        <f t="shared" ca="1" si="13"/>
        <v>6.2426741703861852E-2</v>
      </c>
      <c r="AQ27" s="83">
        <f t="shared" ca="1" si="13"/>
        <v>7.7559845559845575E-2</v>
      </c>
      <c r="AR27" s="83">
        <f t="shared" ca="1" si="13"/>
        <v>6.5442345924453277E-2</v>
      </c>
      <c r="AS27" s="83">
        <f t="shared" ca="1" si="13"/>
        <v>1.1064434057156379E-3</v>
      </c>
      <c r="AT27" s="83">
        <f t="shared" ca="1" si="13"/>
        <v>0.57115524910619364</v>
      </c>
      <c r="AU27" s="83">
        <f t="shared" ca="1" si="13"/>
        <v>9.5536962253704347E-4</v>
      </c>
      <c r="AV27" s="83">
        <f t="shared" ca="1" si="13"/>
        <v>6.4726935067690755E-2</v>
      </c>
      <c r="AW27" s="83">
        <f t="shared" ca="1" si="13"/>
        <v>7.8867229172728176E-2</v>
      </c>
      <c r="AX27" s="83">
        <f t="shared" ca="1" si="13"/>
        <v>7.6737403198229914E-2</v>
      </c>
    </row>
    <row r="28" spans="1:50" hidden="1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O28" t="e">
        <f>VLOOKUP(B:B,'[1]Revenue share'!$C$6:$J$16,8,0)</f>
        <v>#N/A</v>
      </c>
      <c r="T28" s="82" t="s">
        <v>1242</v>
      </c>
      <c r="U28" s="83">
        <f t="shared" ca="1" si="7"/>
        <v>0.13404258892859333</v>
      </c>
      <c r="V28" s="83">
        <f t="shared" ca="1" si="4"/>
        <v>0.10714876264065618</v>
      </c>
      <c r="W28" s="83">
        <f t="shared" ca="1" si="5"/>
        <v>5.873161646565124E-2</v>
      </c>
      <c r="X28" s="83">
        <f t="shared" ca="1" si="6"/>
        <v>3.4201146923847695E-2</v>
      </c>
      <c r="Y28" s="83">
        <f t="shared" ca="1" si="7"/>
        <v>7.476482652067469E-2</v>
      </c>
      <c r="Z28" s="83">
        <f t="shared" ca="1" si="7"/>
        <v>0.1032026627403865</v>
      </c>
      <c r="AA28" s="83">
        <f t="shared" ca="1" si="7"/>
        <v>7.6953776102740984E-2</v>
      </c>
      <c r="AB28" s="83">
        <f t="shared" ca="1" si="7"/>
        <v>0.10572332387758338</v>
      </c>
      <c r="AC28" s="83">
        <f t="shared" ca="1" si="7"/>
        <v>7.3685958260355205E-2</v>
      </c>
      <c r="AD28" s="83">
        <f t="shared" ca="1" si="7"/>
        <v>0.1555335250369233</v>
      </c>
      <c r="AE28" s="83">
        <f t="shared" ca="1" si="7"/>
        <v>7.7457935471720835E-2</v>
      </c>
      <c r="AF28" s="83">
        <f t="shared" ca="1" si="7"/>
        <v>7.0067867186305699E-2</v>
      </c>
      <c r="AG28" s="83">
        <f t="shared" ca="1" si="7"/>
        <v>7.4122021890158582E-2</v>
      </c>
      <c r="AK28" s="82" t="s">
        <v>1252</v>
      </c>
      <c r="AL28" s="83">
        <f t="shared" ref="AL28:AX28" ca="1" si="14">AL16*RANDBETWEEN(90,105)/100</f>
        <v>7.0310317567917294E-2</v>
      </c>
      <c r="AM28" s="83">
        <f t="shared" ca="1" si="14"/>
        <v>3.9270687237026647E-2</v>
      </c>
      <c r="AN28" s="83">
        <f t="shared" ca="1" si="14"/>
        <v>1.8772015179527098E-2</v>
      </c>
      <c r="AO28" s="83">
        <f t="shared" ca="1" si="14"/>
        <v>6.0579222389513729E-2</v>
      </c>
      <c r="AP28" s="83">
        <f t="shared" ca="1" si="14"/>
        <v>4.183970502619834E-2</v>
      </c>
      <c r="AQ28" s="83">
        <f t="shared" ca="1" si="14"/>
        <v>3.9752895752895763E-2</v>
      </c>
      <c r="AR28" s="83">
        <f t="shared" ca="1" si="14"/>
        <v>3.972564612326044E-2</v>
      </c>
      <c r="AS28" s="83">
        <f t="shared" ca="1" si="14"/>
        <v>9.6493304143739004E-4</v>
      </c>
      <c r="AT28" s="83">
        <f t="shared" ca="1" si="14"/>
        <v>0.35315089961070528</v>
      </c>
      <c r="AU28" s="83">
        <f t="shared" ca="1" si="14"/>
        <v>1.0468411821416539E-3</v>
      </c>
      <c r="AV28" s="83">
        <f t="shared" ca="1" si="14"/>
        <v>4.5651702902394717E-2</v>
      </c>
      <c r="AW28" s="83">
        <f t="shared" ca="1" si="14"/>
        <v>2.783823101542043E-2</v>
      </c>
      <c r="AX28" s="83">
        <f t="shared" ca="1" si="14"/>
        <v>4.9683194206979787E-2</v>
      </c>
    </row>
    <row r="29" spans="1:50" hidden="1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O29" t="e">
        <f>VLOOKUP(B:B,'[1]Revenue share'!$C$6:$J$16,8,0)</f>
        <v>#N/A</v>
      </c>
      <c r="U29" s="26">
        <f ca="1">SUM(U21:U28)</f>
        <v>1.0190536561498003</v>
      </c>
      <c r="V29" s="26">
        <f t="shared" ref="V29:AG29" ca="1" si="15">SUM(V21:V28)</f>
        <v>0.99425535819287536</v>
      </c>
      <c r="W29" s="26">
        <f t="shared" ca="1" si="15"/>
        <v>1.0238912858920366</v>
      </c>
      <c r="X29" s="26">
        <f t="shared" ca="1" si="15"/>
        <v>1.1232472702564951</v>
      </c>
      <c r="Y29" s="26">
        <f t="shared" ca="1" si="15"/>
        <v>0.94243414982506224</v>
      </c>
      <c r="Z29" s="26">
        <f t="shared" ca="1" si="15"/>
        <v>0.97387879742520977</v>
      </c>
      <c r="AA29" s="26">
        <f t="shared" ca="1" si="15"/>
        <v>0.98994869137406727</v>
      </c>
      <c r="AB29" s="26">
        <f t="shared" ca="1" si="15"/>
        <v>0.97327802164790622</v>
      </c>
      <c r="AC29" s="26">
        <f t="shared" ca="1" si="15"/>
        <v>0.95261523061447628</v>
      </c>
      <c r="AD29" s="26">
        <f t="shared" ca="1" si="15"/>
        <v>0.98512115443096915</v>
      </c>
      <c r="AE29" s="26">
        <f t="shared" ca="1" si="15"/>
        <v>0.95641294276636823</v>
      </c>
      <c r="AF29" s="26">
        <f t="shared" ca="1" si="15"/>
        <v>0.98774927862875117</v>
      </c>
      <c r="AG29" s="26">
        <f t="shared" ca="1" si="15"/>
        <v>0.92799947347688949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  <c r="O30">
        <f>VLOOKUP(B:B,'[1]Revenue share'!$C$6:$J$16,8,0)</f>
        <v>35.1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O31">
        <f>VLOOKUP(B:B,'[1]Revenue share'!$C$6:$J$16,8,0)</f>
        <v>35.1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O32">
        <f>VLOOKUP(B:B,'[1]Revenue share'!$C$6:$J$16,8,0)</f>
        <v>30.400000000000002</v>
      </c>
      <c r="T32" s="82" t="s">
        <v>1235</v>
      </c>
      <c r="U32" s="94">
        <f ca="1">U21/U$29</f>
        <v>0.1069415879003546</v>
      </c>
      <c r="V32" s="94">
        <f t="shared" ref="V32:AG32" ca="1" si="16">V21/V$29</f>
        <v>3.2600384583243547E-2</v>
      </c>
      <c r="W32" s="94">
        <f t="shared" ca="1" si="16"/>
        <v>3.6872800648795459E-2</v>
      </c>
      <c r="X32" s="94">
        <f t="shared" ca="1" si="16"/>
        <v>7.927375438849181E-2</v>
      </c>
      <c r="Y32" s="94">
        <f t="shared" ca="1" si="16"/>
        <v>1.5406892302593378E-2</v>
      </c>
      <c r="Z32" s="94">
        <f t="shared" ca="1" si="16"/>
        <v>4.1113362404457031E-2</v>
      </c>
      <c r="AA32" s="94">
        <f t="shared" ca="1" si="16"/>
        <v>3.300594593116201E-2</v>
      </c>
      <c r="AB32" s="94">
        <f t="shared" ca="1" si="16"/>
        <v>3.3199614959849126E-2</v>
      </c>
      <c r="AC32" s="94">
        <f t="shared" ca="1" si="16"/>
        <v>0.13057444622434472</v>
      </c>
      <c r="AD32" s="94">
        <f t="shared" ca="1" si="16"/>
        <v>2.2303817931738391E-2</v>
      </c>
      <c r="AE32" s="94">
        <f t="shared" ca="1" si="16"/>
        <v>3.1184308085472182E-2</v>
      </c>
      <c r="AF32" s="94">
        <f t="shared" ca="1" si="16"/>
        <v>9.8238893350495876E-2</v>
      </c>
      <c r="AG32" s="94">
        <f t="shared" ca="1" si="16"/>
        <v>5.1598458421319507E-2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O33">
        <f>VLOOKUP(B:B,'[1]Revenue share'!$C$6:$J$16,8,0)</f>
        <v>30.400000000000002</v>
      </c>
      <c r="T33" s="82" t="s">
        <v>1236</v>
      </c>
      <c r="U33" s="94">
        <f t="shared" ref="U33:AG39" ca="1" si="17">U22/U$29</f>
        <v>0.13929491620585177</v>
      </c>
      <c r="V33" s="94">
        <f t="shared" ca="1" si="17"/>
        <v>0.19231751780736242</v>
      </c>
      <c r="W33" s="94">
        <f t="shared" ca="1" si="17"/>
        <v>0.24114273154267823</v>
      </c>
      <c r="X33" s="94">
        <f t="shared" ca="1" si="17"/>
        <v>0.29241418988554468</v>
      </c>
      <c r="Y33" s="94">
        <f t="shared" ca="1" si="17"/>
        <v>0.11026815172743951</v>
      </c>
      <c r="Z33" s="94">
        <f t="shared" ca="1" si="17"/>
        <v>0.12429951838294115</v>
      </c>
      <c r="AA33" s="94">
        <f t="shared" ca="1" si="17"/>
        <v>0.21181360816091502</v>
      </c>
      <c r="AB33" s="94">
        <f t="shared" ca="1" si="17"/>
        <v>0.16877860098376396</v>
      </c>
      <c r="AC33" s="94">
        <f t="shared" ca="1" si="17"/>
        <v>0.15696597581478786</v>
      </c>
      <c r="AD33" s="94">
        <f t="shared" ca="1" si="17"/>
        <v>5.1402438121285934E-2</v>
      </c>
      <c r="AE33" s="94">
        <f t="shared" ca="1" si="17"/>
        <v>0.15104229172788938</v>
      </c>
      <c r="AF33" s="94">
        <f t="shared" ca="1" si="17"/>
        <v>0.22364292824028631</v>
      </c>
      <c r="AG33" s="94">
        <f t="shared" ca="1" si="17"/>
        <v>0.23419879126095777</v>
      </c>
    </row>
    <row r="34" spans="1:50" hidden="1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O34" t="e">
        <f>VLOOKUP(B:B,'[1]Revenue share'!$C$6:$J$16,8,0)</f>
        <v>#N/A</v>
      </c>
      <c r="T34" s="82" t="s">
        <v>1237</v>
      </c>
      <c r="U34" s="94">
        <f t="shared" ca="1" si="17"/>
        <v>0.17914723807605795</v>
      </c>
      <c r="V34" s="94">
        <f t="shared" ca="1" si="17"/>
        <v>0.17681574485184479</v>
      </c>
      <c r="W34" s="94">
        <f t="shared" ca="1" si="17"/>
        <v>0.16675005774904941</v>
      </c>
      <c r="X34" s="94">
        <f t="shared" ca="1" si="17"/>
        <v>0.20928443937463315</v>
      </c>
      <c r="Y34" s="94">
        <f t="shared" ca="1" si="17"/>
        <v>0.31539266553002626</v>
      </c>
      <c r="Z34" s="94">
        <f t="shared" ca="1" si="17"/>
        <v>0.21637248547723698</v>
      </c>
      <c r="AA34" s="94">
        <f t="shared" ca="1" si="17"/>
        <v>0.37377536713877674</v>
      </c>
      <c r="AB34" s="94">
        <f t="shared" ca="1" si="17"/>
        <v>0.19886469559917427</v>
      </c>
      <c r="AC34" s="94">
        <f t="shared" ca="1" si="17"/>
        <v>0.21410750837950651</v>
      </c>
      <c r="AD34" s="94">
        <f t="shared" ca="1" si="17"/>
        <v>0.25807299053576616</v>
      </c>
      <c r="AE34" s="94">
        <f t="shared" ca="1" si="17"/>
        <v>0.3307491705097888</v>
      </c>
      <c r="AF34" s="94">
        <f t="shared" ca="1" si="17"/>
        <v>0.11016243286610966</v>
      </c>
      <c r="AG34" s="94">
        <f t="shared" ca="1" si="17"/>
        <v>0.23778032552889733</v>
      </c>
    </row>
    <row r="35" spans="1:50" hidden="1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O35" t="e">
        <f>VLOOKUP(B:B,'[1]Revenue share'!$C$6:$J$16,8,0)</f>
        <v>#N/A</v>
      </c>
      <c r="T35" s="82" t="s">
        <v>1238</v>
      </c>
      <c r="U35" s="94">
        <f t="shared" ca="1" si="17"/>
        <v>0.11218214014339144</v>
      </c>
      <c r="V35" s="94">
        <f t="shared" ca="1" si="17"/>
        <v>0.11648172974943762</v>
      </c>
      <c r="W35" s="94">
        <f t="shared" ca="1" si="17"/>
        <v>9.1920306273841776E-2</v>
      </c>
      <c r="X35" s="94">
        <f t="shared" ca="1" si="17"/>
        <v>6.4323021667310826E-2</v>
      </c>
      <c r="Y35" s="94">
        <f t="shared" ca="1" si="17"/>
        <v>9.605946595039036E-2</v>
      </c>
      <c r="Z35" s="94">
        <f t="shared" ca="1" si="17"/>
        <v>3.300813399894198E-2</v>
      </c>
      <c r="AA35" s="94">
        <f t="shared" ca="1" si="17"/>
        <v>7.8643971387126949E-2</v>
      </c>
      <c r="AB35" s="94">
        <f t="shared" ca="1" si="17"/>
        <v>7.9407896785006968E-2</v>
      </c>
      <c r="AC35" s="94">
        <f t="shared" ca="1" si="17"/>
        <v>7.5833323833897709E-2</v>
      </c>
      <c r="AD35" s="94">
        <f t="shared" ca="1" si="17"/>
        <v>9.3883457516612021E-2</v>
      </c>
      <c r="AE35" s="94">
        <f t="shared" ca="1" si="17"/>
        <v>0.17583092284024196</v>
      </c>
      <c r="AF35" s="94">
        <f t="shared" ca="1" si="17"/>
        <v>0.13104634078319635</v>
      </c>
      <c r="AG35" s="94">
        <f t="shared" ca="1" si="17"/>
        <v>0.10140850769686313</v>
      </c>
    </row>
    <row r="36" spans="1:50" hidden="1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O36" t="e">
        <f>VLOOKUP(B:B,'[1]Revenue share'!$C$6:$J$16,8,0)</f>
        <v>#N/A</v>
      </c>
      <c r="T36" s="82" t="s">
        <v>1239</v>
      </c>
      <c r="U36" s="94">
        <f t="shared" ca="1" si="17"/>
        <v>6.9596140862610553E-2</v>
      </c>
      <c r="V36" s="94">
        <f t="shared" ca="1" si="17"/>
        <v>5.7981916789190152E-2</v>
      </c>
      <c r="W36" s="94">
        <f t="shared" ca="1" si="17"/>
        <v>5.6945858341170802E-2</v>
      </c>
      <c r="X36" s="94">
        <f t="shared" ca="1" si="17"/>
        <v>4.4730825650982159E-2</v>
      </c>
      <c r="Y36" s="94">
        <f t="shared" ca="1" si="17"/>
        <v>3.1236363039602387E-2</v>
      </c>
      <c r="Z36" s="94">
        <f t="shared" ca="1" si="17"/>
        <v>8.7155198802715564E-2</v>
      </c>
      <c r="AA36" s="94">
        <f t="shared" ca="1" si="17"/>
        <v>4.1430520240820279E-2</v>
      </c>
      <c r="AB36" s="94">
        <f t="shared" ca="1" si="17"/>
        <v>0.17498757932471751</v>
      </c>
      <c r="AC36" s="94">
        <f t="shared" ca="1" si="17"/>
        <v>0.15094298310905049</v>
      </c>
      <c r="AD36" s="94">
        <f t="shared" ca="1" si="17"/>
        <v>0.17255981987393004</v>
      </c>
      <c r="AE36" s="94">
        <f t="shared" ca="1" si="17"/>
        <v>4.71302328982139E-2</v>
      </c>
      <c r="AF36" s="94">
        <f t="shared" ca="1" si="17"/>
        <v>5.3741127586411343E-2</v>
      </c>
      <c r="AG36" s="94">
        <f t="shared" ca="1" si="17"/>
        <v>6.9609891213636046E-2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O37">
        <f>VLOOKUP(B:B,'[1]Revenue share'!$C$6:$J$16,8,0)</f>
        <v>0</v>
      </c>
      <c r="T37" s="82" t="s">
        <v>1240</v>
      </c>
      <c r="U37" s="94">
        <f t="shared" ca="1" si="17"/>
        <v>0.14520502508550276</v>
      </c>
      <c r="V37" s="94">
        <f t="shared" ca="1" si="17"/>
        <v>0.15186236784403348</v>
      </c>
      <c r="W37" s="94">
        <f t="shared" ca="1" si="17"/>
        <v>0.19735289262613376</v>
      </c>
      <c r="X37" s="94">
        <f t="shared" ca="1" si="17"/>
        <v>0.17530136214980824</v>
      </c>
      <c r="Y37" s="94">
        <f t="shared" ca="1" si="17"/>
        <v>0.15018836503465924</v>
      </c>
      <c r="Z37" s="94">
        <f t="shared" ca="1" si="17"/>
        <v>0.21179344868471503</v>
      </c>
      <c r="AA37" s="94">
        <f t="shared" ca="1" si="17"/>
        <v>0.11572201581386483</v>
      </c>
      <c r="AB37" s="94">
        <f t="shared" ca="1" si="17"/>
        <v>0.1199242376670303</v>
      </c>
      <c r="AC37" s="94">
        <f t="shared" ca="1" si="17"/>
        <v>9.1329544776430766E-2</v>
      </c>
      <c r="AD37" s="94">
        <f t="shared" ca="1" si="17"/>
        <v>0.15847530934077689</v>
      </c>
      <c r="AE37" s="94">
        <f t="shared" ca="1" si="17"/>
        <v>0.10094428412264829</v>
      </c>
      <c r="AF37" s="94">
        <f t="shared" ca="1" si="17"/>
        <v>0.22977130629667869</v>
      </c>
      <c r="AG37" s="94">
        <f t="shared" ca="1" si="17"/>
        <v>0.10449540430169411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O38">
        <f>VLOOKUP(B:B,'[1]Revenue share'!$C$6:$J$16,8,0)</f>
        <v>85</v>
      </c>
      <c r="T38" s="82" t="s">
        <v>1241</v>
      </c>
      <c r="U38" s="94">
        <f t="shared" ca="1" si="17"/>
        <v>0.11609661100494392</v>
      </c>
      <c r="V38" s="94">
        <f t="shared" ca="1" si="17"/>
        <v>0.16417248803570939</v>
      </c>
      <c r="W38" s="94">
        <f t="shared" ca="1" si="17"/>
        <v>0.15165416879918625</v>
      </c>
      <c r="X38" s="94">
        <f t="shared" ca="1" si="17"/>
        <v>0.10422394924661479</v>
      </c>
      <c r="Y38" s="94">
        <f t="shared" ca="1" si="17"/>
        <v>0.20211647782469244</v>
      </c>
      <c r="Z38" s="94">
        <f t="shared" ca="1" si="17"/>
        <v>0.18028710618363084</v>
      </c>
      <c r="AA38" s="94">
        <f t="shared" ca="1" si="17"/>
        <v>6.7873455585196307E-2</v>
      </c>
      <c r="AB38" s="94">
        <f t="shared" ca="1" si="17"/>
        <v>0.11621134848233415</v>
      </c>
      <c r="AC38" s="94">
        <f t="shared" ca="1" si="17"/>
        <v>0.10289498948321174</v>
      </c>
      <c r="AD38" s="94">
        <f t="shared" ca="1" si="17"/>
        <v>8.5419530277910896E-2</v>
      </c>
      <c r="AE38" s="94">
        <f t="shared" ca="1" si="17"/>
        <v>8.2130827390562988E-2</v>
      </c>
      <c r="AF38" s="94">
        <f t="shared" ca="1" si="17"/>
        <v>8.2460075550937165E-2</v>
      </c>
      <c r="AG38" s="94">
        <f t="shared" ca="1" si="17"/>
        <v>0.12103570784269507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O39">
        <f>VLOOKUP(B:B,'[1]Revenue share'!$C$6:$J$16,8,0)</f>
        <v>85</v>
      </c>
      <c r="T39" s="82" t="s">
        <v>1242</v>
      </c>
      <c r="U39" s="94">
        <f t="shared" ca="1" si="17"/>
        <v>0.13153634072128695</v>
      </c>
      <c r="V39" s="94">
        <f t="shared" ca="1" si="17"/>
        <v>0.10776785033917857</v>
      </c>
      <c r="W39" s="94">
        <f t="shared" ca="1" si="17"/>
        <v>5.7361184019144147E-2</v>
      </c>
      <c r="X39" s="94">
        <f t="shared" ca="1" si="17"/>
        <v>3.0448457636614433E-2</v>
      </c>
      <c r="Y39" s="94">
        <f t="shared" ca="1" si="17"/>
        <v>7.9331618590596259E-2</v>
      </c>
      <c r="Z39" s="94">
        <f t="shared" ca="1" si="17"/>
        <v>0.10597074606536146</v>
      </c>
      <c r="AA39" s="94">
        <f t="shared" ca="1" si="17"/>
        <v>7.7735115742137817E-2</v>
      </c>
      <c r="AB39" s="94">
        <f t="shared" ca="1" si="17"/>
        <v>0.1086260261981236</v>
      </c>
      <c r="AC39" s="94">
        <f t="shared" ca="1" si="17"/>
        <v>7.7351228378770204E-2</v>
      </c>
      <c r="AD39" s="94">
        <f t="shared" ca="1" si="17"/>
        <v>0.1578826364019798</v>
      </c>
      <c r="AE39" s="94">
        <f t="shared" ca="1" si="17"/>
        <v>8.0987962425182483E-2</v>
      </c>
      <c r="AF39" s="94">
        <f t="shared" ca="1" si="17"/>
        <v>7.0936895325884555E-2</v>
      </c>
      <c r="AG39" s="94">
        <f t="shared" ca="1" si="17"/>
        <v>7.987291373393704E-2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  <c r="O40">
        <f>VLOOKUP(B:B,'[1]Revenue share'!$C$6:$J$16,8,0)</f>
        <v>85</v>
      </c>
    </row>
    <row r="41" spans="1:50" hidden="1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  <c r="O41" t="e">
        <f>VLOOKUP(B:B,'[1]Revenue share'!$C$6:$J$16,8,0)</f>
        <v>#N/A</v>
      </c>
    </row>
    <row r="42" spans="1:50" hidden="1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  <c r="O42" t="e">
        <f>VLOOKUP(B:B,'[1]Revenue share'!$C$6:$J$16,8,0)</f>
        <v>#N/A</v>
      </c>
    </row>
    <row r="43" spans="1:50" x14ac:dyDescent="0.25">
      <c r="A43" s="39" t="str">
        <f t="shared" si="0"/>
        <v>JioHotstarPAID</v>
      </c>
      <c r="B43" s="37" t="s">
        <v>1810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  <c r="O43">
        <f>VLOOKUP(B:B,'[1]Revenue share'!$C$6:$J$16,8,0)</f>
        <v>414</v>
      </c>
    </row>
    <row r="44" spans="1:50" hidden="1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  <c r="O44" t="e">
        <f>VLOOKUP(B:B,'[1]Revenue share'!$C$6:$J$16,8,0)</f>
        <v>#N/A</v>
      </c>
    </row>
    <row r="45" spans="1:50" hidden="1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O45" t="e">
        <f>VLOOKUP(B:B,'[1]Revenue share'!$C$6:$J$16,8,0)</f>
        <v>#N/A</v>
      </c>
      <c r="T45" s="82" t="s">
        <v>1238</v>
      </c>
      <c r="U45" s="83">
        <f ca="1">U33*RANDBETWEEN(90,105)/100</f>
        <v>0.12536542458526659</v>
      </c>
      <c r="V45" s="83">
        <f t="shared" ref="V45" ca="1" si="20">V33*RANDBETWEEN(80,110)/100</f>
        <v>0.20962609441002503</v>
      </c>
      <c r="W45" s="83">
        <f t="shared" ref="W45" ca="1" si="21">W33*RANDBETWEEN(95,115)/100</f>
        <v>0.27490271395865318</v>
      </c>
      <c r="X45" s="83">
        <f t="shared" ref="X45" ca="1" si="22">X33*RANDBETWEEN(98,118)/100</f>
        <v>0.32457975077295459</v>
      </c>
      <c r="Y45" s="83">
        <f t="shared" ref="Y45:AG45" ca="1" si="23">Y33*RANDBETWEEN(90,105)/100</f>
        <v>0.10254938110651875</v>
      </c>
      <c r="Z45" s="83">
        <f t="shared" ca="1" si="23"/>
        <v>0.11311256172847645</v>
      </c>
      <c r="AA45" s="83">
        <f t="shared" ca="1" si="23"/>
        <v>0.19275038342643266</v>
      </c>
      <c r="AB45" s="83">
        <f t="shared" ca="1" si="23"/>
        <v>0.16877860098376396</v>
      </c>
      <c r="AC45" s="83">
        <f t="shared" ca="1" si="23"/>
        <v>0.15853563557293573</v>
      </c>
      <c r="AD45" s="83">
        <f t="shared" ca="1" si="23"/>
        <v>5.1402438121285934E-2</v>
      </c>
      <c r="AE45" s="83">
        <f t="shared" ca="1" si="23"/>
        <v>0.13744848547237934</v>
      </c>
      <c r="AF45" s="83">
        <f t="shared" ca="1" si="23"/>
        <v>0.21246078182827197</v>
      </c>
      <c r="AG45" s="83">
        <f t="shared" ca="1" si="23"/>
        <v>0.21780487587269071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autoFilter ref="A2:O45" xr:uid="{335BD43C-7B8C-4D9E-B426-796A67F286DD}">
    <filterColumn colId="14">
      <filters>
        <filter val="0"/>
        <filter val="168"/>
        <filter val="22.1"/>
        <filter val="30.4"/>
        <filter val="35.1"/>
        <filter val="414"/>
        <filter val="48"/>
        <filter val="78"/>
        <filter val="8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1770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1764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1772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1763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1762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1765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1768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1771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1766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1773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1767</v>
      </c>
      <c r="B659" s="112">
        <v>0.7</v>
      </c>
      <c r="C659" s="112">
        <v>0.3</v>
      </c>
    </row>
    <row r="660" spans="1:5" hidden="1" x14ac:dyDescent="0.25">
      <c r="A660" s="51" t="s">
        <v>1769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1775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L22"/>
  <sheetViews>
    <sheetView workbookViewId="0"/>
  </sheetViews>
  <sheetFormatPr defaultColWidth="8.85546875" defaultRowHeight="15" x14ac:dyDescent="0.25"/>
  <sheetData>
    <row r="1" spans="1:64" ht="101.2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1794</v>
      </c>
      <c r="F1" s="24" t="s">
        <v>1224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1059</v>
      </c>
      <c r="M1" s="24" t="s">
        <v>77</v>
      </c>
      <c r="N1" s="24" t="s">
        <v>77</v>
      </c>
      <c r="O1" s="24" t="s">
        <v>29</v>
      </c>
      <c r="P1" s="24" t="s">
        <v>30</v>
      </c>
      <c r="Q1" s="24" t="s">
        <v>1058</v>
      </c>
      <c r="R1" s="24" t="s">
        <v>77</v>
      </c>
      <c r="S1" s="24" t="s">
        <v>32</v>
      </c>
      <c r="T1" s="24" t="s">
        <v>33</v>
      </c>
      <c r="U1" s="24" t="s">
        <v>1822</v>
      </c>
      <c r="V1" s="24" t="s">
        <v>1222</v>
      </c>
      <c r="W1" s="24" t="s">
        <v>1222</v>
      </c>
      <c r="X1" s="24" t="s">
        <v>1823</v>
      </c>
      <c r="Y1" s="24" t="s">
        <v>1824</v>
      </c>
      <c r="Z1" s="24" t="s">
        <v>461</v>
      </c>
      <c r="AA1" s="24" t="s">
        <v>468</v>
      </c>
      <c r="AB1" s="24" t="s">
        <v>1825</v>
      </c>
      <c r="AC1" s="24" t="s">
        <v>1826</v>
      </c>
      <c r="AD1" s="24" t="s">
        <v>1827</v>
      </c>
      <c r="AE1" s="24" t="s">
        <v>1037</v>
      </c>
      <c r="AF1" s="24" t="s">
        <v>40</v>
      </c>
      <c r="AG1" s="24" t="s">
        <v>1755</v>
      </c>
      <c r="AH1" s="24" t="s">
        <v>1823</v>
      </c>
      <c r="AI1" s="24" t="s">
        <v>1059</v>
      </c>
      <c r="AJ1" s="24" t="s">
        <v>1058</v>
      </c>
      <c r="AK1" s="24" t="s">
        <v>1828</v>
      </c>
      <c r="AL1" s="24" t="s">
        <v>1432</v>
      </c>
      <c r="AM1" s="24" t="s">
        <v>315</v>
      </c>
      <c r="AN1" s="24" t="s">
        <v>320</v>
      </c>
      <c r="AO1" s="24" t="s">
        <v>379</v>
      </c>
      <c r="AP1" s="24" t="s">
        <v>1829</v>
      </c>
      <c r="AQ1" s="24" t="s">
        <v>1757</v>
      </c>
      <c r="AR1" s="24" t="s">
        <v>1830</v>
      </c>
      <c r="AS1" s="24" t="s">
        <v>469</v>
      </c>
      <c r="AT1" s="24" t="s">
        <v>472</v>
      </c>
      <c r="AU1" s="24" t="s">
        <v>1223</v>
      </c>
      <c r="AV1" s="24" t="s">
        <v>1831</v>
      </c>
      <c r="AW1" s="24" t="s">
        <v>1039</v>
      </c>
      <c r="AX1" s="24" t="s">
        <v>1822</v>
      </c>
      <c r="AY1" s="24" t="s">
        <v>1832</v>
      </c>
      <c r="AZ1" s="24" t="s">
        <v>1833</v>
      </c>
      <c r="BA1" s="24" t="s">
        <v>1783</v>
      </c>
      <c r="BB1" s="24" t="s">
        <v>1795</v>
      </c>
      <c r="BC1" s="24" t="s">
        <v>1834</v>
      </c>
      <c r="BD1" s="24" t="s">
        <v>1835</v>
      </c>
      <c r="BE1" s="24" t="s">
        <v>1836</v>
      </c>
      <c r="BF1" s="24" t="s">
        <v>1806</v>
      </c>
      <c r="BG1" s="24" t="s">
        <v>1855</v>
      </c>
      <c r="BH1" s="24" t="s">
        <v>1856</v>
      </c>
      <c r="BI1" s="24" t="s">
        <v>1821</v>
      </c>
      <c r="BJ1" s="24" t="s">
        <v>1879</v>
      </c>
      <c r="BK1" s="24" t="s">
        <v>1857</v>
      </c>
      <c r="BL1" s="24" t="s">
        <v>1820</v>
      </c>
    </row>
    <row r="2" spans="1:64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64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64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64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64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64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64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64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64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64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64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64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64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  <c r="BF14" s="26">
        <f>AVERAGE(J14,G14,H14)</f>
        <v>0.11666666666666665</v>
      </c>
      <c r="BG14" s="26">
        <f>AVERAGE(T14,Z14,D14,C14,J14,G14,H14)</f>
        <v>0.19285714285714287</v>
      </c>
      <c r="BH14" s="26">
        <f>AVERAGE(T14,D14,C14,K14)</f>
        <v>0.24249999999999999</v>
      </c>
      <c r="BI14" s="26">
        <v>0.2</v>
      </c>
      <c r="BJ14" s="26">
        <f>AVERAGE(C14,S14,I14)</f>
        <v>0.27166666666666667</v>
      </c>
      <c r="BK14" s="26">
        <v>0.19</v>
      </c>
      <c r="BL14" s="26">
        <v>0.2</v>
      </c>
    </row>
    <row r="15" spans="1:64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64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30" t="s">
        <v>222</v>
      </c>
      <c r="N3" s="130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 t="e">
        <f>VLOOKUP($C5&amp;$E5,'Updated SES'!A:N,14,0)</f>
        <v>#N/A</v>
      </c>
      <c r="M5" s="102" t="e">
        <f>VLOOKUP($K5,'Genre Penetration'!A:B,2,0)*VLOOKUP($C5&amp;$E5,'Updated SES'!A:I,9,0)</f>
        <v>#N/A</v>
      </c>
      <c r="N5" s="102" t="e">
        <f>VLOOKUP(K:K,'Genre Penetration'!A:C,3,0)*VLOOKUP($C5&amp;$E5,'Updated SES'!A:J,10,0)</f>
        <v>#N/A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 t="e">
        <f t="shared" ref="Q5:Q68" ca="1" si="1">IFERROR(L5*(M5+N5)*O5*P5,RANDBETWEEN(1,2)%*L5*(M5+N5)*O5)</f>
        <v>#N/A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1%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1%</v>
      </c>
      <c r="Q7" s="101">
        <f t="shared" ca="1" si="1"/>
        <v>0.12743725478399998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 t="e">
        <f>VLOOKUP($C8&amp;$E8,'Updated SES'!A:N,14,0)</f>
        <v>#N/A</v>
      </c>
      <c r="M8" s="102" t="e">
        <f>VLOOKUP($K8,'Genre Penetration'!A:B,2,0)*VLOOKUP($C8&amp;$E8,'Updated SES'!A:I,9,0)</f>
        <v>#N/A</v>
      </c>
      <c r="N8" s="102" t="e">
        <f>VLOOKUP(K:K,'Genre Penetration'!A:C,3,0)*VLOOKUP($C8&amp;$E8,'Updated SES'!A:J,10,0)</f>
        <v>#N/A</v>
      </c>
      <c r="O8" s="102" t="e">
        <f>VLOOKUP($B8,'Language Penetration'!$B$1:$AY$14,MATCH('Compile data Working'!#REF!,'Language Penetration'!$B$1:$AY$1,0),0)</f>
        <v>#REF!</v>
      </c>
      <c r="P8" s="103" t="str">
        <f t="shared" ca="1" si="0"/>
        <v>2%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 t="e">
        <f>VLOOKUP($C9&amp;$E9,'Updated SES'!A:N,14,0)</f>
        <v>#N/A</v>
      </c>
      <c r="M9" s="102" t="e">
        <f>VLOOKUP($K9,'Genre Penetration'!A:B,2,0)*VLOOKUP($C9&amp;$E9,'Updated SES'!A:I,9,0)</f>
        <v>#N/A</v>
      </c>
      <c r="N9" s="102" t="e">
        <f>VLOOKUP(K:K,'Genre Penetration'!A:C,3,0)*VLOOKUP($C9&amp;$E9,'Updated SES'!A:J,10,0)</f>
        <v>#N/A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2%</v>
      </c>
      <c r="Q9" s="101" t="e">
        <f t="shared" ca="1" si="1"/>
        <v>#N/A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 t="e">
        <f>VLOOKUP($B10,'Language Penetration'!$B$1:$AY$14,MATCH('Compile data Working'!$H6,'Language Penetration'!$B$1:$AY$1,0),0)</f>
        <v>#N/A</v>
      </c>
      <c r="P10" s="103" t="str">
        <f t="shared" ca="1" si="0"/>
        <v>1%</v>
      </c>
      <c r="Q10" s="101" t="e">
        <f t="shared" ca="1" si="1"/>
        <v>#N/A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Working'!#REF!,'Language Penetration'!$B$1:$AY$1,0),0)</f>
        <v>#REF!</v>
      </c>
      <c r="P11" s="103" t="str">
        <f t="shared" ca="1" si="0"/>
        <v>2%</v>
      </c>
      <c r="Q11" s="101" t="e">
        <f t="shared" ca="1" si="1"/>
        <v>#REF!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Working'!#REF!,'Language Penetration'!$B$1:$AY$1,0),0)</f>
        <v>#REF!</v>
      </c>
      <c r="P12" s="103" t="str">
        <f t="shared" ca="1" si="0"/>
        <v>2%</v>
      </c>
      <c r="Q12" s="101" t="e">
        <f t="shared" ca="1" si="1"/>
        <v>#REF!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1%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 t="e">
        <f>VLOOKUP($B14,'Language Penetration'!$B$1:$AY$14,MATCH('Compile data Working'!#REF!,'Language Penetration'!$B$1:$AY$1,0),0)</f>
        <v>#REF!</v>
      </c>
      <c r="P14" s="103" t="str">
        <f t="shared" ca="1" si="0"/>
        <v>2%</v>
      </c>
      <c r="Q14" s="101" t="e">
        <f t="shared" ca="1" si="1"/>
        <v>#REF!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2%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Working'!$H7,'Language Penetration'!$B$1:$AY$1,0),0)</f>
        <v>0.28333333333333333</v>
      </c>
      <c r="P16" s="103" t="str">
        <f t="shared" ca="1" si="0"/>
        <v>1%</v>
      </c>
      <c r="Q16" s="101">
        <f t="shared" ca="1" si="1"/>
        <v>7.8410065599999995E-2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 t="e">
        <f>VLOOKUP($C17&amp;$E17,'Updated SES'!A:N,14,0)</f>
        <v>#N/A</v>
      </c>
      <c r="M17" s="102" t="e">
        <f>VLOOKUP($K17,'Genre Penetration'!A:B,2,0)*VLOOKUP($C17&amp;$E17,'Updated SES'!A:I,9,0)</f>
        <v>#N/A</v>
      </c>
      <c r="N17" s="102" t="e">
        <f>VLOOKUP(K:K,'Genre Penetration'!A:C,3,0)*VLOOKUP($C17&amp;$E17,'Updated SES'!A:J,10,0)</f>
        <v>#N/A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1%</v>
      </c>
      <c r="Q17" s="101" t="e">
        <f t="shared" ca="1" si="1"/>
        <v>#N/A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 t="e">
        <f>VLOOKUP($B18,'Language Penetration'!$B$1:$AY$14,MATCH('Compile data Working'!#REF!,'Language Penetration'!$B$1:$AY$1,0),0)</f>
        <v>#REF!</v>
      </c>
      <c r="P18" s="103" t="str">
        <f t="shared" ca="1" si="0"/>
        <v>1%</v>
      </c>
      <c r="Q18" s="101" t="e">
        <f t="shared" ca="1" si="1"/>
        <v>#REF!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 t="e">
        <f>VLOOKUP($B19,'Language Penetration'!$B$1:$AY$14,MATCH('Compile data Working'!#REF!,'Language Penetration'!$B$1:$AY$1,0),0)</f>
        <v>#REF!</v>
      </c>
      <c r="P19" s="103" t="str">
        <f t="shared" ca="1" si="0"/>
        <v>2%</v>
      </c>
      <c r="Q19" s="101" t="e">
        <f t="shared" ca="1" si="1"/>
        <v>#REF!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Working'!#REF!,'Language Penetration'!$B$1:$AY$1,0),0)</f>
        <v>#REF!</v>
      </c>
      <c r="P20" s="103" t="str">
        <f t="shared" ca="1" si="0"/>
        <v>1%</v>
      </c>
      <c r="Q20" s="101" t="e">
        <f t="shared" ca="1" si="1"/>
        <v>#REF!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 t="e">
        <f>VLOOKUP($B22,'Language Penetration'!$B$1:$AY$14,MATCH('Compile data Working'!#REF!,'Language Penetration'!$B$1:$AY$1,0),0)</f>
        <v>#REF!</v>
      </c>
      <c r="P22" s="103" t="str">
        <f t="shared" ca="1" si="0"/>
        <v>1%</v>
      </c>
      <c r="Q22" s="101" t="e">
        <f t="shared" ca="1" si="1"/>
        <v>#REF!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2%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 t="e">
        <f>VLOOKUP($C24&amp;$E24,'Updated SES'!A:N,14,0)</f>
        <v>#N/A</v>
      </c>
      <c r="M24" s="102" t="e">
        <f>VLOOKUP($K24,'Genre Penetration'!A:B,2,0)*VLOOKUP($C24&amp;$E24,'Updated SES'!A:I,9,0)</f>
        <v>#N/A</v>
      </c>
      <c r="N24" s="102" t="e">
        <f>VLOOKUP(K:K,'Genre Penetration'!A:C,3,0)*VLOOKUP($C24&amp;$E24,'Updated SES'!A:J,10,0)</f>
        <v>#N/A</v>
      </c>
      <c r="O24" s="102">
        <f>VLOOKUP($B24,'Language Penetration'!$B$1:$AY$14,MATCH('Compile data Working'!$H8,'Language Penetration'!$B$1:$AY$1,0),0)</f>
        <v>0.6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 t="e">
        <f>VLOOKUP($C25&amp;$E25,'Updated SES'!A:N,14,0)</f>
        <v>#N/A</v>
      </c>
      <c r="M25" s="102" t="e">
        <f>VLOOKUP($K25,'Genre Penetration'!A:B,2,0)*VLOOKUP($C25&amp;$E25,'Updated SES'!A:I,9,0)</f>
        <v>#N/A</v>
      </c>
      <c r="N25" s="102" t="e">
        <f>VLOOKUP(K:K,'Genre Penetration'!A:C,3,0)*VLOOKUP($C25&amp;$E25,'Updated SES'!A:J,10,0)</f>
        <v>#N/A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1%</v>
      </c>
      <c r="Q25" s="101" t="e">
        <f t="shared" ca="1" si="1"/>
        <v>#N/A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 t="e">
        <f>VLOOKUP($B26,'Language Penetration'!$B$1:$AY$14,MATCH('Compile data Working'!#REF!,'Language Penetration'!$B$1:$AY$1,0),0)</f>
        <v>#REF!</v>
      </c>
      <c r="P26" s="103" t="str">
        <f t="shared" ca="1" si="0"/>
        <v>1%</v>
      </c>
      <c r="Q26" s="101" t="e">
        <f t="shared" ca="1" si="1"/>
        <v>#REF!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1%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Working'!$H9,'Language Penetration'!$B$1:$AY$1,0),0)</f>
        <v>0.26250000000000001</v>
      </c>
      <c r="P28" s="103" t="str">
        <f t="shared" ca="1" si="0"/>
        <v>2%</v>
      </c>
      <c r="Q28" s="101">
        <f t="shared" ca="1" si="1"/>
        <v>9.6880928256000004E-2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 t="e">
        <f>VLOOKUP($B29,'Language Penetration'!$B$1:$AY$14,MATCH('Compile data Working'!#REF!,'Language Penetration'!$B$1:$AY$1,0),0)</f>
        <v>#REF!</v>
      </c>
      <c r="P29" s="103" t="str">
        <f t="shared" ca="1" si="0"/>
        <v>1%</v>
      </c>
      <c r="Q29" s="101" t="e">
        <f t="shared" ca="1" si="1"/>
        <v>#REF!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Working'!#REF!,'Language Penetration'!$B$1:$AY$1,0),0)</f>
        <v>#REF!</v>
      </c>
      <c r="P30" s="103" t="str">
        <f t="shared" ca="1" si="0"/>
        <v>2%</v>
      </c>
      <c r="Q30" s="101" t="e">
        <f t="shared" ca="1" si="1"/>
        <v>#REF!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1%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 t="e">
        <f>VLOOKUP($B33,'Language Penetration'!$B$1:$AY$14,MATCH('Compile data Working'!#REF!,'Language Penetration'!$B$1:$AY$1,0),0)</f>
        <v>#REF!</v>
      </c>
      <c r="P33" s="103" t="str">
        <f t="shared" ca="1" si="0"/>
        <v>1%</v>
      </c>
      <c r="Q33" s="101" t="e">
        <f t="shared" ca="1" si="1"/>
        <v>#REF!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Working'!#REF!,'Language Penetration'!$B$1:$AY$1,0),0)</f>
        <v>#REF!</v>
      </c>
      <c r="P34" s="103" t="str">
        <f t="shared" ca="1" si="0"/>
        <v>2%</v>
      </c>
      <c r="Q34" s="101" t="e">
        <f t="shared" ca="1" si="1"/>
        <v>#REF!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 t="e">
        <f>VLOOKUP($B35,'Language Penetration'!$B$1:$AY$14,MATCH('Compile data Working'!$H10,'Language Penetration'!$B$1:$AY$1,0),0)</f>
        <v>#N/A</v>
      </c>
      <c r="P35" s="103" t="str">
        <f t="shared" ca="1" si="0"/>
        <v>2%</v>
      </c>
      <c r="Q35" s="101" t="e">
        <f t="shared" ca="1" si="1"/>
        <v>#N/A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 t="e">
        <f>VLOOKUP($C36&amp;$E36,'Updated SES'!A:N,14,0)</f>
        <v>#N/A</v>
      </c>
      <c r="M36" s="102" t="e">
        <f>VLOOKUP($K36,'Genre Penetration'!A:B,2,0)*VLOOKUP($C36&amp;$E36,'Updated SES'!A:I,9,0)</f>
        <v>#N/A</v>
      </c>
      <c r="N36" s="102" t="e">
        <f>VLOOKUP(K:K,'Genre Penetration'!A:C,3,0)*VLOOKUP($C36&amp;$E36,'Updated SES'!A:J,10,0)</f>
        <v>#N/A</v>
      </c>
      <c r="O36" s="102" t="e">
        <f>VLOOKUP($B36,'Language Penetration'!$B$1:$AY$14,MATCH('Compile data Working'!#REF!,'Language Penetration'!$B$1:$AY$1,0),0)</f>
        <v>#REF!</v>
      </c>
      <c r="P36" s="103" t="str">
        <f t="shared" ca="1" si="0"/>
        <v>2%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 t="e">
        <f>VLOOKUP($C37&amp;$E37,'Updated SES'!A:N,14,0)</f>
        <v>#N/A</v>
      </c>
      <c r="M37" s="102" t="e">
        <f>VLOOKUP($K37,'Genre Penetration'!A:B,2,0)*VLOOKUP($C37&amp;$E37,'Updated SES'!A:I,9,0)</f>
        <v>#N/A</v>
      </c>
      <c r="N37" s="102" t="e">
        <f>VLOOKUP(K:K,'Genre Penetration'!A:C,3,0)*VLOOKUP($C37&amp;$E37,'Updated SES'!A:J,10,0)</f>
        <v>#N/A</v>
      </c>
      <c r="O37" s="102">
        <v>0.7</v>
      </c>
      <c r="P37" s="103" t="str">
        <f t="shared" ca="1" si="0"/>
        <v>2%</v>
      </c>
      <c r="Q37" s="101" t="e">
        <f t="shared" ca="1" si="1"/>
        <v>#N/A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Working'!#REF!,'Language Penetration'!$B$1:$AY$1,0),0)</f>
        <v>#REF!</v>
      </c>
      <c r="P38" s="103" t="str">
        <f t="shared" ca="1" si="0"/>
        <v>1%</v>
      </c>
      <c r="Q38" s="101" t="e">
        <f t="shared" ca="1" si="1"/>
        <v>#REF!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1%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2%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Working'!#REF!,'Language Penetration'!$B$1:$AY$1,0),0)</f>
        <v>#REF!</v>
      </c>
      <c r="P41" s="103" t="str">
        <f t="shared" ca="1" si="0"/>
        <v>2%</v>
      </c>
      <c r="Q41" s="101" t="e">
        <f t="shared" ca="1" si="1"/>
        <v>#REF!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2%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 t="e">
        <f>VLOOKUP($C43&amp;$E43,'Updated SES'!A:N,14,0)</f>
        <v>#N/A</v>
      </c>
      <c r="M43" s="102" t="e">
        <f>VLOOKUP($K43,'Genre Penetration'!A:B,2,0)*VLOOKUP($C43&amp;$E43,'Updated SES'!A:I,9,0)</f>
        <v>#N/A</v>
      </c>
      <c r="N43" s="102" t="e">
        <f>VLOOKUP(K:K,'Genre Penetration'!A:C,3,0)*VLOOKUP($C43&amp;$E43,'Updated SES'!A:J,10,0)</f>
        <v>#N/A</v>
      </c>
      <c r="O43" s="102" t="e">
        <f>VLOOKUP($B43,'Language Penetration'!$B$1:$AY$14,MATCH('Compile data Working'!#REF!,'Language Penetration'!$B$1:$AY$1,0),0)</f>
        <v>#REF!</v>
      </c>
      <c r="P43" s="103" t="str">
        <f t="shared" ca="1" si="0"/>
        <v>1%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 t="e">
        <f>VLOOKUP($B44,'Language Penetration'!$B$1:$AY$14,MATCH('Compile data Working'!#REF!,'Language Penetration'!$B$1:$AY$1,0),0)</f>
        <v>#REF!</v>
      </c>
      <c r="P44" s="103" t="str">
        <f t="shared" ca="1" si="0"/>
        <v>1%</v>
      </c>
      <c r="Q44" s="101" t="e">
        <f t="shared" ca="1" si="1"/>
        <v>#REF!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2%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 t="e">
        <f>VLOOKUP($C46&amp;$E46,'Updated SES'!A:N,14,0)</f>
        <v>#N/A</v>
      </c>
      <c r="M46" s="102" t="e">
        <f>VLOOKUP($K46,'Genre Penetration'!A:B,2,0)*VLOOKUP($C46&amp;$E46,'Updated SES'!A:I,9,0)</f>
        <v>#N/A</v>
      </c>
      <c r="N46" s="102" t="e">
        <f>VLOOKUP(K:K,'Genre Penetration'!A:C,3,0)*VLOOKUP($C46&amp;$E46,'Updated SES'!A:J,10,0)</f>
        <v>#N/A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1%</v>
      </c>
      <c r="Q46" s="101" t="e">
        <f t="shared" ca="1" si="1"/>
        <v>#N/A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Working'!#REF!,'Language Penetration'!$B$1:$AY$1,0),0)</f>
        <v>#REF!</v>
      </c>
      <c r="P47" s="103" t="str">
        <f t="shared" ca="1" si="0"/>
        <v>2%</v>
      </c>
      <c r="Q47" s="101" t="e">
        <f t="shared" ca="1" si="1"/>
        <v>#REF!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1%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2%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2%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39%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30%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25%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21%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16%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13%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9%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8%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5%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4%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37%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32%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26%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23%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17%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13%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10%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7%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4%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4%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Working'!$H11,'Language Penetration'!$B$1:$AY$1,0),0)</f>
        <v>0.6</v>
      </c>
      <c r="P72" s="103" t="str">
        <f t="shared" ca="1" si="2"/>
        <v>36%</v>
      </c>
      <c r="Q72" s="101">
        <f t="shared" ca="1" si="3"/>
        <v>1.0800322790400001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35%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30%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21%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17%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14%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9%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 t="e">
        <f>VLOOKUP($B79,'Language Penetration'!$B$1:$AY$14,MATCH('Compile data Working'!#REF!,'Language Penetration'!$B$1:$AY$1,0),0)</f>
        <v>#REF!</v>
      </c>
      <c r="P79" s="103" t="str">
        <f t="shared" ca="1" si="2"/>
        <v>7%</v>
      </c>
      <c r="Q79" s="101" t="e">
        <f t="shared" ca="1" si="3"/>
        <v>#REF!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4%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Working'!#REF!,'Language Penetration'!$B$1:$AY$1,0),0)</f>
        <v>#REF!</v>
      </c>
      <c r="P81" s="103" t="str">
        <f t="shared" ca="1" si="2"/>
        <v>4%</v>
      </c>
      <c r="Q81" s="101" t="e">
        <f t="shared" ca="1" si="3"/>
        <v>#REF!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40%</v>
      </c>
      <c r="Q82" s="101">
        <f t="shared" ca="1" si="3"/>
        <v>1.4832884736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32%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Working'!#REF!,'Language Penetration'!$B$1:$AY$1,0),0)</f>
        <v>#REF!</v>
      </c>
      <c r="P84" s="103" t="str">
        <f t="shared" ca="1" si="2"/>
        <v>29%</v>
      </c>
      <c r="Q84" s="101" t="e">
        <f t="shared" ca="1" si="3"/>
        <v>#REF!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21%</v>
      </c>
      <c r="Q85" s="101">
        <f t="shared" ca="1" si="3"/>
        <v>2.7191042807039998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20%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10%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10%</v>
      </c>
      <c r="Q88" s="101">
        <f t="shared" ca="1" si="3"/>
        <v>0.91829571840000002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7%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4%</v>
      </c>
      <c r="Q90" s="101">
        <f t="shared" ca="1" si="3"/>
        <v>0.51199731071999988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 t="e">
        <f>VLOOKUP($B91,'Language Penetration'!$B$1:$AY$14,MATCH('Compile data Working'!#REF!,'Language Penetration'!$B$1:$AY$1,0),0)</f>
        <v>#REF!</v>
      </c>
      <c r="P91" s="103" t="str">
        <f t="shared" ca="1" si="2"/>
        <v>2%</v>
      </c>
      <c r="Q91" s="101" t="e">
        <f t="shared" ca="1" si="3"/>
        <v>#REF!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 t="e">
        <f>VLOOKUP($B92,'Language Penetration'!$B$1:$AY$14,MATCH('Compile data Working'!#REF!,'Language Penetration'!$B$1:$AY$1,0),0)</f>
        <v>#REF!</v>
      </c>
      <c r="P92" s="103" t="str">
        <f t="shared" ca="1" si="2"/>
        <v>38%</v>
      </c>
      <c r="Q92" s="101" t="e">
        <f t="shared" ca="1" si="3"/>
        <v>#REF!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 t="e">
        <f>VLOOKUP($B93,'Language Penetration'!$B$1:$AY$14,MATCH('Compile data Working'!#REF!,'Language Penetration'!$B$1:$AY$1,0),0)</f>
        <v>#REF!</v>
      </c>
      <c r="P93" s="103" t="str">
        <f t="shared" ca="1" si="2"/>
        <v>31%</v>
      </c>
      <c r="Q93" s="101" t="e">
        <f t="shared" ca="1" si="3"/>
        <v>#REF!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>
        <f>VLOOKUP($B94,'Language Penetration'!$B$1:$AY$14,MATCH('Compile data Working'!$H12,'Language Penetration'!$B$1:$AY$1,0),0)</f>
        <v>0.6</v>
      </c>
      <c r="P94" s="103" t="str">
        <f t="shared" ca="1" si="2"/>
        <v>26%</v>
      </c>
      <c r="Q94" s="101">
        <f t="shared" ca="1" si="3"/>
        <v>0.41050882080000001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Working'!$H13,'Language Penetration'!$B$1:$AY$1,0),0)</f>
        <v>0.6</v>
      </c>
      <c r="P95" s="103" t="str">
        <f t="shared" ca="1" si="2"/>
        <v>25%</v>
      </c>
      <c r="Q95" s="101">
        <f t="shared" ca="1" si="3"/>
        <v>0.37193148000000004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16%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 t="e">
        <f>VLOOKUP($B97,'Language Penetration'!$B$1:$AY$14,MATCH('Compile data Working'!#REF!,'Language Penetration'!$B$1:$AY$1,0),0)</f>
        <v>#REF!</v>
      </c>
      <c r="P97" s="103" t="str">
        <f t="shared" ca="1" si="2"/>
        <v>14%</v>
      </c>
      <c r="Q97" s="101" t="e">
        <f t="shared" ca="1" si="3"/>
        <v>#REF!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8%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8%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Working'!#REF!,'Language Penetration'!$B$1:$AY$1,0),0)</f>
        <v>#REF!</v>
      </c>
      <c r="P100" s="103" t="str">
        <f t="shared" ca="1" si="2"/>
        <v>4%</v>
      </c>
      <c r="Q100" s="101" t="e">
        <f t="shared" ca="1" si="3"/>
        <v>#REF!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3%</v>
      </c>
      <c r="Q101" s="101">
        <f t="shared" ca="1" si="3"/>
        <v>3.4407881999999994E-2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40%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32%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30%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Working'!$H14,'Language Penetration'!$B$1:$AY$1,0),0)</f>
        <v>0.28333333333333333</v>
      </c>
      <c r="P105" s="103" t="str">
        <f t="shared" ca="1" si="2"/>
        <v>25%</v>
      </c>
      <c r="Q105" s="101">
        <f t="shared" ca="1" si="3"/>
        <v>1.2895436495999999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19%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14%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Working'!#REF!,'Language Penetration'!$B$1:$AY$1,0),0)</f>
        <v>#REF!</v>
      </c>
      <c r="P108" s="103" t="str">
        <f t="shared" ca="1" si="2"/>
        <v>8%</v>
      </c>
      <c r="Q108" s="101" t="e">
        <f t="shared" ca="1" si="3"/>
        <v>#REF!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 t="e">
        <f>VLOOKUP($B109,'Language Penetration'!$B$1:$AY$14,MATCH('Compile data Working'!#REF!,'Language Penetration'!$B$1:$AY$1,0),0)</f>
        <v>#REF!</v>
      </c>
      <c r="P109" s="103" t="str">
        <f t="shared" ca="1" si="2"/>
        <v>8%</v>
      </c>
      <c r="Q109" s="101" t="e">
        <f t="shared" ca="1" si="3"/>
        <v>#REF!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6%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Working'!#REF!,'Language Penetration'!$B$1:$AY$1,0),0)</f>
        <v>#REF!</v>
      </c>
      <c r="P111" s="103" t="str">
        <f t="shared" ca="1" si="2"/>
        <v>3%</v>
      </c>
      <c r="Q111" s="101" t="e">
        <f t="shared" ca="1" si="3"/>
        <v>#REF!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35%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33%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27%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24%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17%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13%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9%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7%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4%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3%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39%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32%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28%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24%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17%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11%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10%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6%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5%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4%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35%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31%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29%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24%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17%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15%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8%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7%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6%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3%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36%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34%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29%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25%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18%</v>
      </c>
      <c r="Q146" s="101">
        <f t="shared" ca="1" si="5"/>
        <v>3.6855360000000004E-2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11%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10%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7%</v>
      </c>
      <c r="Q149" s="101">
        <f t="shared" ca="1" si="5"/>
        <v>1.3619573333333338E-2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6%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35%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34%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29%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21%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20%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13%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8%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8%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5%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4%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39%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34%</v>
      </c>
      <c r="Q163" s="101">
        <f t="shared" ca="1" si="5"/>
        <v>0.10070493999999998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30%</v>
      </c>
      <c r="Q164" s="101">
        <f t="shared" ca="1" si="5"/>
        <v>8.8178999999999966E-2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24%</v>
      </c>
      <c r="Q165" s="101">
        <f t="shared" ca="1" si="5"/>
        <v>7.0543199999999973E-2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18%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11%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8%</v>
      </c>
      <c r="Q168" s="101">
        <f t="shared" ca="1" si="5"/>
        <v>2.3514399999999994E-2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6%</v>
      </c>
      <c r="Q169" s="101">
        <f t="shared" ca="1" si="5"/>
        <v>1.7635799999999993E-2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6%</v>
      </c>
      <c r="Q170" s="101">
        <f t="shared" ca="1" si="5"/>
        <v>1.8992399999999993E-2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2%</v>
      </c>
      <c r="Q171" s="101">
        <f t="shared" ca="1" si="5"/>
        <v>4.3604999999999998E-3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38%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35%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27%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23%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20%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15%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10%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7%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6%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3%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39%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31%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28%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25%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17%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13%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10%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8%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5%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4%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37%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34%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29%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24%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16%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11%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9%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8%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6%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4%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Working'!#REF!,'Language Penetration'!$B$1:$AY$1,0),0)</f>
        <v>#REF!</v>
      </c>
      <c r="P202" s="103" t="str">
        <f t="shared" ca="1" si="6"/>
        <v>38%</v>
      </c>
      <c r="Q202" s="101" t="e">
        <f t="shared" ca="1" si="7"/>
        <v>#REF!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32%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 t="e">
        <f>VLOOKUP($B204,'Language Penetration'!$B$1:$AY$14,MATCH('Compile data Working'!#REF!,'Language Penetration'!$B$1:$AY$1,0),0)</f>
        <v>#REF!</v>
      </c>
      <c r="P204" s="103" t="str">
        <f t="shared" ca="1" si="6"/>
        <v>29%</v>
      </c>
      <c r="Q204" s="101" t="e">
        <f t="shared" ca="1" si="7"/>
        <v>#REF!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 t="e">
        <f>VLOOKUP($B205,'Language Penetration'!$B$1:$AY$14,MATCH('Compile data Working'!#REF!,'Language Penetration'!$B$1:$AY$1,0),0)</f>
        <v>#REF!</v>
      </c>
      <c r="P205" s="103" t="str">
        <f t="shared" ca="1" si="6"/>
        <v>25%</v>
      </c>
      <c r="Q205" s="101" t="e">
        <f t="shared" ca="1" si="7"/>
        <v>#REF!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16%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>
        <f>VLOOKUP($B207,'Language Penetration'!$B$1:$AY$14,MATCH('Compile data Working'!$H15,'Language Penetration'!$B$1:$AY$1,0),0)</f>
        <v>0.4</v>
      </c>
      <c r="P207" s="103" t="str">
        <f t="shared" ca="1" si="6"/>
        <v>10%</v>
      </c>
      <c r="Q207" s="101">
        <f t="shared" ca="1" si="7"/>
        <v>0.33813939999999998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8%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7%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 t="e">
        <f>VLOOKUP($B210,'Language Penetration'!$B$1:$AY$14,MATCH('Compile data Working'!#REF!,'Language Penetration'!$B$1:$AY$1,0),0)</f>
        <v>#REF!</v>
      </c>
      <c r="P210" s="103" t="str">
        <f t="shared" ca="1" si="6"/>
        <v>6%</v>
      </c>
      <c r="Q210" s="101" t="e">
        <f t="shared" ca="1" si="7"/>
        <v>#REF!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Working'!$H16,'Language Penetration'!$B$1:$AY$1,0),0)</f>
        <v>0.26250000000000001</v>
      </c>
      <c r="P211" s="103" t="str">
        <f t="shared" ca="1" si="6"/>
        <v>4%</v>
      </c>
      <c r="Q211" s="101">
        <f t="shared" ca="1" si="7"/>
        <v>9.3022148940000007E-2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 t="e">
        <f>VLOOKUP($B212,'Language Penetration'!$B$1:$AY$14,MATCH('Compile data Working'!#REF!,'Language Penetration'!$B$1:$AY$1,0),0)</f>
        <v>#REF!</v>
      </c>
      <c r="P212" s="103" t="str">
        <f t="shared" ca="1" si="6"/>
        <v>38%</v>
      </c>
      <c r="Q212" s="101" t="e">
        <f t="shared" ca="1" si="7"/>
        <v>#REF!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Working'!#REF!,'Language Penetration'!$B$1:$AY$1,0),0)</f>
        <v>#REF!</v>
      </c>
      <c r="P213" s="103" t="str">
        <f t="shared" ca="1" si="6"/>
        <v>30%</v>
      </c>
      <c r="Q213" s="101" t="e">
        <f t="shared" ca="1" si="7"/>
        <v>#REF!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26%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Working'!$H17,'Language Penetration'!$B$1:$AY$1,0),0)</f>
        <v>0.4</v>
      </c>
      <c r="P215" s="103" t="str">
        <f t="shared" ca="1" si="6"/>
        <v>23%</v>
      </c>
      <c r="Q215" s="101">
        <f t="shared" ca="1" si="7"/>
        <v>0.80882944480000007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 t="e">
        <f>VLOOKUP($B216,'Language Penetration'!$B$1:$AY$14,MATCH('Compile data Working'!#REF!,'Language Penetration'!$B$1:$AY$1,0),0)</f>
        <v>#REF!</v>
      </c>
      <c r="P216" s="103" t="str">
        <f t="shared" ca="1" si="6"/>
        <v>17%</v>
      </c>
      <c r="Q216" s="101" t="e">
        <f t="shared" ca="1" si="7"/>
        <v>#REF!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11%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8%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8%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 t="e">
        <f>VLOOKUP($B220,'Language Penetration'!$B$1:$AY$14,MATCH('Compile data Working'!#REF!,'Language Penetration'!$B$1:$AY$1,0),0)</f>
        <v>#REF!</v>
      </c>
      <c r="P220" s="103" t="str">
        <f t="shared" ca="1" si="6"/>
        <v>6%</v>
      </c>
      <c r="Q220" s="101" t="e">
        <f t="shared" ca="1" si="7"/>
        <v>#REF!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Working'!#REF!,'Language Penetration'!$B$1:$AY$1,0),0)</f>
        <v>#REF!</v>
      </c>
      <c r="P221" s="103" t="str">
        <f t="shared" ca="1" si="6"/>
        <v>4%</v>
      </c>
      <c r="Q221" s="101" t="e">
        <f t="shared" ca="1" si="7"/>
        <v>#REF!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 t="e">
        <f>VLOOKUP($C222&amp;$E222,'Updated SES'!A:N,14,0)</f>
        <v>#N/A</v>
      </c>
      <c r="M222" s="102" t="e">
        <f>VLOOKUP($K222,'Genre Penetration'!A:B,2,0)*VLOOKUP($C222&amp;$E222,'Updated SES'!A:I,9,0)</f>
        <v>#N/A</v>
      </c>
      <c r="N222" s="102" t="e">
        <f>VLOOKUP(K:K,'Genre Penetration'!A:C,3,0)*VLOOKUP($C222&amp;$E222,'Updated SES'!A:J,10,0)</f>
        <v>#N/A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38%</v>
      </c>
      <c r="Q222" s="101" t="e">
        <f t="shared" ca="1" si="7"/>
        <v>#N/A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 t="e">
        <f>VLOOKUP($C223&amp;$E223,'Updated SES'!A:N,14,0)</f>
        <v>#N/A</v>
      </c>
      <c r="M223" s="102" t="e">
        <f>VLOOKUP($K223,'Genre Penetration'!A:B,2,0)*VLOOKUP($C223&amp;$E223,'Updated SES'!A:I,9,0)</f>
        <v>#N/A</v>
      </c>
      <c r="N223" s="102" t="e">
        <f>VLOOKUP(K:K,'Genre Penetration'!A:C,3,0)*VLOOKUP($C223&amp;$E223,'Updated SES'!A:J,10,0)</f>
        <v>#N/A</v>
      </c>
      <c r="O223" s="102">
        <f>VLOOKUP($B223,'Language Penetration'!$B$1:$AY$14,MATCH('Compile data Working'!$H18,'Language Penetration'!$B$1:$AY$1,0),0)</f>
        <v>0.6</v>
      </c>
      <c r="P223" s="103" t="str">
        <f t="shared" ca="1" si="6"/>
        <v>34%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 t="e">
        <f>VLOOKUP($C224&amp;$E224,'Updated SES'!A:N,14,0)</f>
        <v>#N/A</v>
      </c>
      <c r="M224" s="102" t="e">
        <f>VLOOKUP($K224,'Genre Penetration'!A:B,2,0)*VLOOKUP($C224&amp;$E224,'Updated SES'!A:I,9,0)</f>
        <v>#N/A</v>
      </c>
      <c r="N224" s="102" t="e">
        <f>VLOOKUP(K:K,'Genre Penetration'!A:C,3,0)*VLOOKUP($C224&amp;$E224,'Updated SES'!A:J,10,0)</f>
        <v>#N/A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25%</v>
      </c>
      <c r="Q224" s="101" t="e">
        <f t="shared" ca="1" si="7"/>
        <v>#N/A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 t="e">
        <f>VLOOKUP($C225&amp;$E225,'Updated SES'!A:N,14,0)</f>
        <v>#N/A</v>
      </c>
      <c r="M225" s="102" t="e">
        <f>VLOOKUP($K225,'Genre Penetration'!A:B,2,0)*VLOOKUP($C225&amp;$E225,'Updated SES'!A:I,9,0)</f>
        <v>#N/A</v>
      </c>
      <c r="N225" s="102" t="e">
        <f>VLOOKUP(K:K,'Genre Penetration'!A:C,3,0)*VLOOKUP($C225&amp;$E225,'Updated SES'!A:J,10,0)</f>
        <v>#N/A</v>
      </c>
      <c r="O225" s="102">
        <v>0.7</v>
      </c>
      <c r="P225" s="103" t="str">
        <f t="shared" ca="1" si="6"/>
        <v>21%</v>
      </c>
      <c r="Q225" s="101" t="e">
        <f t="shared" ca="1" si="7"/>
        <v>#N/A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 t="e">
        <f>VLOOKUP($C226&amp;$E226,'Updated SES'!A:N,14,0)</f>
        <v>#N/A</v>
      </c>
      <c r="M226" s="102" t="e">
        <f>VLOOKUP($K226,'Genre Penetration'!A:B,2,0)*VLOOKUP($C226&amp;$E226,'Updated SES'!A:I,9,0)</f>
        <v>#N/A</v>
      </c>
      <c r="N226" s="102" t="e">
        <f>VLOOKUP(K:K,'Genre Penetration'!A:C,3,0)*VLOOKUP($C226&amp;$E226,'Updated SES'!A:J,10,0)</f>
        <v>#N/A</v>
      </c>
      <c r="O226" s="102">
        <v>0.7</v>
      </c>
      <c r="P226" s="103" t="str">
        <f t="shared" ca="1" si="6"/>
        <v>20%</v>
      </c>
      <c r="Q226" s="101" t="e">
        <f t="shared" ca="1" si="7"/>
        <v>#N/A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 t="e">
        <f>VLOOKUP($C227&amp;$E227,'Updated SES'!A:N,14,0)</f>
        <v>#N/A</v>
      </c>
      <c r="M227" s="102" t="e">
        <f>VLOOKUP($K227,'Genre Penetration'!A:B,2,0)*VLOOKUP($C227&amp;$E227,'Updated SES'!A:I,9,0)</f>
        <v>#N/A</v>
      </c>
      <c r="N227" s="102" t="e">
        <f>VLOOKUP(K:K,'Genre Penetration'!A:C,3,0)*VLOOKUP($C227&amp;$E227,'Updated SES'!A:J,10,0)</f>
        <v>#N/A</v>
      </c>
      <c r="O227" s="102" t="e">
        <f>VLOOKUP($B227,'Language Penetration'!$B$1:$AY$14,MATCH('Compile data Working'!#REF!,'Language Penetration'!$B$1:$AY$1,0),0)</f>
        <v>#REF!</v>
      </c>
      <c r="P227" s="103" t="str">
        <f t="shared" ca="1" si="6"/>
        <v>13%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 t="e">
        <f>VLOOKUP($C228&amp;$E228,'Updated SES'!A:N,14,0)</f>
        <v>#N/A</v>
      </c>
      <c r="M228" s="102" t="e">
        <f>VLOOKUP($K228,'Genre Penetration'!A:B,2,0)*VLOOKUP($C228&amp;$E228,'Updated SES'!A:I,9,0)</f>
        <v>#N/A</v>
      </c>
      <c r="N228" s="102" t="e">
        <f>VLOOKUP(K:K,'Genre Penetration'!A:C,3,0)*VLOOKUP($C228&amp;$E228,'Updated SES'!A:J,10,0)</f>
        <v>#N/A</v>
      </c>
      <c r="O228" s="102" t="e">
        <f>VLOOKUP($B228,'Language Penetration'!$B$1:$AY$14,MATCH('Compile data Working'!#REF!,'Language Penetration'!$B$1:$AY$1,0),0)</f>
        <v>#REF!</v>
      </c>
      <c r="P228" s="103" t="str">
        <f t="shared" ca="1" si="6"/>
        <v>9%</v>
      </c>
      <c r="Q228" s="101" t="e">
        <f t="shared" ca="1" si="7"/>
        <v>#N/A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 t="e">
        <f>VLOOKUP($C229&amp;$E229,'Updated SES'!A:N,14,0)</f>
        <v>#N/A</v>
      </c>
      <c r="M229" s="102" t="e">
        <f>VLOOKUP($K229,'Genre Penetration'!A:B,2,0)*VLOOKUP($C229&amp;$E229,'Updated SES'!A:I,9,0)</f>
        <v>#N/A</v>
      </c>
      <c r="N229" s="102" t="e">
        <f>VLOOKUP(K:K,'Genre Penetration'!A:C,3,0)*VLOOKUP($C229&amp;$E229,'Updated SES'!A:J,10,0)</f>
        <v>#N/A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6%</v>
      </c>
      <c r="Q229" s="101" t="e">
        <f t="shared" ca="1" si="7"/>
        <v>#N/A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 t="e">
        <f>VLOOKUP($C230&amp;$E230,'Updated SES'!A:N,14,0)</f>
        <v>#N/A</v>
      </c>
      <c r="M230" s="102" t="e">
        <f>VLOOKUP($K230,'Genre Penetration'!A:B,2,0)*VLOOKUP($C230&amp;$E230,'Updated SES'!A:I,9,0)</f>
        <v>#N/A</v>
      </c>
      <c r="N230" s="102" t="e">
        <f>VLOOKUP(K:K,'Genre Penetration'!A:C,3,0)*VLOOKUP($C230&amp;$E230,'Updated SES'!A:J,10,0)</f>
        <v>#N/A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4%</v>
      </c>
      <c r="Q230" s="101" t="e">
        <f t="shared" ca="1" si="7"/>
        <v>#N/A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 t="e">
        <f>VLOOKUP($C231&amp;$E231,'Updated SES'!A:N,14,0)</f>
        <v>#N/A</v>
      </c>
      <c r="M231" s="102" t="e">
        <f>VLOOKUP($K231,'Genre Penetration'!A:B,2,0)*VLOOKUP($C231&amp;$E231,'Updated SES'!A:I,9,0)</f>
        <v>#N/A</v>
      </c>
      <c r="N231" s="102" t="e">
        <f>VLOOKUP(K:K,'Genre Penetration'!A:C,3,0)*VLOOKUP($C231&amp;$E231,'Updated SES'!A:J,10,0)</f>
        <v>#N/A</v>
      </c>
      <c r="O231" s="102" t="e">
        <f>VLOOKUP($B231,'Language Penetration'!$B$1:$AY$14,MATCH('Compile data Working'!#REF!,'Language Penetration'!$B$1:$AY$1,0),0)</f>
        <v>#REF!</v>
      </c>
      <c r="P231" s="103" t="str">
        <f t="shared" ca="1" si="6"/>
        <v>4%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39%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34%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25%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Working'!$H20,'Language Penetration'!$B$1:$AY$1,0),0)</f>
        <v>0.6</v>
      </c>
      <c r="P235" s="103" t="str">
        <f t="shared" ca="1" si="6"/>
        <v>20%</v>
      </c>
      <c r="Q235" s="101">
        <f t="shared" ca="1" si="7"/>
        <v>3.8885220000000014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16%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14%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10%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6%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Working'!$H21,'Language Penetration'!$B$1:$AY$1,0),0)</f>
        <v>0.20400000000000001</v>
      </c>
      <c r="P240" s="103" t="str">
        <f t="shared" ca="1" si="6"/>
        <v>5%</v>
      </c>
      <c r="Q240" s="101">
        <f t="shared" ca="1" si="7"/>
        <v>0.3004767000000001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2%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38%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32%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30%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23%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16%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15%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10%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7%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5%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3%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36%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34%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29%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25%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17%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13%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9%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8%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4%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2%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35%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35%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29%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25%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17%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13%</v>
      </c>
      <c r="Q267" s="101">
        <f t="shared" ca="1" si="9"/>
        <v>0.87625720000000018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8%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8%</v>
      </c>
      <c r="Q269" s="101">
        <f t="shared" ca="1" si="9"/>
        <v>0.61707968000000013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4%</v>
      </c>
      <c r="Q270" s="101">
        <f t="shared" ca="1" si="9"/>
        <v>0.33205536000000002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2%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37%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35%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25%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23%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17%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14%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10%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8%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4%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2%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37%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35%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30%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21%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15%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15%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9%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6%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5%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4%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35%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31%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 t="e">
        <f>VLOOKUP($B294,'Language Penetration'!$B$1:$AY$14,MATCH('Compile data Working'!#REF!,'Language Penetration'!$B$1:$AY$1,0),0)</f>
        <v>#REF!</v>
      </c>
      <c r="P294" s="103" t="str">
        <f t="shared" ca="1" si="8"/>
        <v>29%</v>
      </c>
      <c r="Q294" s="101" t="e">
        <f t="shared" ca="1" si="9"/>
        <v>#REF!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22%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 t="e">
        <f>VLOOKUP($B296,'Language Penetration'!$B$1:$AY$14,MATCH('Compile data Working'!$H22,'Language Penetration'!$B$1:$AY$1,0),0)</f>
        <v>#N/A</v>
      </c>
      <c r="P296" s="103" t="str">
        <f t="shared" ca="1" si="8"/>
        <v>17%</v>
      </c>
      <c r="Q296" s="101" t="e">
        <f t="shared" ca="1" si="9"/>
        <v>#N/A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14%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 t="e">
        <f>VLOOKUP($B298,'Language Penetration'!$B$1:$AY$14,MATCH('Compile data Working'!#REF!,'Language Penetration'!$B$1:$AY$1,0),0)</f>
        <v>#REF!</v>
      </c>
      <c r="P298" s="103" t="str">
        <f t="shared" ca="1" si="8"/>
        <v>9%</v>
      </c>
      <c r="Q298" s="101" t="e">
        <f t="shared" ca="1" si="9"/>
        <v>#REF!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8%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Working'!#REF!,'Language Penetration'!$B$1:$AY$1,0),0)</f>
        <v>#REF!</v>
      </c>
      <c r="P300" s="103" t="str">
        <f t="shared" ca="1" si="8"/>
        <v>5%</v>
      </c>
      <c r="Q300" s="101" t="e">
        <f t="shared" ca="1" si="9"/>
        <v>#REF!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 t="e">
        <f>VLOOKUP($B301,'Language Penetration'!$B$1:$AY$14,MATCH('Compile data Working'!#REF!,'Language Penetration'!$B$1:$AY$1,0),0)</f>
        <v>#REF!</v>
      </c>
      <c r="P301" s="103" t="str">
        <f t="shared" ca="1" si="8"/>
        <v>4%</v>
      </c>
      <c r="Q301" s="101" t="e">
        <f t="shared" ca="1" si="9"/>
        <v>#REF!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Working'!#REF!,'Language Penetration'!$B$1:$AY$1,0),0)</f>
        <v>#REF!</v>
      </c>
      <c r="P302" s="103" t="str">
        <f t="shared" ca="1" si="8"/>
        <v>37%</v>
      </c>
      <c r="Q302" s="101" t="e">
        <f t="shared" ca="1" si="9"/>
        <v>#REF!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31%</v>
      </c>
      <c r="Q303" s="101">
        <f t="shared" ca="1" si="9"/>
        <v>6.0486132806400006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27%</v>
      </c>
      <c r="Q304" s="101">
        <f t="shared" ca="1" si="9"/>
        <v>5.2408944000000011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23%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17%</v>
      </c>
      <c r="Q306" s="101">
        <f t="shared" ca="1" si="9"/>
        <v>3.3037821868800008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13%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9%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7%</v>
      </c>
      <c r="Q309" s="101">
        <f t="shared" ca="1" si="9"/>
        <v>1.3527718982400003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6%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2%</v>
      </c>
      <c r="Q311" s="101">
        <f t="shared" ca="1" si="9"/>
        <v>0.38774854271999992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38%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34%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25%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23%</v>
      </c>
      <c r="Q315" s="101">
        <f t="shared" ca="1" si="9"/>
        <v>4.4573224550399999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20%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Working'!#REF!,'Language Penetration'!$B$1:$AY$1,0),0)</f>
        <v>#REF!</v>
      </c>
      <c r="P317" s="103" t="str">
        <f t="shared" ca="1" si="8"/>
        <v>10%</v>
      </c>
      <c r="Q317" s="101" t="e">
        <f t="shared" ca="1" si="9"/>
        <v>#REF!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8%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6%</v>
      </c>
      <c r="Q319" s="101">
        <f t="shared" ca="1" si="9"/>
        <v>1.16184805632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6%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Working'!$H24,'Language Penetration'!$B$1:$AY$1,0),0)</f>
        <v>0.20400000000000001</v>
      </c>
      <c r="P321" s="103" t="str">
        <f t="shared" ca="1" si="8"/>
        <v>4%</v>
      </c>
      <c r="Q321" s="101">
        <f t="shared" ca="1" si="9"/>
        <v>0.22582098892800001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40%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34%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25%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25%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18%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11%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8%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8%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6%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2%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37%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35%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26%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24%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20%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13%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8%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7%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6%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2%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38%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35%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30%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21%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16%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11%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9%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8%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4%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4%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35%</v>
      </c>
      <c r="Q352" s="101">
        <f t="shared" ca="1" si="11"/>
        <v>2.6560499000000002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32%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Working'!$H25,'Language Penetration'!$B$1:$AY$1,0),0)</f>
        <v>0.10500000000000001</v>
      </c>
      <c r="P354" s="103" t="str">
        <f t="shared" ca="1" si="10"/>
        <v>26%</v>
      </c>
      <c r="Q354" s="101">
        <f t="shared" ca="1" si="11"/>
        <v>0.34035382290000016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22%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Working'!$H26,'Language Penetration'!$B$1:$AY$1,0),0)</f>
        <v>0.20400000000000001</v>
      </c>
      <c r="P356" s="103" t="str">
        <f t="shared" ca="1" si="10"/>
        <v>20%</v>
      </c>
      <c r="Q356" s="101">
        <f t="shared" ca="1" si="11"/>
        <v>0.49539124992000017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12%</v>
      </c>
      <c r="Q357" s="101">
        <f t="shared" ca="1" si="11"/>
        <v>0.93796505040000022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8%</v>
      </c>
      <c r="Q358" s="101">
        <f t="shared" ca="1" si="11"/>
        <v>0.65080811264000005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 t="e">
        <f>VLOOKUP($B359,'Language Penetration'!$B$1:$AY$14,MATCH('Compile data Working'!#REF!,'Language Penetration'!$B$1:$AY$1,0),0)</f>
        <v>#REF!</v>
      </c>
      <c r="P359" s="103" t="str">
        <f t="shared" ca="1" si="10"/>
        <v>6%</v>
      </c>
      <c r="Q359" s="101" t="e">
        <f t="shared" ca="1" si="11"/>
        <v>#REF!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5%</v>
      </c>
      <c r="Q360" s="101">
        <f t="shared" ca="1" si="11"/>
        <v>0.11751665680000006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Working'!#REF!,'Language Penetration'!$B$1:$AY$1,0),0)</f>
        <v>#REF!</v>
      </c>
      <c r="P361" s="103" t="str">
        <f t="shared" ca="1" si="10"/>
        <v>2%</v>
      </c>
      <c r="Q361" s="101" t="e">
        <f t="shared" ca="1" si="11"/>
        <v>#REF!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Working'!$H28,'Language Penetration'!$B$1:$AY$1,0),0)</f>
        <v>0.4</v>
      </c>
      <c r="P362" s="103" t="str">
        <f t="shared" ca="1" si="10"/>
        <v>38%</v>
      </c>
      <c r="Q362" s="101">
        <f t="shared" ca="1" si="11"/>
        <v>0.82677144160000005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>
        <f>VLOOKUP($B363,'Language Penetration'!$B$1:$AY$14,MATCH('Compile data Working'!$H29,'Language Penetration'!$B$1:$AY$1,0),0)</f>
        <v>0.20400000000000001</v>
      </c>
      <c r="P363" s="103" t="str">
        <f t="shared" ca="1" si="10"/>
        <v>33%</v>
      </c>
      <c r="Q363" s="101">
        <f t="shared" ca="1" si="11"/>
        <v>0.36913768135200004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 t="e">
        <f>VLOOKUP($B364,'Language Penetration'!$B$1:$AY$14,MATCH('Compile data Working'!#REF!,'Language Penetration'!$B$1:$AY$1,0),0)</f>
        <v>#REF!</v>
      </c>
      <c r="P364" s="103" t="str">
        <f t="shared" ca="1" si="10"/>
        <v>25%</v>
      </c>
      <c r="Q364" s="101" t="e">
        <f t="shared" ca="1" si="11"/>
        <v>#REF!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Working'!$H30,'Language Penetration'!$B$1:$AY$1,0),0)</f>
        <v>0.6</v>
      </c>
      <c r="P365" s="103" t="str">
        <f t="shared" ca="1" si="10"/>
        <v>24%</v>
      </c>
      <c r="Q365" s="101">
        <f t="shared" ca="1" si="11"/>
        <v>0.79277039999999999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>
        <f>VLOOKUP($B366,'Language Penetration'!$B$1:$AY$14,MATCH('Compile data Working'!$H31,'Language Penetration'!$B$1:$AY$1,0),0)</f>
        <v>0.4</v>
      </c>
      <c r="P366" s="103" t="str">
        <f t="shared" ca="1" si="10"/>
        <v>20%</v>
      </c>
      <c r="Q366" s="101">
        <f t="shared" ca="1" si="11"/>
        <v>0.44042800000000004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Working'!$H32,'Language Penetration'!$B$1:$AY$1,0),0)</f>
        <v>0.26250000000000001</v>
      </c>
      <c r="P367" s="103" t="str">
        <f t="shared" ca="1" si="10"/>
        <v>13%</v>
      </c>
      <c r="Q367" s="101">
        <f t="shared" ca="1" si="11"/>
        <v>0.18711858847500001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Working'!$H33,'Language Penetration'!$B$1:$AY$1,0),0)</f>
        <v>0.28333333333333333</v>
      </c>
      <c r="P368" s="103" t="str">
        <f t="shared" ca="1" si="10"/>
        <v>9%</v>
      </c>
      <c r="Q368" s="101">
        <f t="shared" ca="1" si="11"/>
        <v>0.14431724489999997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>
        <f>VLOOKUP($B369,'Language Penetration'!$B$1:$AY$14,MATCH('Compile data Working'!$H34,'Language Penetration'!$B$1:$AY$1,0),0)</f>
        <v>0.3</v>
      </c>
      <c r="P369" s="103" t="str">
        <f t="shared" ca="1" si="10"/>
        <v>6%</v>
      </c>
      <c r="Q369" s="101">
        <f t="shared" ca="1" si="11"/>
        <v>0.10385292239999999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4%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4%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36%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31%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27%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21%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19%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15%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8%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7%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6%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4%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40%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35%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 t="e">
        <f>VLOOKUP($B384,'Language Penetration'!$B$1:$AY$14,MATCH('Compile data Working'!#REF!,'Language Penetration'!$B$1:$AY$1,0),0)</f>
        <v>#REF!</v>
      </c>
      <c r="P384" s="103" t="str">
        <f t="shared" ca="1" si="10"/>
        <v>29%</v>
      </c>
      <c r="Q384" s="101" t="e">
        <f t="shared" ca="1" si="11"/>
        <v>#REF!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Working'!$H35,'Language Penetration'!$B$1:$AY$1,0),0)</f>
        <v>0.2</v>
      </c>
      <c r="P385" s="103" t="str">
        <f t="shared" ca="1" si="10"/>
        <v>25%</v>
      </c>
      <c r="Q385" s="101">
        <f t="shared" ca="1" si="11"/>
        <v>0.27196429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16%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12%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Working'!#REF!,'Language Penetration'!$B$1:$AY$1,0),0)</f>
        <v>#REF!</v>
      </c>
      <c r="P388" s="103" t="str">
        <f t="shared" ca="1" si="10"/>
        <v>9%</v>
      </c>
      <c r="Q388" s="101" t="e">
        <f t="shared" ca="1" si="11"/>
        <v>#REF!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6%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4%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2%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38%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Working'!#REF!,'Language Penetration'!$B$1:$AY$1,0),0)</f>
        <v>#REF!</v>
      </c>
      <c r="P393" s="103" t="str">
        <f t="shared" ca="1" si="12"/>
        <v>32%</v>
      </c>
      <c r="Q393" s="101" t="e">
        <f t="shared" ca="1" si="13"/>
        <v>#REF!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Working'!#REF!,'Language Penetration'!$B$1:$AY$1,0),0)</f>
        <v>#REF!</v>
      </c>
      <c r="P394" s="103" t="str">
        <f t="shared" ca="1" si="12"/>
        <v>26%</v>
      </c>
      <c r="Q394" s="101" t="e">
        <f t="shared" ca="1" si="13"/>
        <v>#REF!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Working'!#REF!,'Language Penetration'!$B$1:$AY$1,0),0)</f>
        <v>#REF!</v>
      </c>
      <c r="P395" s="103" t="str">
        <f t="shared" ca="1" si="12"/>
        <v>22%</v>
      </c>
      <c r="Q395" s="101" t="e">
        <f t="shared" ca="1" si="13"/>
        <v>#REF!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 t="e">
        <f>VLOOKUP($B396,'Language Penetration'!$B$1:$AY$14,MATCH('Compile data Working'!#REF!,'Language Penetration'!$B$1:$AY$1,0),0)</f>
        <v>#REF!</v>
      </c>
      <c r="P396" s="103" t="str">
        <f t="shared" ca="1" si="12"/>
        <v>16%</v>
      </c>
      <c r="Q396" s="101" t="e">
        <f t="shared" ca="1" si="13"/>
        <v>#REF!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15%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Working'!#REF!,'Language Penetration'!$B$1:$AY$1,0),0)</f>
        <v>#REF!</v>
      </c>
      <c r="P398" s="103" t="str">
        <f t="shared" ca="1" si="12"/>
        <v>9%</v>
      </c>
      <c r="Q398" s="101" t="e">
        <f t="shared" ca="1" si="13"/>
        <v>#REF!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 t="e">
        <f>VLOOKUP($B399,'Language Penetration'!$B$1:$AY$14,MATCH('Compile data Working'!#REF!,'Language Penetration'!$B$1:$AY$1,0),0)</f>
        <v>#REF!</v>
      </c>
      <c r="P399" s="103" t="str">
        <f t="shared" ca="1" si="12"/>
        <v>6%</v>
      </c>
      <c r="Q399" s="101" t="e">
        <f t="shared" ca="1" si="13"/>
        <v>#REF!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4%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 t="e">
        <f>VLOOKUP($B401,'Language Penetration'!$B$1:$AY$14,MATCH('Compile data Working'!#REF!,'Language Penetration'!$B$1:$AY$1,0),0)</f>
        <v>#REF!</v>
      </c>
      <c r="P401" s="103" t="str">
        <f t="shared" ca="1" si="12"/>
        <v>2%</v>
      </c>
      <c r="Q401" s="101" t="e">
        <f t="shared" ca="1" si="13"/>
        <v>#REF!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35%</v>
      </c>
      <c r="Q402" s="101">
        <f t="shared" ca="1" si="13"/>
        <v>4.9806855000000009E-3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32%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30%</v>
      </c>
      <c r="Q404" s="101">
        <f t="shared" ca="1" si="13"/>
        <v>5.5976400000000009E-3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25%</v>
      </c>
      <c r="Q405" s="101">
        <f t="shared" ca="1" si="13"/>
        <v>4.2621300000000003E-3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17%</v>
      </c>
      <c r="Q406" s="101">
        <f t="shared" ca="1" si="13"/>
        <v>2.8298115000000008E-3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14%</v>
      </c>
      <c r="Q407" s="101">
        <f t="shared" ca="1" si="13"/>
        <v>2.6310186000000008E-3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9%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6%</v>
      </c>
      <c r="Q409" s="101">
        <f t="shared" ca="1" si="13"/>
        <v>1.0953738000000002E-3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6%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36%</v>
      </c>
      <c r="Q411" s="101">
        <f t="shared" ca="1" si="13"/>
        <v>5.9683877999999998E-3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33%</v>
      </c>
      <c r="Q412" s="101">
        <f t="shared" ca="1" si="13"/>
        <v>5.8031424000000009E-3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30%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24%</v>
      </c>
      <c r="Q414" s="101">
        <f t="shared" ca="1" si="13"/>
        <v>4.0916448000000005E-3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18%</v>
      </c>
      <c r="Q415" s="101">
        <f t="shared" ca="1" si="13"/>
        <v>3.3585840000000004E-3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13%</v>
      </c>
      <c r="Q416" s="101">
        <f t="shared" ca="1" si="13"/>
        <v>2.2163076E-3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10%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8%</v>
      </c>
      <c r="Q418" s="101">
        <f t="shared" ca="1" si="13"/>
        <v>1.4282928000000003E-3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6%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2%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40%</v>
      </c>
      <c r="Q421" s="101">
        <f t="shared" ca="1" si="13"/>
        <v>8.3999999999999977E-2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34%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Working'!#REF!,'Language Penetration'!$B$1:$AY$1,0),0)</f>
        <v>#REF!</v>
      </c>
      <c r="P423" s="103" t="str">
        <f t="shared" ca="1" si="12"/>
        <v>27%</v>
      </c>
      <c r="Q423" s="101" t="e">
        <f t="shared" ca="1" si="13"/>
        <v>#REF!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20%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 t="e">
        <f>VLOOKUP($B425,'Language Penetration'!$B$1:$AY$14,MATCH('Compile data Working'!#REF!,'Language Penetration'!$B$1:$AY$1,0),0)</f>
        <v>#REF!</v>
      </c>
      <c r="P425" s="103" t="str">
        <f t="shared" ca="1" si="12"/>
        <v>15%</v>
      </c>
      <c r="Q425" s="101" t="e">
        <f t="shared" ca="1" si="13"/>
        <v>#REF!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Working'!#REF!,'Language Penetration'!$B$1:$AY$1,0),0)</f>
        <v>#REF!</v>
      </c>
      <c r="P426" s="103" t="str">
        <f t="shared" ca="1" si="12"/>
        <v>13%</v>
      </c>
      <c r="Q426" s="101" t="e">
        <f t="shared" ca="1" si="13"/>
        <v>#REF!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9%</v>
      </c>
      <c r="Q427" s="101">
        <f t="shared" ca="1" si="13"/>
        <v>1.8269999999999998E-2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7%</v>
      </c>
      <c r="Q428" s="101">
        <f t="shared" ca="1" si="13"/>
        <v>1.372E-2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5%</v>
      </c>
      <c r="Q429" s="101">
        <f t="shared" ca="1" si="13"/>
        <v>9.1350000000000008E-3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4%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37%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30%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28%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22%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16%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12%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10%</v>
      </c>
      <c r="Q437" s="101">
        <f t="shared" ca="1" si="13"/>
        <v>0.50527679999999997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7%</v>
      </c>
      <c r="Q438" s="101">
        <f t="shared" ca="1" si="13"/>
        <v>1.5621474400000002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6%</v>
      </c>
      <c r="Q439" s="101">
        <f t="shared" ca="1" si="13"/>
        <v>1.0105535999999999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3%</v>
      </c>
      <c r="Q440" s="101">
        <f t="shared" ca="1" si="13"/>
        <v>0.13534199999999999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39%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33%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27%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21%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16%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12%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9%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7%</v>
      </c>
      <c r="Q448" s="101">
        <f t="shared" ca="1" si="13"/>
        <v>1.4471969679999999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5%</v>
      </c>
      <c r="Q449" s="101">
        <f t="shared" ca="1" si="13"/>
        <v>0.80603680000000011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2%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50 Shows &amp; Movies</vt:lpstr>
      <vt:lpstr>Compile data Working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MIS-NEW</cp:lastModifiedBy>
  <cp:lastPrinted>2026-01-13T09:46:27Z</cp:lastPrinted>
  <dcterms:created xsi:type="dcterms:W3CDTF">2024-10-03T10:22:33Z</dcterms:created>
  <dcterms:modified xsi:type="dcterms:W3CDTF">2026-07-29T12:41:09Z</dcterms:modified>
</cp:coreProperties>
</file>