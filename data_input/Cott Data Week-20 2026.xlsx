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RTIK\Desktop\COTT Data 2026\"/>
    </mc:Choice>
  </mc:AlternateContent>
  <xr:revisionPtr revIDLastSave="0" documentId="13_ncr:1_{089A62B3-B510-4442-8797-3102C165320A}" xr6:coauthVersionLast="47" xr6:coauthVersionMax="47" xr10:uidLastSave="{00000000-0000-0000-0000-000000000000}"/>
  <bookViews>
    <workbookView xWindow="-120" yWindow="-120" windowWidth="20730" windowHeight="11160" tabRatio="558" xr2:uid="{2717C1BE-F3A3-485B-AE3B-58697426EF0E}"/>
  </bookViews>
  <sheets>
    <sheet name="Top 50 Shows &amp; Movies" sheetId="28" r:id="rId1"/>
    <sheet name="Compile data Working" sheetId="2" r:id="rId2"/>
    <sheet name="Sheet2" sheetId="30" state="hidden" r:id="rId3"/>
    <sheet name="ranking" sheetId="21" state="hidden" r:id="rId4"/>
    <sheet name="Updated SES" sheetId="7" state="hidden" r:id="rId5"/>
    <sheet name="Genre Penetration" sheetId="8" state="hidden" r:id="rId6"/>
    <sheet name="Language Penetration" sheetId="9" state="hidden" r:id="rId7"/>
    <sheet name="Sheet1" sheetId="29" state="hidden" r:id="rId8"/>
    <sheet name="Age Breakup" sheetId="1" state="hidden" r:id="rId9"/>
  </sheets>
  <definedNames>
    <definedName name="_xlnm._FilterDatabase" localSheetId="8" hidden="1">'Age Breakup'!$B$3:$H$63</definedName>
    <definedName name="_xlnm._FilterDatabase" localSheetId="1" hidden="1">'Compile data Working'!$A$4:$T$243</definedName>
    <definedName name="_xlnm._FilterDatabase" localSheetId="5" hidden="1">'Genre Penetration'!$A$1:$C$688</definedName>
    <definedName name="_xlnm._FilterDatabase" localSheetId="3" hidden="1">ranking!$W$2:$X$9</definedName>
    <definedName name="_xlnm._FilterDatabase" localSheetId="0" hidden="1">'Top 50 Shows &amp; Movies'!$A$6:$L$56</definedName>
    <definedName name="_xlnm._FilterDatabase" localSheetId="4" hidden="1">'Updated SES'!$A$2:$N$45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28" l="1"/>
  <c r="K9" i="28" s="1"/>
  <c r="K10" i="28" s="1"/>
  <c r="K11" i="28" s="1"/>
  <c r="K12" i="28" s="1"/>
  <c r="L199" i="2" l="1"/>
  <c r="M199" i="2"/>
  <c r="N199" i="2"/>
  <c r="O199" i="2"/>
  <c r="P199" i="2"/>
  <c r="R199" i="2"/>
  <c r="L133" i="2"/>
  <c r="M133" i="2"/>
  <c r="N133" i="2"/>
  <c r="O133" i="2"/>
  <c r="P133" i="2"/>
  <c r="R133" i="2"/>
  <c r="L134" i="2"/>
  <c r="M134" i="2"/>
  <c r="N134" i="2"/>
  <c r="O134" i="2"/>
  <c r="P134" i="2"/>
  <c r="R134" i="2"/>
  <c r="C62" i="28"/>
  <c r="D62" i="28"/>
  <c r="C63" i="28"/>
  <c r="D63" i="28"/>
  <c r="C64" i="28"/>
  <c r="D64" i="28"/>
  <c r="C65" i="28"/>
  <c r="D65" i="28"/>
  <c r="C66" i="28"/>
  <c r="D66" i="28"/>
  <c r="Q133" i="2" l="1"/>
  <c r="S133" i="2" s="1"/>
  <c r="Q134" i="2"/>
  <c r="S134" i="2" s="1"/>
  <c r="Q199" i="2"/>
  <c r="S199" i="2" s="1"/>
  <c r="O184" i="2"/>
  <c r="O146" i="2"/>
  <c r="O226" i="2"/>
  <c r="O224" i="2"/>
  <c r="O142" i="2"/>
  <c r="O122" i="2"/>
  <c r="O52" i="2"/>
  <c r="O105" i="2"/>
  <c r="O74" i="2"/>
  <c r="O88" i="2"/>
  <c r="O217" i="2"/>
  <c r="O54" i="2"/>
  <c r="O100" i="2"/>
  <c r="O17" i="2"/>
  <c r="O89" i="2"/>
  <c r="O219" i="2"/>
  <c r="O132" i="2"/>
  <c r="O171" i="2"/>
  <c r="O242" i="2"/>
  <c r="O99" i="2"/>
  <c r="O62" i="2"/>
  <c r="O76" i="2"/>
  <c r="O130" i="2"/>
  <c r="O14" i="2"/>
  <c r="O63" i="2"/>
  <c r="O22" i="2"/>
  <c r="O27" i="2"/>
  <c r="O222" i="2"/>
  <c r="O13" i="2"/>
  <c r="O83" i="2"/>
  <c r="O72" i="2"/>
  <c r="O137" i="2"/>
  <c r="O239" i="2"/>
  <c r="O223" i="2"/>
  <c r="O197" i="2"/>
  <c r="O94" i="2"/>
  <c r="O51" i="2"/>
  <c r="O129" i="2"/>
  <c r="O45" i="2"/>
  <c r="O11" i="2"/>
  <c r="O155" i="2"/>
  <c r="O57" i="2"/>
  <c r="O29" i="2"/>
  <c r="O168" i="2"/>
  <c r="O59" i="2"/>
  <c r="O198" i="2"/>
  <c r="O235" i="2"/>
  <c r="O232" i="2"/>
  <c r="O10" i="2"/>
  <c r="O6" i="2"/>
  <c r="O231" i="2"/>
  <c r="O241" i="2"/>
  <c r="O93" i="2"/>
  <c r="O111" i="2"/>
  <c r="O236" i="2"/>
  <c r="O56" i="2"/>
  <c r="O108" i="2"/>
  <c r="O21" i="2"/>
  <c r="O200" i="2"/>
  <c r="O170" i="2"/>
  <c r="O243" i="2"/>
  <c r="O158" i="2"/>
  <c r="O205" i="2"/>
  <c r="O175" i="2"/>
  <c r="O162" i="2"/>
  <c r="O80" i="2"/>
  <c r="O183" i="2"/>
  <c r="O228" i="2"/>
  <c r="O26" i="2"/>
  <c r="O16" i="2"/>
  <c r="O23" i="2"/>
  <c r="O203" i="2"/>
  <c r="O169" i="2"/>
  <c r="O127" i="2"/>
  <c r="O75" i="2"/>
  <c r="O35" i="2"/>
  <c r="O194" i="2"/>
  <c r="O24" i="2"/>
  <c r="O221" i="2"/>
  <c r="O159" i="2"/>
  <c r="O69" i="2"/>
  <c r="O161" i="2"/>
  <c r="O53" i="2"/>
  <c r="O163" i="2"/>
  <c r="O196" i="2"/>
  <c r="O126" i="2"/>
  <c r="O211" i="2"/>
  <c r="O191" i="2"/>
  <c r="O73" i="2"/>
  <c r="O67" i="2"/>
  <c r="O15" i="2"/>
  <c r="O87" i="2"/>
  <c r="O96" i="2"/>
  <c r="O43" i="2"/>
  <c r="O238" i="2"/>
  <c r="O213" i="2"/>
  <c r="O182" i="2"/>
  <c r="O66" i="2"/>
  <c r="O187" i="2"/>
  <c r="O138" i="2"/>
  <c r="O202" i="2"/>
  <c r="O151" i="2"/>
  <c r="O81" i="2"/>
  <c r="O92" i="2"/>
  <c r="O8" i="2"/>
  <c r="O58" i="2"/>
  <c r="O113" i="2"/>
  <c r="O192" i="2"/>
  <c r="O178" i="2"/>
  <c r="O82" i="2"/>
  <c r="O152" i="2"/>
  <c r="O195" i="2"/>
  <c r="O37" i="2"/>
  <c r="O60" i="2"/>
  <c r="O206" i="2"/>
  <c r="O106" i="2"/>
  <c r="O149" i="2"/>
  <c r="O131" i="2"/>
  <c r="O177" i="2"/>
  <c r="O114" i="2"/>
  <c r="O104" i="2"/>
  <c r="O7" i="2"/>
  <c r="O143" i="2"/>
  <c r="O220" i="2"/>
  <c r="O234" i="2"/>
  <c r="O214" i="2"/>
  <c r="O157" i="2"/>
  <c r="O115" i="2"/>
  <c r="O119" i="2"/>
  <c r="O233" i="2"/>
  <c r="O125" i="2"/>
  <c r="O85" i="2"/>
  <c r="O172" i="2"/>
  <c r="O174" i="2"/>
  <c r="O42" i="2"/>
  <c r="O208" i="2"/>
  <c r="O167" i="2"/>
  <c r="O70" i="2"/>
  <c r="O216" i="2"/>
  <c r="O188" i="2"/>
  <c r="O145" i="2"/>
  <c r="O68" i="2"/>
  <c r="O9" i="2"/>
  <c r="O166" i="2"/>
  <c r="O173" i="2"/>
  <c r="O185" i="2"/>
  <c r="O189" i="2"/>
  <c r="O116" i="2"/>
  <c r="O41" i="2"/>
  <c r="O124" i="2"/>
  <c r="O225" i="2"/>
  <c r="O164" i="2"/>
  <c r="O36" i="2"/>
  <c r="O154" i="2"/>
  <c r="O207" i="2"/>
  <c r="O160" i="2"/>
  <c r="O101" i="2"/>
  <c r="O47" i="2"/>
  <c r="O136" i="2"/>
  <c r="O215" i="2"/>
  <c r="O46" i="2"/>
  <c r="O139" i="2"/>
  <c r="O165" i="2"/>
  <c r="O103" i="2"/>
  <c r="O180" i="2"/>
  <c r="O186" i="2"/>
  <c r="O107" i="2"/>
  <c r="O39" i="2"/>
  <c r="O28" i="2"/>
  <c r="O147" i="2"/>
  <c r="O153" i="2"/>
  <c r="O5" i="2"/>
  <c r="O190" i="2"/>
  <c r="O227" i="2"/>
  <c r="O204" i="2"/>
  <c r="O148" i="2"/>
  <c r="O128" i="2"/>
  <c r="O135" i="2"/>
  <c r="O98" i="2"/>
  <c r="O117" i="2"/>
  <c r="O144" i="2"/>
  <c r="O218" i="2"/>
  <c r="O193" i="2"/>
  <c r="O78" i="2"/>
  <c r="O31" i="2"/>
  <c r="O30" i="2"/>
  <c r="O212" i="2"/>
  <c r="O48" i="2"/>
  <c r="O209" i="2"/>
  <c r="O65" i="2"/>
  <c r="O49" i="2"/>
  <c r="O140" i="2"/>
  <c r="O121" i="2"/>
  <c r="O44" i="2"/>
  <c r="O230" i="2"/>
  <c r="O179" i="2"/>
  <c r="O34" i="2"/>
  <c r="O156" i="2"/>
  <c r="O95" i="2"/>
  <c r="O38" i="2"/>
  <c r="O18" i="2"/>
  <c r="O210" i="2"/>
  <c r="O229" i="2"/>
  <c r="O120" i="2"/>
  <c r="O91" i="2"/>
  <c r="O112" i="2"/>
  <c r="O150" i="2"/>
  <c r="O237" i="2"/>
  <c r="O123" i="2"/>
  <c r="O141" i="2"/>
  <c r="O50" i="2"/>
  <c r="O97" i="2"/>
  <c r="O90" i="2"/>
  <c r="O79" i="2"/>
  <c r="O55" i="2"/>
  <c r="O110" i="2"/>
  <c r="O176" i="2"/>
  <c r="O102" i="2"/>
  <c r="O71" i="2"/>
  <c r="O201" i="2"/>
  <c r="O64" i="2"/>
  <c r="O109" i="2"/>
  <c r="O40" i="2"/>
  <c r="O61" i="2"/>
  <c r="O19" i="2"/>
  <c r="O25" i="2"/>
  <c r="O86" i="2"/>
  <c r="O20" i="2"/>
  <c r="O118" i="2"/>
  <c r="R68" i="2"/>
  <c r="R105" i="2"/>
  <c r="R74" i="2"/>
  <c r="R51" i="2"/>
  <c r="R50" i="2"/>
  <c r="R88" i="2"/>
  <c r="R217" i="2"/>
  <c r="R175" i="2"/>
  <c r="R80" i="2"/>
  <c r="R17" i="2"/>
  <c r="R20" i="2"/>
  <c r="R235" i="2"/>
  <c r="R132" i="2"/>
  <c r="R171" i="2"/>
  <c r="R242" i="2"/>
  <c r="R62" i="2"/>
  <c r="R76" i="2"/>
  <c r="R38" i="2"/>
  <c r="R127" i="2"/>
  <c r="R90" i="2"/>
  <c r="R34" i="2"/>
  <c r="R142" i="2"/>
  <c r="R14" i="2"/>
  <c r="R27" i="2"/>
  <c r="R72" i="2"/>
  <c r="R222" i="2"/>
  <c r="R84" i="2"/>
  <c r="R137" i="2"/>
  <c r="R146" i="2"/>
  <c r="R237" i="2"/>
  <c r="R67" i="2"/>
  <c r="R197" i="2"/>
  <c r="R233" i="2"/>
  <c r="R151" i="2"/>
  <c r="R91" i="2"/>
  <c r="R92" i="2"/>
  <c r="R110" i="2"/>
  <c r="R94" i="2"/>
  <c r="R129" i="2"/>
  <c r="R7" i="2"/>
  <c r="R11" i="2"/>
  <c r="R155" i="2"/>
  <c r="R168" i="2"/>
  <c r="R26" i="2"/>
  <c r="R16" i="2"/>
  <c r="R238" i="2"/>
  <c r="R184" i="2"/>
  <c r="R6" i="2"/>
  <c r="R231" i="2"/>
  <c r="R46" i="2"/>
  <c r="R111" i="2"/>
  <c r="R236" i="2"/>
  <c r="R83" i="2"/>
  <c r="R56" i="2"/>
  <c r="R108" i="2"/>
  <c r="R179" i="2"/>
  <c r="R21" i="2"/>
  <c r="R63" i="2"/>
  <c r="R128" i="2"/>
  <c r="R170" i="2"/>
  <c r="R232" i="2"/>
  <c r="R158" i="2"/>
  <c r="R230" i="2"/>
  <c r="R162" i="2"/>
  <c r="R10" i="2"/>
  <c r="R77" i="2"/>
  <c r="R70" i="2"/>
  <c r="R57" i="2"/>
  <c r="R99" i="2"/>
  <c r="R225" i="2"/>
  <c r="R196" i="2"/>
  <c r="R198" i="2"/>
  <c r="R203" i="2"/>
  <c r="R169" i="2"/>
  <c r="R205" i="2"/>
  <c r="R35" i="2"/>
  <c r="R229" i="2"/>
  <c r="R24" i="2"/>
  <c r="R221" i="2"/>
  <c r="R96" i="2"/>
  <c r="R204" i="2"/>
  <c r="R159" i="2"/>
  <c r="R12" i="2"/>
  <c r="R97" i="2"/>
  <c r="R161" i="2"/>
  <c r="R124" i="2"/>
  <c r="R163" i="2"/>
  <c r="R209" i="2"/>
  <c r="R126" i="2"/>
  <c r="R23" i="2"/>
  <c r="R191" i="2"/>
  <c r="R103" i="2"/>
  <c r="R15" i="2"/>
  <c r="R130" i="2"/>
  <c r="R36" i="2"/>
  <c r="R31" i="2"/>
  <c r="R193" i="2"/>
  <c r="R78" i="2"/>
  <c r="R213" i="2"/>
  <c r="R107" i="2"/>
  <c r="R66" i="2"/>
  <c r="R182" i="2"/>
  <c r="R65" i="2"/>
  <c r="R138" i="2"/>
  <c r="R202" i="2"/>
  <c r="R58" i="2"/>
  <c r="R81" i="2"/>
  <c r="R48" i="2"/>
  <c r="R113" i="2"/>
  <c r="R192" i="2"/>
  <c r="R178" i="2"/>
  <c r="R152" i="2"/>
  <c r="R195" i="2"/>
  <c r="R189" i="2"/>
  <c r="R9" i="2"/>
  <c r="R85" i="2"/>
  <c r="R106" i="2"/>
  <c r="R149" i="2"/>
  <c r="R131" i="2"/>
  <c r="R177" i="2"/>
  <c r="R104" i="2"/>
  <c r="R82" i="2"/>
  <c r="R143" i="2"/>
  <c r="R220" i="2"/>
  <c r="R28" i="2"/>
  <c r="R185" i="2"/>
  <c r="R79" i="2"/>
  <c r="R234" i="2"/>
  <c r="R214" i="2"/>
  <c r="R219" i="2"/>
  <c r="R157" i="2"/>
  <c r="R240" i="2"/>
  <c r="R39" i="2"/>
  <c r="R47" i="2"/>
  <c r="R109" i="2"/>
  <c r="R119" i="2"/>
  <c r="R45" i="2"/>
  <c r="R125" i="2"/>
  <c r="R172" i="2"/>
  <c r="R190" i="2"/>
  <c r="R208" i="2"/>
  <c r="R206" i="2"/>
  <c r="R61" i="2"/>
  <c r="R71" i="2"/>
  <c r="R167" i="2"/>
  <c r="R243" i="2"/>
  <c r="R93" i="2"/>
  <c r="R216" i="2"/>
  <c r="R188" i="2"/>
  <c r="R145" i="2"/>
  <c r="R29" i="2"/>
  <c r="R166" i="2"/>
  <c r="R86" i="2"/>
  <c r="R112" i="2"/>
  <c r="R69" i="2"/>
  <c r="R33" i="2"/>
  <c r="R228" i="2"/>
  <c r="R223" i="2"/>
  <c r="R164" i="2"/>
  <c r="R154" i="2"/>
  <c r="R207" i="2"/>
  <c r="R43" i="2"/>
  <c r="R13" i="2"/>
  <c r="R60" i="2"/>
  <c r="R53" i="2"/>
  <c r="R116" i="2"/>
  <c r="R136" i="2"/>
  <c r="R224" i="2"/>
  <c r="R25" i="2"/>
  <c r="R54" i="2"/>
  <c r="R55" i="2"/>
  <c r="R139" i="2"/>
  <c r="R165" i="2"/>
  <c r="R173" i="2"/>
  <c r="R180" i="2"/>
  <c r="R32" i="2"/>
  <c r="R8" i="2"/>
  <c r="R174" i="2"/>
  <c r="R22" i="2"/>
  <c r="R153" i="2"/>
  <c r="R5" i="2"/>
  <c r="R241" i="2"/>
  <c r="R42" i="2"/>
  <c r="R227" i="2"/>
  <c r="R123" i="2"/>
  <c r="R148" i="2"/>
  <c r="R210" i="2"/>
  <c r="R135" i="2"/>
  <c r="R115" i="2"/>
  <c r="R117" i="2"/>
  <c r="R144" i="2"/>
  <c r="R183" i="2"/>
  <c r="R218" i="2"/>
  <c r="R87" i="2"/>
  <c r="R73" i="2"/>
  <c r="R64" i="2"/>
  <c r="R30" i="2"/>
  <c r="R212" i="2"/>
  <c r="R44" i="2"/>
  <c r="R140" i="2"/>
  <c r="R101" i="2"/>
  <c r="R121" i="2"/>
  <c r="R100" i="2"/>
  <c r="R194" i="2"/>
  <c r="R200" i="2"/>
  <c r="R156" i="2"/>
  <c r="R95" i="2"/>
  <c r="R40" i="2"/>
  <c r="R114" i="2"/>
  <c r="R102" i="2"/>
  <c r="R18" i="2"/>
  <c r="R89" i="2"/>
  <c r="R215" i="2"/>
  <c r="R181" i="2"/>
  <c r="R118" i="2"/>
  <c r="R187" i="2"/>
  <c r="R120" i="2"/>
  <c r="R211" i="2"/>
  <c r="R98" i="2"/>
  <c r="R141" i="2"/>
  <c r="R75" i="2"/>
  <c r="R226" i="2"/>
  <c r="R52" i="2"/>
  <c r="R176" i="2"/>
  <c r="R41" i="2"/>
  <c r="R150" i="2"/>
  <c r="R201" i="2"/>
  <c r="R122" i="2"/>
  <c r="R37" i="2"/>
  <c r="R186" i="2"/>
  <c r="R160" i="2"/>
  <c r="R49" i="2"/>
  <c r="R59" i="2"/>
  <c r="R239" i="2"/>
  <c r="R147" i="2"/>
  <c r="R20" i="9"/>
  <c r="P152" i="2"/>
  <c r="P195" i="2"/>
  <c r="P106" i="2"/>
  <c r="P149" i="2"/>
  <c r="P131" i="2"/>
  <c r="P177" i="2"/>
  <c r="P104" i="2"/>
  <c r="P143" i="2"/>
  <c r="P220" i="2"/>
  <c r="P234" i="2"/>
  <c r="P214" i="2"/>
  <c r="P157" i="2"/>
  <c r="P119" i="2"/>
  <c r="P125" i="2"/>
  <c r="P172" i="2"/>
  <c r="P208" i="2"/>
  <c r="P167" i="2"/>
  <c r="P216" i="2"/>
  <c r="P188" i="2"/>
  <c r="P145" i="2"/>
  <c r="P166" i="2"/>
  <c r="P164" i="2"/>
  <c r="P154" i="2"/>
  <c r="P207" i="2"/>
  <c r="P136" i="2"/>
  <c r="P139" i="2"/>
  <c r="P165" i="2"/>
  <c r="P180" i="2"/>
  <c r="P153" i="2"/>
  <c r="P5" i="2"/>
  <c r="P227" i="2"/>
  <c r="P148" i="2"/>
  <c r="P135" i="2"/>
  <c r="P117" i="2"/>
  <c r="P144" i="2"/>
  <c r="P218" i="2"/>
  <c r="P30" i="2"/>
  <c r="P212" i="2"/>
  <c r="P140" i="2"/>
  <c r="P121" i="2"/>
  <c r="P156" i="2"/>
  <c r="P95" i="2"/>
  <c r="P141" i="2"/>
  <c r="P176" i="2"/>
  <c r="P201" i="2"/>
  <c r="P178" i="2"/>
  <c r="BE14" i="9"/>
  <c r="BD14" i="9"/>
  <c r="BC14" i="9"/>
  <c r="AQ14" i="9"/>
  <c r="AG14" i="9"/>
  <c r="AK14" i="9"/>
  <c r="AZ14" i="9"/>
  <c r="BB14" i="9"/>
  <c r="P8" i="2" l="1"/>
  <c r="P226" i="2" l="1"/>
  <c r="P34" i="2"/>
  <c r="P54" i="2"/>
  <c r="P204" i="2"/>
  <c r="P29" i="2"/>
  <c r="P182" i="2"/>
  <c r="P112" i="2"/>
  <c r="P14" i="2"/>
  <c r="P65" i="2"/>
  <c r="P126" i="2"/>
  <c r="P137" i="2"/>
  <c r="P23" i="2"/>
  <c r="P240" i="2"/>
  <c r="P179" i="2"/>
  <c r="P71" i="2"/>
  <c r="P196" i="2"/>
  <c r="P223" i="2"/>
  <c r="P116" i="2"/>
  <c r="P185" i="2"/>
  <c r="P80" i="2"/>
  <c r="P169" i="2"/>
  <c r="P146" i="2"/>
  <c r="P215" i="2"/>
  <c r="P111" i="2"/>
  <c r="P31" i="2"/>
  <c r="P132" i="2"/>
  <c r="P57" i="2"/>
  <c r="P79" i="2"/>
  <c r="P170" i="2"/>
  <c r="P87" i="2"/>
  <c r="P128" i="2"/>
  <c r="P32" i="2"/>
  <c r="P63" i="2"/>
  <c r="P210" i="2"/>
  <c r="P41" i="2"/>
  <c r="P108" i="2"/>
  <c r="P209" i="2"/>
  <c r="P56" i="2"/>
  <c r="P113" i="2"/>
  <c r="P138" i="2"/>
  <c r="P88" i="2"/>
  <c r="P82" i="2"/>
  <c r="P12" i="2"/>
  <c r="P72" i="2"/>
  <c r="P236" i="2"/>
  <c r="P40" i="2"/>
  <c r="P189" i="2"/>
  <c r="P43" i="2"/>
  <c r="P44" i="2"/>
  <c r="P19" i="2"/>
  <c r="R19" i="2"/>
  <c r="P27" i="2"/>
  <c r="P36" i="2"/>
  <c r="P90" i="2"/>
  <c r="P52" i="2"/>
  <c r="P232" i="2"/>
  <c r="P70" i="2"/>
  <c r="P103" i="2"/>
  <c r="P242" i="2"/>
  <c r="P237" i="2"/>
  <c r="P238" i="2"/>
  <c r="P224" i="2"/>
  <c r="P163" i="2"/>
  <c r="P110" i="2"/>
  <c r="P86" i="2"/>
  <c r="P21" i="2"/>
  <c r="P67" i="2"/>
  <c r="P97" i="2"/>
  <c r="P16" i="2"/>
  <c r="P10" i="2"/>
  <c r="P122" i="2"/>
  <c r="P217" i="2"/>
  <c r="P198" i="2"/>
  <c r="P168" i="2"/>
  <c r="P11" i="2"/>
  <c r="P45" i="2"/>
  <c r="P161" i="2"/>
  <c r="P94" i="2"/>
  <c r="P114" i="2"/>
  <c r="P127" i="2"/>
  <c r="P194" i="2"/>
  <c r="P48" i="2"/>
  <c r="P26" i="2"/>
  <c r="P84" i="2"/>
  <c r="P241" i="2"/>
  <c r="P191" i="2"/>
  <c r="P9" i="2"/>
  <c r="P239" i="2"/>
  <c r="P222" i="2"/>
  <c r="P42" i="2"/>
  <c r="P51" i="2"/>
  <c r="P53" i="2"/>
  <c r="P15" i="2"/>
  <c r="P211" i="2"/>
  <c r="P74" i="2"/>
  <c r="P75" i="2"/>
  <c r="P174" i="2"/>
  <c r="P39" i="2"/>
  <c r="P24" i="2"/>
  <c r="P13" i="2"/>
  <c r="P35" i="2"/>
  <c r="P62" i="2"/>
  <c r="P25" i="2"/>
  <c r="P205" i="2"/>
  <c r="P150" i="2"/>
  <c r="P98" i="2"/>
  <c r="P221" i="2"/>
  <c r="P64" i="2"/>
  <c r="P69" i="2"/>
  <c r="P235" i="2"/>
  <c r="P213" i="2"/>
  <c r="P192" i="2"/>
  <c r="P219" i="2"/>
  <c r="P186" i="2"/>
  <c r="P171" i="2"/>
  <c r="P55" i="2"/>
  <c r="P18" i="2"/>
  <c r="P46" i="2"/>
  <c r="P243" i="2"/>
  <c r="P81" i="2"/>
  <c r="P93" i="2"/>
  <c r="P173" i="2"/>
  <c r="P231" i="2"/>
  <c r="P6" i="2"/>
  <c r="P107" i="2"/>
  <c r="P155" i="2"/>
  <c r="P187" i="2"/>
  <c r="P83" i="2" l="1"/>
  <c r="P77" i="2"/>
  <c r="P60" i="2"/>
  <c r="P158" i="2"/>
  <c r="P202" i="2"/>
  <c r="P37" i="2"/>
  <c r="P89" i="2"/>
  <c r="P129" i="2"/>
  <c r="P68" i="2"/>
  <c r="P147" i="2"/>
  <c r="P78" i="2"/>
  <c r="P85" i="2"/>
  <c r="P7" i="2"/>
  <c r="P58" i="2"/>
  <c r="P20" i="2"/>
  <c r="P47" i="2"/>
  <c r="P203" i="2"/>
  <c r="P61" i="2"/>
  <c r="P17" i="2"/>
  <c r="P105" i="2"/>
  <c r="P230" i="2"/>
  <c r="P102" i="2"/>
  <c r="P181" i="2"/>
  <c r="P118" i="2"/>
  <c r="P76" i="2"/>
  <c r="P130" i="2"/>
  <c r="P159" i="2"/>
  <c r="P206" i="2"/>
  <c r="P200" i="2"/>
  <c r="P190" i="2"/>
  <c r="P229" i="2"/>
  <c r="P49" i="2"/>
  <c r="P123" i="2"/>
  <c r="P115" i="2"/>
  <c r="P66" i="2"/>
  <c r="P175" i="2"/>
  <c r="P38" i="2"/>
  <c r="P109" i="2"/>
  <c r="P28" i="2"/>
  <c r="P120" i="2"/>
  <c r="P197" i="2"/>
  <c r="P228" i="2"/>
  <c r="P50" i="2"/>
  <c r="P160" i="2"/>
  <c r="P162" i="2"/>
  <c r="P96" i="2" l="1"/>
  <c r="A15" i="9" l="1"/>
  <c r="H16" i="9"/>
  <c r="R450" i="29" l="1"/>
  <c r="P450" i="29"/>
  <c r="O450" i="29"/>
  <c r="R449" i="29"/>
  <c r="P449" i="29"/>
  <c r="R448" i="29"/>
  <c r="P448" i="29"/>
  <c r="R447" i="29"/>
  <c r="P447" i="29"/>
  <c r="O447" i="29"/>
  <c r="R446" i="29"/>
  <c r="P446" i="29"/>
  <c r="O446" i="29"/>
  <c r="R445" i="29"/>
  <c r="P445" i="29"/>
  <c r="O445" i="29"/>
  <c r="R444" i="29"/>
  <c r="P444" i="29"/>
  <c r="O444" i="29"/>
  <c r="R443" i="29"/>
  <c r="P443" i="29"/>
  <c r="O443" i="29"/>
  <c r="R442" i="29"/>
  <c r="P442" i="29"/>
  <c r="O442" i="29"/>
  <c r="R441" i="29"/>
  <c r="P441" i="29"/>
  <c r="O441" i="29"/>
  <c r="R440" i="29"/>
  <c r="P440" i="29"/>
  <c r="R439" i="29"/>
  <c r="P439" i="29"/>
  <c r="R438" i="29"/>
  <c r="P438" i="29"/>
  <c r="R437" i="29"/>
  <c r="P437" i="29"/>
  <c r="R436" i="29"/>
  <c r="P436" i="29"/>
  <c r="O436" i="29"/>
  <c r="R435" i="29"/>
  <c r="P435" i="29"/>
  <c r="O435" i="29"/>
  <c r="R434" i="29"/>
  <c r="P434" i="29"/>
  <c r="O434" i="29"/>
  <c r="R433" i="29"/>
  <c r="P433" i="29"/>
  <c r="O433" i="29"/>
  <c r="R432" i="29"/>
  <c r="P432" i="29"/>
  <c r="O432" i="29"/>
  <c r="R431" i="29"/>
  <c r="P431" i="29"/>
  <c r="O431" i="29"/>
  <c r="R430" i="29"/>
  <c r="P430" i="29"/>
  <c r="O430" i="29"/>
  <c r="R429" i="29"/>
  <c r="P429" i="29"/>
  <c r="R428" i="29"/>
  <c r="P428" i="29"/>
  <c r="R427" i="29"/>
  <c r="P427" i="29"/>
  <c r="R426" i="29"/>
  <c r="P426" i="29"/>
  <c r="R425" i="29"/>
  <c r="P425" i="29"/>
  <c r="O425" i="29"/>
  <c r="R424" i="29"/>
  <c r="P424" i="29"/>
  <c r="O424" i="29"/>
  <c r="R423" i="29"/>
  <c r="P423" i="29"/>
  <c r="O423" i="29"/>
  <c r="R422" i="29"/>
  <c r="P422" i="29"/>
  <c r="O422" i="29"/>
  <c r="R421" i="29"/>
  <c r="P421" i="29"/>
  <c r="R420" i="29"/>
  <c r="P420" i="29"/>
  <c r="O420" i="29"/>
  <c r="R419" i="29"/>
  <c r="P419" i="29"/>
  <c r="O419" i="29"/>
  <c r="R418" i="29"/>
  <c r="P418" i="29"/>
  <c r="R417" i="29"/>
  <c r="P417" i="29"/>
  <c r="O417" i="29"/>
  <c r="R416" i="29"/>
  <c r="P416" i="29"/>
  <c r="R415" i="29"/>
  <c r="P415" i="29"/>
  <c r="R414" i="29"/>
  <c r="P414" i="29"/>
  <c r="R413" i="29"/>
  <c r="P413" i="29"/>
  <c r="R412" i="29"/>
  <c r="P412" i="29"/>
  <c r="R411" i="29"/>
  <c r="P411" i="29"/>
  <c r="R410" i="29"/>
  <c r="P410" i="29"/>
  <c r="O410" i="29"/>
  <c r="R409" i="29"/>
  <c r="P409" i="29"/>
  <c r="R408" i="29"/>
  <c r="P408" i="29"/>
  <c r="O408" i="29"/>
  <c r="R407" i="29"/>
  <c r="P407" i="29"/>
  <c r="R406" i="29"/>
  <c r="P406" i="29"/>
  <c r="R405" i="29"/>
  <c r="P405" i="29"/>
  <c r="R404" i="29"/>
  <c r="P404" i="29"/>
  <c r="R403" i="29"/>
  <c r="P403" i="29"/>
  <c r="O403" i="29"/>
  <c r="R402" i="29"/>
  <c r="P402" i="29"/>
  <c r="R401" i="29"/>
  <c r="P401" i="29"/>
  <c r="O401" i="29"/>
  <c r="R400" i="29"/>
  <c r="P400" i="29"/>
  <c r="O400" i="29"/>
  <c r="R399" i="29"/>
  <c r="P399" i="29"/>
  <c r="O399" i="29"/>
  <c r="R398" i="29"/>
  <c r="P398" i="29"/>
  <c r="O398" i="29"/>
  <c r="R397" i="29"/>
  <c r="P397" i="29"/>
  <c r="O397" i="29"/>
  <c r="R396" i="29"/>
  <c r="P396" i="29"/>
  <c r="O396" i="29"/>
  <c r="R395" i="29"/>
  <c r="P395" i="29"/>
  <c r="R394" i="29"/>
  <c r="P394" i="29"/>
  <c r="O394" i="29"/>
  <c r="R393" i="29"/>
  <c r="P393" i="29"/>
  <c r="O393" i="29"/>
  <c r="R392" i="29"/>
  <c r="P392" i="29"/>
  <c r="O392" i="29"/>
  <c r="R391" i="29"/>
  <c r="P391" i="29"/>
  <c r="O391" i="29"/>
  <c r="R390" i="29"/>
  <c r="P390" i="29"/>
  <c r="O390" i="29"/>
  <c r="R389" i="29"/>
  <c r="P389" i="29"/>
  <c r="O389" i="29"/>
  <c r="R388" i="29"/>
  <c r="P388" i="29"/>
  <c r="R387" i="29"/>
  <c r="P387" i="29"/>
  <c r="O387" i="29"/>
  <c r="R386" i="29"/>
  <c r="P386" i="29"/>
  <c r="O386" i="29"/>
  <c r="R385" i="29"/>
  <c r="P385" i="29"/>
  <c r="O385" i="29"/>
  <c r="R384" i="29"/>
  <c r="P384" i="29"/>
  <c r="O384" i="29"/>
  <c r="R383" i="29"/>
  <c r="P383" i="29"/>
  <c r="O383" i="29"/>
  <c r="R382" i="29"/>
  <c r="P382" i="29"/>
  <c r="O382" i="29"/>
  <c r="R381" i="29"/>
  <c r="P381" i="29"/>
  <c r="O381" i="29"/>
  <c r="R380" i="29"/>
  <c r="P380" i="29"/>
  <c r="O380" i="29"/>
  <c r="R379" i="29"/>
  <c r="P379" i="29"/>
  <c r="O379" i="29"/>
  <c r="R378" i="29"/>
  <c r="P378" i="29"/>
  <c r="O378" i="29"/>
  <c r="R377" i="29"/>
  <c r="P377" i="29"/>
  <c r="O377" i="29"/>
  <c r="R376" i="29"/>
  <c r="P376" i="29"/>
  <c r="O376" i="29"/>
  <c r="R375" i="29"/>
  <c r="P375" i="29"/>
  <c r="O375" i="29"/>
  <c r="R374" i="29"/>
  <c r="P374" i="29"/>
  <c r="O374" i="29"/>
  <c r="R373" i="29"/>
  <c r="P373" i="29"/>
  <c r="O373" i="29"/>
  <c r="R372" i="29"/>
  <c r="P372" i="29"/>
  <c r="O372" i="29"/>
  <c r="R371" i="29"/>
  <c r="P371" i="29"/>
  <c r="O371" i="29"/>
  <c r="R370" i="29"/>
  <c r="P370" i="29"/>
  <c r="O370" i="29"/>
  <c r="R369" i="29"/>
  <c r="P369" i="29"/>
  <c r="O369" i="29"/>
  <c r="R368" i="29"/>
  <c r="P368" i="29"/>
  <c r="O368" i="29"/>
  <c r="R367" i="29"/>
  <c r="P367" i="29"/>
  <c r="O367" i="29"/>
  <c r="R366" i="29"/>
  <c r="P366" i="29"/>
  <c r="O366" i="29"/>
  <c r="R365" i="29"/>
  <c r="P365" i="29"/>
  <c r="O365" i="29"/>
  <c r="R364" i="29"/>
  <c r="P364" i="29"/>
  <c r="O364" i="29"/>
  <c r="R363" i="29"/>
  <c r="P363" i="29"/>
  <c r="O363" i="29"/>
  <c r="R362" i="29"/>
  <c r="P362" i="29"/>
  <c r="O362" i="29"/>
  <c r="R361" i="29"/>
  <c r="P361" i="29"/>
  <c r="O361" i="29"/>
  <c r="R360" i="29"/>
  <c r="P360" i="29"/>
  <c r="R359" i="29"/>
  <c r="P359" i="29"/>
  <c r="O359" i="29"/>
  <c r="R358" i="29"/>
  <c r="P358" i="29"/>
  <c r="R357" i="29"/>
  <c r="P357" i="29"/>
  <c r="R356" i="29"/>
  <c r="P356" i="29"/>
  <c r="O356" i="29"/>
  <c r="R355" i="29"/>
  <c r="P355" i="29"/>
  <c r="O355" i="29"/>
  <c r="R354" i="29"/>
  <c r="P354" i="29"/>
  <c r="O354" i="29"/>
  <c r="R353" i="29"/>
  <c r="P353" i="29"/>
  <c r="O353" i="29"/>
  <c r="R352" i="29"/>
  <c r="P352" i="29"/>
  <c r="R351" i="29"/>
  <c r="P351" i="29"/>
  <c r="O351" i="29"/>
  <c r="R350" i="29"/>
  <c r="P350" i="29"/>
  <c r="O350" i="29"/>
  <c r="R349" i="29"/>
  <c r="P349" i="29"/>
  <c r="O349" i="29"/>
  <c r="R348" i="29"/>
  <c r="P348" i="29"/>
  <c r="O348" i="29"/>
  <c r="R347" i="29"/>
  <c r="P347" i="29"/>
  <c r="O347" i="29"/>
  <c r="R346" i="29"/>
  <c r="P346" i="29"/>
  <c r="O346" i="29"/>
  <c r="R345" i="29"/>
  <c r="P345" i="29"/>
  <c r="O345" i="29"/>
  <c r="R344" i="29"/>
  <c r="P344" i="29"/>
  <c r="O344" i="29"/>
  <c r="R343" i="29"/>
  <c r="P343" i="29"/>
  <c r="O343" i="29"/>
  <c r="R342" i="29"/>
  <c r="P342" i="29"/>
  <c r="O342" i="29"/>
  <c r="R341" i="29"/>
  <c r="P341" i="29"/>
  <c r="O341" i="29"/>
  <c r="R340" i="29"/>
  <c r="P340" i="29"/>
  <c r="O340" i="29"/>
  <c r="R339" i="29"/>
  <c r="P339" i="29"/>
  <c r="O339" i="29"/>
  <c r="R338" i="29"/>
  <c r="P338" i="29"/>
  <c r="O338" i="29"/>
  <c r="R337" i="29"/>
  <c r="P337" i="29"/>
  <c r="O337" i="29"/>
  <c r="R336" i="29"/>
  <c r="P336" i="29"/>
  <c r="O336" i="29"/>
  <c r="R335" i="29"/>
  <c r="P335" i="29"/>
  <c r="O335" i="29"/>
  <c r="R334" i="29"/>
  <c r="P334" i="29"/>
  <c r="O334" i="29"/>
  <c r="R333" i="29"/>
  <c r="P333" i="29"/>
  <c r="O333" i="29"/>
  <c r="R332" i="29"/>
  <c r="P332" i="29"/>
  <c r="O332" i="29"/>
  <c r="R331" i="29"/>
  <c r="P331" i="29"/>
  <c r="O331" i="29"/>
  <c r="R330" i="29"/>
  <c r="P330" i="29"/>
  <c r="O330" i="29"/>
  <c r="R329" i="29"/>
  <c r="P329" i="29"/>
  <c r="O329" i="29"/>
  <c r="R328" i="29"/>
  <c r="P328" i="29"/>
  <c r="O328" i="29"/>
  <c r="R327" i="29"/>
  <c r="P327" i="29"/>
  <c r="O327" i="29"/>
  <c r="R326" i="29"/>
  <c r="P326" i="29"/>
  <c r="O326" i="29"/>
  <c r="R325" i="29"/>
  <c r="P325" i="29"/>
  <c r="O325" i="29"/>
  <c r="R324" i="29"/>
  <c r="P324" i="29"/>
  <c r="O324" i="29"/>
  <c r="R323" i="29"/>
  <c r="P323" i="29"/>
  <c r="O323" i="29"/>
  <c r="R322" i="29"/>
  <c r="P322" i="29"/>
  <c r="O322" i="29"/>
  <c r="R321" i="29"/>
  <c r="P321" i="29"/>
  <c r="O321" i="29"/>
  <c r="R320" i="29"/>
  <c r="P320" i="29"/>
  <c r="O320" i="29"/>
  <c r="R319" i="29"/>
  <c r="P319" i="29"/>
  <c r="R318" i="29"/>
  <c r="P318" i="29"/>
  <c r="O318" i="29"/>
  <c r="R317" i="29"/>
  <c r="P317" i="29"/>
  <c r="R316" i="29"/>
  <c r="P316" i="29"/>
  <c r="O316" i="29"/>
  <c r="R315" i="29"/>
  <c r="P315" i="29"/>
  <c r="R314" i="29"/>
  <c r="P314" i="29"/>
  <c r="O314" i="29"/>
  <c r="R313" i="29"/>
  <c r="P313" i="29"/>
  <c r="O313" i="29"/>
  <c r="R312" i="29"/>
  <c r="P312" i="29"/>
  <c r="O312" i="29"/>
  <c r="R311" i="29"/>
  <c r="P311" i="29"/>
  <c r="R310" i="29"/>
  <c r="P310" i="29"/>
  <c r="O310" i="29"/>
  <c r="R309" i="29"/>
  <c r="P309" i="29"/>
  <c r="R308" i="29"/>
  <c r="P308" i="29"/>
  <c r="O308" i="29"/>
  <c r="R307" i="29"/>
  <c r="P307" i="29"/>
  <c r="O307" i="29"/>
  <c r="R306" i="29"/>
  <c r="P306" i="29"/>
  <c r="R305" i="29"/>
  <c r="P305" i="29"/>
  <c r="O305" i="29"/>
  <c r="R304" i="29"/>
  <c r="P304" i="29"/>
  <c r="R303" i="29"/>
  <c r="P303" i="29"/>
  <c r="R302" i="29"/>
  <c r="P302" i="29"/>
  <c r="O302" i="29"/>
  <c r="R301" i="29"/>
  <c r="P301" i="29"/>
  <c r="O301" i="29"/>
  <c r="R300" i="29"/>
  <c r="P300" i="29"/>
  <c r="R299" i="29"/>
  <c r="P299" i="29"/>
  <c r="O299" i="29"/>
  <c r="R298" i="29"/>
  <c r="P298" i="29"/>
  <c r="O298" i="29"/>
  <c r="R297" i="29"/>
  <c r="P297" i="29"/>
  <c r="O297" i="29"/>
  <c r="R296" i="29"/>
  <c r="P296" i="29"/>
  <c r="O296" i="29"/>
  <c r="R295" i="29"/>
  <c r="P295" i="29"/>
  <c r="O295" i="29"/>
  <c r="R294" i="29"/>
  <c r="P294" i="29"/>
  <c r="O294" i="29"/>
  <c r="R293" i="29"/>
  <c r="P293" i="29"/>
  <c r="O293" i="29"/>
  <c r="R292" i="29"/>
  <c r="P292" i="29"/>
  <c r="O292" i="29"/>
  <c r="R291" i="29"/>
  <c r="P291" i="29"/>
  <c r="O291" i="29"/>
  <c r="R290" i="29"/>
  <c r="P290" i="29"/>
  <c r="O290" i="29"/>
  <c r="R289" i="29"/>
  <c r="P289" i="29"/>
  <c r="O289" i="29"/>
  <c r="R288" i="29"/>
  <c r="P288" i="29"/>
  <c r="O288" i="29"/>
  <c r="R287" i="29"/>
  <c r="P287" i="29"/>
  <c r="O287" i="29"/>
  <c r="R286" i="29"/>
  <c r="P286" i="29"/>
  <c r="O286" i="29"/>
  <c r="R285" i="29"/>
  <c r="P285" i="29"/>
  <c r="O285" i="29"/>
  <c r="R284" i="29"/>
  <c r="P284" i="29"/>
  <c r="O284" i="29"/>
  <c r="R283" i="29"/>
  <c r="P283" i="29"/>
  <c r="O283" i="29"/>
  <c r="R282" i="29"/>
  <c r="P282" i="29"/>
  <c r="O282" i="29"/>
  <c r="R281" i="29"/>
  <c r="P281" i="29"/>
  <c r="O281" i="29"/>
  <c r="R280" i="29"/>
  <c r="P280" i="29"/>
  <c r="O280" i="29"/>
  <c r="R279" i="29"/>
  <c r="P279" i="29"/>
  <c r="O279" i="29"/>
  <c r="R278" i="29"/>
  <c r="P278" i="29"/>
  <c r="O278" i="29"/>
  <c r="R277" i="29"/>
  <c r="P277" i="29"/>
  <c r="O277" i="29"/>
  <c r="R276" i="29"/>
  <c r="P276" i="29"/>
  <c r="O276" i="29"/>
  <c r="R275" i="29"/>
  <c r="P275" i="29"/>
  <c r="O275" i="29"/>
  <c r="R274" i="29"/>
  <c r="P274" i="29"/>
  <c r="O274" i="29"/>
  <c r="R273" i="29"/>
  <c r="P273" i="29"/>
  <c r="O273" i="29"/>
  <c r="R272" i="29"/>
  <c r="P272" i="29"/>
  <c r="O272" i="29"/>
  <c r="R271" i="29"/>
  <c r="P271" i="29"/>
  <c r="O271" i="29"/>
  <c r="R270" i="29"/>
  <c r="P270" i="29"/>
  <c r="R269" i="29"/>
  <c r="P269" i="29"/>
  <c r="R268" i="29"/>
  <c r="P268" i="29"/>
  <c r="O268" i="29"/>
  <c r="R267" i="29"/>
  <c r="P267" i="29"/>
  <c r="R266" i="29"/>
  <c r="P266" i="29"/>
  <c r="O266" i="29"/>
  <c r="R265" i="29"/>
  <c r="P265" i="29"/>
  <c r="O265" i="29"/>
  <c r="R264" i="29"/>
  <c r="P264" i="29"/>
  <c r="O264" i="29"/>
  <c r="R263" i="29"/>
  <c r="P263" i="29"/>
  <c r="O263" i="29"/>
  <c r="R262" i="29"/>
  <c r="P262" i="29"/>
  <c r="O262" i="29"/>
  <c r="R261" i="29"/>
  <c r="P261" i="29"/>
  <c r="O261" i="29"/>
  <c r="R260" i="29"/>
  <c r="P260" i="29"/>
  <c r="O260" i="29"/>
  <c r="R259" i="29"/>
  <c r="P259" i="29"/>
  <c r="O259" i="29"/>
  <c r="R258" i="29"/>
  <c r="P258" i="29"/>
  <c r="O258" i="29"/>
  <c r="R257" i="29"/>
  <c r="P257" i="29"/>
  <c r="O257" i="29"/>
  <c r="R256" i="29"/>
  <c r="P256" i="29"/>
  <c r="O256" i="29"/>
  <c r="R255" i="29"/>
  <c r="P255" i="29"/>
  <c r="O255" i="29"/>
  <c r="R254" i="29"/>
  <c r="P254" i="29"/>
  <c r="O254" i="29"/>
  <c r="R253" i="29"/>
  <c r="P253" i="29"/>
  <c r="O253" i="29"/>
  <c r="R252" i="29"/>
  <c r="P252" i="29"/>
  <c r="O252" i="29"/>
  <c r="R251" i="29"/>
  <c r="P251" i="29"/>
  <c r="O251" i="29"/>
  <c r="R250" i="29"/>
  <c r="P250" i="29"/>
  <c r="O250" i="29"/>
  <c r="R249" i="29"/>
  <c r="P249" i="29"/>
  <c r="O249" i="29"/>
  <c r="R248" i="29"/>
  <c r="P248" i="29"/>
  <c r="O248" i="29"/>
  <c r="R247" i="29"/>
  <c r="P247" i="29"/>
  <c r="O247" i="29"/>
  <c r="R246" i="29"/>
  <c r="P246" i="29"/>
  <c r="O246" i="29"/>
  <c r="R245" i="29"/>
  <c r="P245" i="29"/>
  <c r="O245" i="29"/>
  <c r="R244" i="29"/>
  <c r="P244" i="29"/>
  <c r="O244" i="29"/>
  <c r="R243" i="29"/>
  <c r="P243" i="29"/>
  <c r="O243" i="29"/>
  <c r="R242" i="29"/>
  <c r="P242" i="29"/>
  <c r="O242" i="29"/>
  <c r="R241" i="29"/>
  <c r="P241" i="29"/>
  <c r="O241" i="29"/>
  <c r="R240" i="29"/>
  <c r="P240" i="29"/>
  <c r="R239" i="29"/>
  <c r="P239" i="29"/>
  <c r="O239" i="29"/>
  <c r="R238" i="29"/>
  <c r="P238" i="29"/>
  <c r="O238" i="29"/>
  <c r="R237" i="29"/>
  <c r="P237" i="29"/>
  <c r="O237" i="29"/>
  <c r="R236" i="29"/>
  <c r="P236" i="29"/>
  <c r="O236" i="29"/>
  <c r="R235" i="29"/>
  <c r="P235" i="29"/>
  <c r="O235" i="29"/>
  <c r="R234" i="29"/>
  <c r="P234" i="29"/>
  <c r="O234" i="29"/>
  <c r="R233" i="29"/>
  <c r="P233" i="29"/>
  <c r="O233" i="29"/>
  <c r="R232" i="29"/>
  <c r="P232" i="29"/>
  <c r="O232" i="29"/>
  <c r="R231" i="29"/>
  <c r="P231" i="29"/>
  <c r="O231" i="29"/>
  <c r="R230" i="29"/>
  <c r="P230" i="29"/>
  <c r="O230" i="29"/>
  <c r="R229" i="29"/>
  <c r="P229" i="29"/>
  <c r="O229" i="29"/>
  <c r="R228" i="29"/>
  <c r="P228" i="29"/>
  <c r="R227" i="29"/>
  <c r="P227" i="29"/>
  <c r="O227" i="29"/>
  <c r="R226" i="29"/>
  <c r="P226" i="29"/>
  <c r="R225" i="29"/>
  <c r="P225" i="29"/>
  <c r="R224" i="29"/>
  <c r="P224" i="29"/>
  <c r="O224" i="29"/>
  <c r="R223" i="29"/>
  <c r="P223" i="29"/>
  <c r="O223" i="29"/>
  <c r="R222" i="29"/>
  <c r="P222" i="29"/>
  <c r="O222" i="29"/>
  <c r="R221" i="29"/>
  <c r="P221" i="29"/>
  <c r="O221" i="29"/>
  <c r="R220" i="29"/>
  <c r="P220" i="29"/>
  <c r="R219" i="29"/>
  <c r="P219" i="29"/>
  <c r="O219" i="29"/>
  <c r="R218" i="29"/>
  <c r="P218" i="29"/>
  <c r="O218" i="29"/>
  <c r="R217" i="29"/>
  <c r="P217" i="29"/>
  <c r="O217" i="29"/>
  <c r="R216" i="29"/>
  <c r="P216" i="29"/>
  <c r="O216" i="29"/>
  <c r="R215" i="29"/>
  <c r="P215" i="29"/>
  <c r="O215" i="29"/>
  <c r="R214" i="29"/>
  <c r="P214" i="29"/>
  <c r="O214" i="29"/>
  <c r="R213" i="29"/>
  <c r="P213" i="29"/>
  <c r="O213" i="29"/>
  <c r="R212" i="29"/>
  <c r="P212" i="29"/>
  <c r="R211" i="29"/>
  <c r="P211" i="29"/>
  <c r="O211" i="29"/>
  <c r="R210" i="29"/>
  <c r="P210" i="29"/>
  <c r="O210" i="29"/>
  <c r="R209" i="29"/>
  <c r="P209" i="29"/>
  <c r="O209" i="29"/>
  <c r="R208" i="29"/>
  <c r="P208" i="29"/>
  <c r="O208" i="29"/>
  <c r="R207" i="29"/>
  <c r="P207" i="29"/>
  <c r="O207" i="29"/>
  <c r="R206" i="29"/>
  <c r="P206" i="29"/>
  <c r="O206" i="29"/>
  <c r="R205" i="29"/>
  <c r="P205" i="29"/>
  <c r="O205" i="29"/>
  <c r="R204" i="29"/>
  <c r="P204" i="29"/>
  <c r="O204" i="29"/>
  <c r="R203" i="29"/>
  <c r="P203" i="29"/>
  <c r="O203" i="29"/>
  <c r="R202" i="29"/>
  <c r="P202" i="29"/>
  <c r="O202" i="29"/>
  <c r="R201" i="29"/>
  <c r="P201" i="29"/>
  <c r="O201" i="29"/>
  <c r="R200" i="29"/>
  <c r="P200" i="29"/>
  <c r="O200" i="29"/>
  <c r="R199" i="29"/>
  <c r="P199" i="29"/>
  <c r="O199" i="29"/>
  <c r="R198" i="29"/>
  <c r="P198" i="29"/>
  <c r="O198" i="29"/>
  <c r="R197" i="29"/>
  <c r="P197" i="29"/>
  <c r="O197" i="29"/>
  <c r="R196" i="29"/>
  <c r="P196" i="29"/>
  <c r="O196" i="29"/>
  <c r="R195" i="29"/>
  <c r="P195" i="29"/>
  <c r="O195" i="29"/>
  <c r="R194" i="29"/>
  <c r="P194" i="29"/>
  <c r="O194" i="29"/>
  <c r="R193" i="29"/>
  <c r="P193" i="29"/>
  <c r="O193" i="29"/>
  <c r="R192" i="29"/>
  <c r="P192" i="29"/>
  <c r="O192" i="29"/>
  <c r="R191" i="29"/>
  <c r="P191" i="29"/>
  <c r="O191" i="29"/>
  <c r="R190" i="29"/>
  <c r="P190" i="29"/>
  <c r="O190" i="29"/>
  <c r="R189" i="29"/>
  <c r="P189" i="29"/>
  <c r="O189" i="29"/>
  <c r="R188" i="29"/>
  <c r="P188" i="29"/>
  <c r="O188" i="29"/>
  <c r="R187" i="29"/>
  <c r="P187" i="29"/>
  <c r="O187" i="29"/>
  <c r="R186" i="29"/>
  <c r="P186" i="29"/>
  <c r="O186" i="29"/>
  <c r="R185" i="29"/>
  <c r="P185" i="29"/>
  <c r="O185" i="29"/>
  <c r="R184" i="29"/>
  <c r="P184" i="29"/>
  <c r="O184" i="29"/>
  <c r="R183" i="29"/>
  <c r="P183" i="29"/>
  <c r="O183" i="29"/>
  <c r="R182" i="29"/>
  <c r="P182" i="29"/>
  <c r="O182" i="29"/>
  <c r="R181" i="29"/>
  <c r="P181" i="29"/>
  <c r="O181" i="29"/>
  <c r="R180" i="29"/>
  <c r="P180" i="29"/>
  <c r="O180" i="29"/>
  <c r="R179" i="29"/>
  <c r="P179" i="29"/>
  <c r="O179" i="29"/>
  <c r="R178" i="29"/>
  <c r="P178" i="29"/>
  <c r="O178" i="29"/>
  <c r="R177" i="29"/>
  <c r="P177" i="29"/>
  <c r="O177" i="29"/>
  <c r="R176" i="29"/>
  <c r="P176" i="29"/>
  <c r="O176" i="29"/>
  <c r="R175" i="29"/>
  <c r="P175" i="29"/>
  <c r="O175" i="29"/>
  <c r="R174" i="29"/>
  <c r="P174" i="29"/>
  <c r="O174" i="29"/>
  <c r="R173" i="29"/>
  <c r="P173" i="29"/>
  <c r="O173" i="29"/>
  <c r="R172" i="29"/>
  <c r="P172" i="29"/>
  <c r="O172" i="29"/>
  <c r="R171" i="29"/>
  <c r="P171" i="29"/>
  <c r="R170" i="29"/>
  <c r="P170" i="29"/>
  <c r="R169" i="29"/>
  <c r="P169" i="29"/>
  <c r="R168" i="29"/>
  <c r="P168" i="29"/>
  <c r="R167" i="29"/>
  <c r="P167" i="29"/>
  <c r="O167" i="29"/>
  <c r="R166" i="29"/>
  <c r="P166" i="29"/>
  <c r="O166" i="29"/>
  <c r="R165" i="29"/>
  <c r="P165" i="29"/>
  <c r="R164" i="29"/>
  <c r="P164" i="29"/>
  <c r="R163" i="29"/>
  <c r="P163" i="29"/>
  <c r="R162" i="29"/>
  <c r="P162" i="29"/>
  <c r="O162" i="29"/>
  <c r="R161" i="29"/>
  <c r="P161" i="29"/>
  <c r="O161" i="29"/>
  <c r="R160" i="29"/>
  <c r="P160" i="29"/>
  <c r="O160" i="29"/>
  <c r="R159" i="29"/>
  <c r="P159" i="29"/>
  <c r="O159" i="29"/>
  <c r="R158" i="29"/>
  <c r="P158" i="29"/>
  <c r="O158" i="29"/>
  <c r="R157" i="29"/>
  <c r="P157" i="29"/>
  <c r="O157" i="29"/>
  <c r="R156" i="29"/>
  <c r="P156" i="29"/>
  <c r="O156" i="29"/>
  <c r="R155" i="29"/>
  <c r="P155" i="29"/>
  <c r="O155" i="29"/>
  <c r="R154" i="29"/>
  <c r="P154" i="29"/>
  <c r="O154" i="29"/>
  <c r="R153" i="29"/>
  <c r="P153" i="29"/>
  <c r="O153" i="29"/>
  <c r="R152" i="29"/>
  <c r="P152" i="29"/>
  <c r="O152" i="29"/>
  <c r="R151" i="29"/>
  <c r="P151" i="29"/>
  <c r="R150" i="29"/>
  <c r="P150" i="29"/>
  <c r="O150" i="29"/>
  <c r="R149" i="29"/>
  <c r="P149" i="29"/>
  <c r="R148" i="29"/>
  <c r="P148" i="29"/>
  <c r="O148" i="29"/>
  <c r="R147" i="29"/>
  <c r="P147" i="29"/>
  <c r="O147" i="29"/>
  <c r="R146" i="29"/>
  <c r="P146" i="29"/>
  <c r="R145" i="29"/>
  <c r="P145" i="29"/>
  <c r="O145" i="29"/>
  <c r="R144" i="29"/>
  <c r="P144" i="29"/>
  <c r="O144" i="29"/>
  <c r="R143" i="29"/>
  <c r="P143" i="29"/>
  <c r="O143" i="29"/>
  <c r="R142" i="29"/>
  <c r="P142" i="29"/>
  <c r="O142" i="29"/>
  <c r="R141" i="29"/>
  <c r="P141" i="29"/>
  <c r="O141" i="29"/>
  <c r="R140" i="29"/>
  <c r="P140" i="29"/>
  <c r="O140" i="29"/>
  <c r="R139" i="29"/>
  <c r="P139" i="29"/>
  <c r="O139" i="29"/>
  <c r="R138" i="29"/>
  <c r="P138" i="29"/>
  <c r="O138" i="29"/>
  <c r="R137" i="29"/>
  <c r="P137" i="29"/>
  <c r="O137" i="29"/>
  <c r="R136" i="29"/>
  <c r="P136" i="29"/>
  <c r="O136" i="29"/>
  <c r="R135" i="29"/>
  <c r="P135" i="29"/>
  <c r="O135" i="29"/>
  <c r="R134" i="29"/>
  <c r="P134" i="29"/>
  <c r="O134" i="29"/>
  <c r="R133" i="29"/>
  <c r="P133" i="29"/>
  <c r="O133" i="29"/>
  <c r="R132" i="29"/>
  <c r="P132" i="29"/>
  <c r="O132" i="29"/>
  <c r="R131" i="29"/>
  <c r="P131" i="29"/>
  <c r="O131" i="29"/>
  <c r="R130" i="29"/>
  <c r="P130" i="29"/>
  <c r="O130" i="29"/>
  <c r="R129" i="29"/>
  <c r="P129" i="29"/>
  <c r="O129" i="29"/>
  <c r="R128" i="29"/>
  <c r="P128" i="29"/>
  <c r="O128" i="29"/>
  <c r="R127" i="29"/>
  <c r="P127" i="29"/>
  <c r="O127" i="29"/>
  <c r="R126" i="29"/>
  <c r="P126" i="29"/>
  <c r="O126" i="29"/>
  <c r="R125" i="29"/>
  <c r="P125" i="29"/>
  <c r="O125" i="29"/>
  <c r="R124" i="29"/>
  <c r="P124" i="29"/>
  <c r="O124" i="29"/>
  <c r="R123" i="29"/>
  <c r="P123" i="29"/>
  <c r="O123" i="29"/>
  <c r="R122" i="29"/>
  <c r="P122" i="29"/>
  <c r="O122" i="29"/>
  <c r="R121" i="29"/>
  <c r="P121" i="29"/>
  <c r="O121" i="29"/>
  <c r="R120" i="29"/>
  <c r="P120" i="29"/>
  <c r="O120" i="29"/>
  <c r="R119" i="29"/>
  <c r="P119" i="29"/>
  <c r="O119" i="29"/>
  <c r="R118" i="29"/>
  <c r="P118" i="29"/>
  <c r="O118" i="29"/>
  <c r="R117" i="29"/>
  <c r="P117" i="29"/>
  <c r="O117" i="29"/>
  <c r="R116" i="29"/>
  <c r="P116" i="29"/>
  <c r="O116" i="29"/>
  <c r="R115" i="29"/>
  <c r="P115" i="29"/>
  <c r="O115" i="29"/>
  <c r="R114" i="29"/>
  <c r="P114" i="29"/>
  <c r="O114" i="29"/>
  <c r="R113" i="29"/>
  <c r="P113" i="29"/>
  <c r="O113" i="29"/>
  <c r="R112" i="29"/>
  <c r="P112" i="29"/>
  <c r="O112" i="29"/>
  <c r="R111" i="29"/>
  <c r="P111" i="29"/>
  <c r="O111" i="29"/>
  <c r="R110" i="29"/>
  <c r="P110" i="29"/>
  <c r="O110" i="29"/>
  <c r="R109" i="29"/>
  <c r="P109" i="29"/>
  <c r="O109" i="29"/>
  <c r="R108" i="29"/>
  <c r="P108" i="29"/>
  <c r="O108" i="29"/>
  <c r="R107" i="29"/>
  <c r="P107" i="29"/>
  <c r="O107" i="29"/>
  <c r="R106" i="29"/>
  <c r="P106" i="29"/>
  <c r="O106" i="29"/>
  <c r="R105" i="29"/>
  <c r="P105" i="29"/>
  <c r="O105" i="29"/>
  <c r="R104" i="29"/>
  <c r="P104" i="29"/>
  <c r="O104" i="29"/>
  <c r="R103" i="29"/>
  <c r="P103" i="29"/>
  <c r="O103" i="29"/>
  <c r="R102" i="29"/>
  <c r="P102" i="29"/>
  <c r="O102" i="29"/>
  <c r="R101" i="29"/>
  <c r="P101" i="29"/>
  <c r="R100" i="29"/>
  <c r="P100" i="29"/>
  <c r="O100" i="29"/>
  <c r="R99" i="29"/>
  <c r="P99" i="29"/>
  <c r="O99" i="29"/>
  <c r="R98" i="29"/>
  <c r="P98" i="29"/>
  <c r="O98" i="29"/>
  <c r="R97" i="29"/>
  <c r="P97" i="29"/>
  <c r="O97" i="29"/>
  <c r="R96" i="29"/>
  <c r="P96" i="29"/>
  <c r="O96" i="29"/>
  <c r="R95" i="29"/>
  <c r="P95" i="29"/>
  <c r="R94" i="29"/>
  <c r="P94" i="29"/>
  <c r="O94" i="29"/>
  <c r="R93" i="29"/>
  <c r="P93" i="29"/>
  <c r="O93" i="29"/>
  <c r="R92" i="29"/>
  <c r="P92" i="29"/>
  <c r="O92" i="29"/>
  <c r="R91" i="29"/>
  <c r="P91" i="29"/>
  <c r="O91" i="29"/>
  <c r="R90" i="29"/>
  <c r="P90" i="29"/>
  <c r="R89" i="29"/>
  <c r="P89" i="29"/>
  <c r="O89" i="29"/>
  <c r="R88" i="29"/>
  <c r="P88" i="29"/>
  <c r="R87" i="29"/>
  <c r="P87" i="29"/>
  <c r="O87" i="29"/>
  <c r="R86" i="29"/>
  <c r="P86" i="29"/>
  <c r="O86" i="29"/>
  <c r="R85" i="29"/>
  <c r="P85" i="29"/>
  <c r="R84" i="29"/>
  <c r="P84" i="29"/>
  <c r="O84" i="29"/>
  <c r="R83" i="29"/>
  <c r="P83" i="29"/>
  <c r="O83" i="29"/>
  <c r="R82" i="29"/>
  <c r="P82" i="29"/>
  <c r="R81" i="29"/>
  <c r="P81" i="29"/>
  <c r="O81" i="29"/>
  <c r="R80" i="29"/>
  <c r="P80" i="29"/>
  <c r="O80" i="29"/>
  <c r="R79" i="29"/>
  <c r="P79" i="29"/>
  <c r="O79" i="29"/>
  <c r="R78" i="29"/>
  <c r="P78" i="29"/>
  <c r="O78" i="29"/>
  <c r="R77" i="29"/>
  <c r="P77" i="29"/>
  <c r="O77" i="29"/>
  <c r="R76" i="29"/>
  <c r="P76" i="29"/>
  <c r="O76" i="29"/>
  <c r="R75" i="29"/>
  <c r="P75" i="29"/>
  <c r="O75" i="29"/>
  <c r="R74" i="29"/>
  <c r="P74" i="29"/>
  <c r="O74" i="29"/>
  <c r="R73" i="29"/>
  <c r="P73" i="29"/>
  <c r="O73" i="29"/>
  <c r="R72" i="29"/>
  <c r="P72" i="29"/>
  <c r="O72" i="29"/>
  <c r="R71" i="29"/>
  <c r="P71" i="29"/>
  <c r="O71" i="29"/>
  <c r="R70" i="29"/>
  <c r="P70" i="29"/>
  <c r="O70" i="29"/>
  <c r="R69" i="29"/>
  <c r="P69" i="29"/>
  <c r="O69" i="29"/>
  <c r="R68" i="29"/>
  <c r="P68" i="29"/>
  <c r="O68" i="29"/>
  <c r="R67" i="29"/>
  <c r="P67" i="29"/>
  <c r="O67" i="29"/>
  <c r="R66" i="29"/>
  <c r="P66" i="29"/>
  <c r="O66" i="29"/>
  <c r="R65" i="29"/>
  <c r="P65" i="29"/>
  <c r="O65" i="29"/>
  <c r="R64" i="29"/>
  <c r="P64" i="29"/>
  <c r="O64" i="29"/>
  <c r="R63" i="29"/>
  <c r="P63" i="29"/>
  <c r="O63" i="29"/>
  <c r="R62" i="29"/>
  <c r="P62" i="29"/>
  <c r="O62" i="29"/>
  <c r="R61" i="29"/>
  <c r="P61" i="29"/>
  <c r="O61" i="29"/>
  <c r="R60" i="29"/>
  <c r="P60" i="29"/>
  <c r="O60" i="29"/>
  <c r="R59" i="29"/>
  <c r="P59" i="29"/>
  <c r="O59" i="29"/>
  <c r="R58" i="29"/>
  <c r="P58" i="29"/>
  <c r="O58" i="29"/>
  <c r="R57" i="29"/>
  <c r="P57" i="29"/>
  <c r="O57" i="29"/>
  <c r="R56" i="29"/>
  <c r="P56" i="29"/>
  <c r="O56" i="29"/>
  <c r="R55" i="29"/>
  <c r="P55" i="29"/>
  <c r="O55" i="29"/>
  <c r="R54" i="29"/>
  <c r="P54" i="29"/>
  <c r="O54" i="29"/>
  <c r="R53" i="29"/>
  <c r="P53" i="29"/>
  <c r="O53" i="29"/>
  <c r="R52" i="29"/>
  <c r="P52" i="29"/>
  <c r="O52" i="29"/>
  <c r="R51" i="29"/>
  <c r="P51" i="29"/>
  <c r="O51" i="29"/>
  <c r="R50" i="29"/>
  <c r="P50" i="29"/>
  <c r="O50" i="29"/>
  <c r="R49" i="29"/>
  <c r="P49" i="29"/>
  <c r="O49" i="29"/>
  <c r="R48" i="29"/>
  <c r="P48" i="29"/>
  <c r="O48" i="29"/>
  <c r="R47" i="29"/>
  <c r="P47" i="29"/>
  <c r="O47" i="29"/>
  <c r="R46" i="29"/>
  <c r="P46" i="29"/>
  <c r="O46" i="29"/>
  <c r="R45" i="29"/>
  <c r="P45" i="29"/>
  <c r="O45" i="29"/>
  <c r="R44" i="29"/>
  <c r="P44" i="29"/>
  <c r="O44" i="29"/>
  <c r="R43" i="29"/>
  <c r="P43" i="29"/>
  <c r="O43" i="29"/>
  <c r="R42" i="29"/>
  <c r="P42" i="29"/>
  <c r="O42" i="29"/>
  <c r="R41" i="29"/>
  <c r="P41" i="29"/>
  <c r="O41" i="29"/>
  <c r="R40" i="29"/>
  <c r="P40" i="29"/>
  <c r="O40" i="29"/>
  <c r="R39" i="29"/>
  <c r="P39" i="29"/>
  <c r="O39" i="29"/>
  <c r="R38" i="29"/>
  <c r="P38" i="29"/>
  <c r="R37" i="29"/>
  <c r="P37" i="29"/>
  <c r="R36" i="29"/>
  <c r="P36" i="29"/>
  <c r="O36" i="29"/>
  <c r="R35" i="29"/>
  <c r="P35" i="29"/>
  <c r="O35" i="29"/>
  <c r="R34" i="29"/>
  <c r="P34" i="29"/>
  <c r="R33" i="29"/>
  <c r="P33" i="29"/>
  <c r="O33" i="29"/>
  <c r="R32" i="29"/>
  <c r="P32" i="29"/>
  <c r="O32" i="29"/>
  <c r="R31" i="29"/>
  <c r="P31" i="29"/>
  <c r="O31" i="29"/>
  <c r="R30" i="29"/>
  <c r="P30" i="29"/>
  <c r="R29" i="29"/>
  <c r="P29" i="29"/>
  <c r="O29" i="29"/>
  <c r="R28" i="29"/>
  <c r="P28" i="29"/>
  <c r="R27" i="29"/>
  <c r="P27" i="29"/>
  <c r="O27" i="29"/>
  <c r="R26" i="29"/>
  <c r="P26" i="29"/>
  <c r="O26" i="29"/>
  <c r="R25" i="29"/>
  <c r="P25" i="29"/>
  <c r="O25" i="29"/>
  <c r="R24" i="29"/>
  <c r="P24" i="29"/>
  <c r="O24" i="29"/>
  <c r="R23" i="29"/>
  <c r="P23" i="29"/>
  <c r="O23" i="29"/>
  <c r="R22" i="29"/>
  <c r="P22" i="29"/>
  <c r="O22" i="29"/>
  <c r="R21" i="29"/>
  <c r="P21" i="29"/>
  <c r="O21" i="29"/>
  <c r="R20" i="29"/>
  <c r="P20" i="29"/>
  <c r="O20" i="29"/>
  <c r="R19" i="29"/>
  <c r="P19" i="29"/>
  <c r="O19" i="29"/>
  <c r="R18" i="29"/>
  <c r="P18" i="29"/>
  <c r="O18" i="29"/>
  <c r="R17" i="29"/>
  <c r="P17" i="29"/>
  <c r="O17" i="29"/>
  <c r="R16" i="29"/>
  <c r="P16" i="29"/>
  <c r="O16" i="29"/>
  <c r="R15" i="29"/>
  <c r="P15" i="29"/>
  <c r="O15" i="29"/>
  <c r="R14" i="29"/>
  <c r="P14" i="29"/>
  <c r="O14" i="29"/>
  <c r="R13" i="29"/>
  <c r="P13" i="29"/>
  <c r="O13" i="29"/>
  <c r="R12" i="29"/>
  <c r="P12" i="29"/>
  <c r="O12" i="29"/>
  <c r="R11" i="29"/>
  <c r="P11" i="29"/>
  <c r="O11" i="29"/>
  <c r="R10" i="29"/>
  <c r="P10" i="29"/>
  <c r="O10" i="29"/>
  <c r="R9" i="29"/>
  <c r="P9" i="29"/>
  <c r="O9" i="29"/>
  <c r="R8" i="29"/>
  <c r="P8" i="29"/>
  <c r="R7" i="29"/>
  <c r="P7" i="29"/>
  <c r="R6" i="29"/>
  <c r="P6" i="29"/>
  <c r="R5" i="29"/>
  <c r="P5" i="29"/>
  <c r="O5" i="29"/>
  <c r="C292" i="8" l="1"/>
  <c r="B292" i="8"/>
  <c r="AX45" i="7" l="1"/>
  <c r="AW45" i="7"/>
  <c r="AV45" i="7"/>
  <c r="AU45" i="7"/>
  <c r="AT45" i="7"/>
  <c r="AS45" i="7"/>
  <c r="AR45" i="7"/>
  <c r="AQ45" i="7"/>
  <c r="AP45" i="7"/>
  <c r="AO45" i="7"/>
  <c r="AN45" i="7"/>
  <c r="AM45" i="7"/>
  <c r="AL45" i="7"/>
  <c r="N45" i="7"/>
  <c r="A45" i="7"/>
  <c r="X22" i="7" l="1"/>
  <c r="X23" i="7"/>
  <c r="X24" i="7"/>
  <c r="X25" i="7"/>
  <c r="X26" i="7"/>
  <c r="X27" i="7"/>
  <c r="X28" i="7"/>
  <c r="X21" i="7"/>
  <c r="W22" i="7"/>
  <c r="W23" i="7"/>
  <c r="W24" i="7"/>
  <c r="W25" i="7"/>
  <c r="W26" i="7"/>
  <c r="W27" i="7"/>
  <c r="W28" i="7"/>
  <c r="W21" i="7"/>
  <c r="V22" i="7"/>
  <c r="V23" i="7"/>
  <c r="V24" i="7"/>
  <c r="V25" i="7"/>
  <c r="V26" i="7"/>
  <c r="V27" i="7"/>
  <c r="V28" i="7"/>
  <c r="V21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U25" i="7"/>
  <c r="U24" i="7"/>
  <c r="U23" i="7"/>
  <c r="U22" i="7"/>
  <c r="Y21" i="7"/>
  <c r="Z21" i="7"/>
  <c r="AA21" i="7"/>
  <c r="AB21" i="7"/>
  <c r="AC21" i="7"/>
  <c r="AD21" i="7"/>
  <c r="AE21" i="7"/>
  <c r="AF21" i="7"/>
  <c r="AG21" i="7"/>
  <c r="Y22" i="7"/>
  <c r="Z22" i="7"/>
  <c r="AA22" i="7"/>
  <c r="AB22" i="7"/>
  <c r="AC22" i="7"/>
  <c r="AD22" i="7"/>
  <c r="AE22" i="7"/>
  <c r="AF22" i="7"/>
  <c r="AG22" i="7"/>
  <c r="Y23" i="7"/>
  <c r="Z23" i="7"/>
  <c r="AA23" i="7"/>
  <c r="AB23" i="7"/>
  <c r="AC23" i="7"/>
  <c r="AD23" i="7"/>
  <c r="AE23" i="7"/>
  <c r="AF23" i="7"/>
  <c r="AG23" i="7"/>
  <c r="Y24" i="7"/>
  <c r="Z24" i="7"/>
  <c r="AA24" i="7"/>
  <c r="AB24" i="7"/>
  <c r="AC24" i="7"/>
  <c r="AD24" i="7"/>
  <c r="AE24" i="7"/>
  <c r="AF24" i="7"/>
  <c r="AG24" i="7"/>
  <c r="Y25" i="7"/>
  <c r="Z25" i="7"/>
  <c r="AA25" i="7"/>
  <c r="AB25" i="7"/>
  <c r="AC25" i="7"/>
  <c r="AD25" i="7"/>
  <c r="AE25" i="7"/>
  <c r="AF25" i="7"/>
  <c r="AG25" i="7"/>
  <c r="Y26" i="7"/>
  <c r="Z26" i="7"/>
  <c r="AA26" i="7"/>
  <c r="AB26" i="7"/>
  <c r="AC26" i="7"/>
  <c r="AD26" i="7"/>
  <c r="AE26" i="7"/>
  <c r="AF26" i="7"/>
  <c r="AG26" i="7"/>
  <c r="Y27" i="7"/>
  <c r="Z27" i="7"/>
  <c r="AA27" i="7"/>
  <c r="AB27" i="7"/>
  <c r="AC27" i="7"/>
  <c r="AD27" i="7"/>
  <c r="AE27" i="7"/>
  <c r="AF27" i="7"/>
  <c r="AG27" i="7"/>
  <c r="Y28" i="7"/>
  <c r="Z28" i="7"/>
  <c r="AA28" i="7"/>
  <c r="AB28" i="7"/>
  <c r="AC28" i="7"/>
  <c r="AD28" i="7"/>
  <c r="AE28" i="7"/>
  <c r="AF28" i="7"/>
  <c r="AG28" i="7"/>
  <c r="U26" i="7"/>
  <c r="U27" i="7"/>
  <c r="U28" i="7"/>
  <c r="U21" i="7"/>
  <c r="N26" i="7"/>
  <c r="AC29" i="7" l="1"/>
  <c r="AC32" i="7" s="1"/>
  <c r="AB29" i="7"/>
  <c r="AB36" i="7" s="1"/>
  <c r="AA29" i="7"/>
  <c r="AA32" i="7" s="1"/>
  <c r="Z29" i="7"/>
  <c r="Z32" i="7" s="1"/>
  <c r="AG29" i="7"/>
  <c r="AG33" i="7" s="1"/>
  <c r="AG45" i="7" s="1"/>
  <c r="Y29" i="7"/>
  <c r="Y39" i="7" s="1"/>
  <c r="AF29" i="7"/>
  <c r="AF38" i="7" s="1"/>
  <c r="X29" i="7"/>
  <c r="X35" i="7" s="1"/>
  <c r="AE29" i="7"/>
  <c r="AE33" i="7" s="1"/>
  <c r="AE45" i="7" s="1"/>
  <c r="W29" i="7"/>
  <c r="W38" i="7" s="1"/>
  <c r="AD29" i="7"/>
  <c r="AD38" i="7" s="1"/>
  <c r="V29" i="7"/>
  <c r="V35" i="7" s="1"/>
  <c r="U29" i="7"/>
  <c r="U38" i="7" s="1"/>
  <c r="U33" i="7" l="1"/>
  <c r="U45" i="7" s="1"/>
  <c r="V32" i="7"/>
  <c r="V36" i="7"/>
  <c r="V37" i="7"/>
  <c r="AA39" i="7"/>
  <c r="Z34" i="7"/>
  <c r="Z38" i="7"/>
  <c r="AA33" i="7"/>
  <c r="AA45" i="7" s="1"/>
  <c r="AD33" i="7"/>
  <c r="AD45" i="7" s="1"/>
  <c r="AC36" i="7"/>
  <c r="X36" i="7"/>
  <c r="AA36" i="7"/>
  <c r="Z35" i="7"/>
  <c r="AD34" i="7"/>
  <c r="V38" i="7"/>
  <c r="X38" i="7"/>
  <c r="AA38" i="7"/>
  <c r="Z37" i="7"/>
  <c r="AC38" i="7"/>
  <c r="X34" i="7"/>
  <c r="V33" i="7"/>
  <c r="V45" i="7" s="1"/>
  <c r="AC33" i="7"/>
  <c r="AC45" i="7" s="1"/>
  <c r="X37" i="7"/>
  <c r="Z39" i="7"/>
  <c r="AC35" i="7"/>
  <c r="X39" i="7"/>
  <c r="AE34" i="7"/>
  <c r="V39" i="7"/>
  <c r="AG38" i="7"/>
  <c r="Y33" i="7"/>
  <c r="Y45" i="7" s="1"/>
  <c r="AA37" i="7"/>
  <c r="AB39" i="7"/>
  <c r="AG36" i="7"/>
  <c r="AD35" i="7"/>
  <c r="AA34" i="7"/>
  <c r="AE39" i="7"/>
  <c r="AC34" i="7"/>
  <c r="AG39" i="7"/>
  <c r="V34" i="7"/>
  <c r="AE38" i="7"/>
  <c r="AF34" i="7"/>
  <c r="Y32" i="7"/>
  <c r="AC37" i="7"/>
  <c r="Z36" i="7"/>
  <c r="W35" i="7"/>
  <c r="AB32" i="7"/>
  <c r="AF37" i="7"/>
  <c r="Y35" i="7"/>
  <c r="AD32" i="7"/>
  <c r="W32" i="7"/>
  <c r="AE32" i="7"/>
  <c r="AB35" i="7"/>
  <c r="AG32" i="7"/>
  <c r="Y38" i="7"/>
  <c r="AD37" i="7"/>
  <c r="AE35" i="7"/>
  <c r="X33" i="7"/>
  <c r="X45" i="7" s="1"/>
  <c r="AB38" i="7"/>
  <c r="AG35" i="7"/>
  <c r="Z33" i="7"/>
  <c r="Z45" i="7" s="1"/>
  <c r="W34" i="7"/>
  <c r="AF32" i="7"/>
  <c r="AF36" i="7"/>
  <c r="AC39" i="7"/>
  <c r="W37" i="7"/>
  <c r="AF39" i="7"/>
  <c r="Y37" i="7"/>
  <c r="AF33" i="7"/>
  <c r="AF45" i="7" s="1"/>
  <c r="AA35" i="7"/>
  <c r="Y34" i="7"/>
  <c r="AD39" i="7"/>
  <c r="AB34" i="7"/>
  <c r="W36" i="7"/>
  <c r="U35" i="7"/>
  <c r="X32" i="7"/>
  <c r="AB37" i="7"/>
  <c r="AG34" i="7"/>
  <c r="AE37" i="7"/>
  <c r="AG37" i="7"/>
  <c r="AD36" i="7"/>
  <c r="AE36" i="7"/>
  <c r="W33" i="7"/>
  <c r="W45" i="7" s="1"/>
  <c r="AF35" i="7"/>
  <c r="U37" i="7"/>
  <c r="AB33" i="7"/>
  <c r="AB45" i="7" s="1"/>
  <c r="Y36" i="7"/>
  <c r="W39" i="7"/>
  <c r="U32" i="7"/>
  <c r="U39" i="7"/>
  <c r="U36" i="7"/>
  <c r="U34" i="7"/>
  <c r="M15" i="9"/>
  <c r="R15" i="9"/>
  <c r="AF15" i="9"/>
  <c r="AM15" i="9"/>
  <c r="AT15" i="9"/>
  <c r="AO15" i="9"/>
  <c r="AU15" i="9"/>
  <c r="N44" i="7" l="1"/>
  <c r="A44" i="7"/>
  <c r="A24" i="7"/>
  <c r="AE14" i="9" l="1"/>
  <c r="AL14" i="9"/>
  <c r="X14" i="9"/>
  <c r="Y14" i="9"/>
  <c r="V14" i="9"/>
  <c r="AF14" i="9"/>
  <c r="AM14" i="9"/>
  <c r="AW14" i="9"/>
  <c r="AX14" i="9"/>
  <c r="AY14" i="9"/>
  <c r="AT14" i="9"/>
  <c r="AU14" i="9"/>
  <c r="AN14" i="9"/>
  <c r="AO14" i="9"/>
  <c r="U14" i="9"/>
  <c r="R14" i="9"/>
  <c r="Q14" i="9"/>
  <c r="M14" i="9"/>
  <c r="L14" i="9"/>
  <c r="I14" i="9"/>
  <c r="AT17" i="9"/>
  <c r="AN17" i="9"/>
  <c r="O28" i="29" l="1"/>
  <c r="O8" i="29"/>
  <c r="W14" i="9"/>
  <c r="O240" i="29"/>
  <c r="O388" i="29"/>
  <c r="O228" i="29"/>
  <c r="O38" i="29"/>
  <c r="O95" i="29"/>
  <c r="O6" i="29"/>
  <c r="O395" i="29"/>
  <c r="O220" i="29"/>
  <c r="O426" i="29"/>
  <c r="O300" i="29"/>
  <c r="O34" i="29"/>
  <c r="O30" i="29"/>
  <c r="O317" i="29"/>
  <c r="O212" i="29"/>
  <c r="N43" i="7"/>
  <c r="A43" i="7"/>
  <c r="N42" i="7"/>
  <c r="A42" i="7"/>
  <c r="N41" i="7"/>
  <c r="A41" i="7"/>
  <c r="N40" i="7"/>
  <c r="A40" i="7"/>
  <c r="N39" i="7"/>
  <c r="A39" i="7"/>
  <c r="N38" i="7"/>
  <c r="A38" i="7"/>
  <c r="N37" i="7"/>
  <c r="A37" i="7"/>
  <c r="N36" i="7"/>
  <c r="A36" i="7"/>
  <c r="N35" i="7"/>
  <c r="A35" i="7"/>
  <c r="N34" i="7"/>
  <c r="A34" i="7"/>
  <c r="N33" i="7"/>
  <c r="A33" i="7"/>
  <c r="N32" i="7"/>
  <c r="A32" i="7"/>
  <c r="N31" i="7"/>
  <c r="A31" i="7"/>
  <c r="N30" i="7"/>
  <c r="A30" i="7"/>
  <c r="N29" i="7"/>
  <c r="A29" i="7"/>
  <c r="N28" i="7"/>
  <c r="A28" i="7"/>
  <c r="N27" i="7"/>
  <c r="A27" i="7"/>
  <c r="A26" i="7"/>
  <c r="N25" i="7"/>
  <c r="A25" i="7"/>
  <c r="N24" i="7"/>
  <c r="N23" i="7"/>
  <c r="A23" i="7"/>
  <c r="N22" i="7"/>
  <c r="A22" i="7"/>
  <c r="N21" i="7"/>
  <c r="A21" i="7"/>
  <c r="N20" i="7"/>
  <c r="A20" i="7"/>
  <c r="N19" i="7"/>
  <c r="A19" i="7"/>
  <c r="N18" i="7"/>
  <c r="A18" i="7"/>
  <c r="N17" i="7"/>
  <c r="A17" i="7"/>
  <c r="N16" i="7"/>
  <c r="A16" i="7"/>
  <c r="N15" i="7"/>
  <c r="A15" i="7"/>
  <c r="N14" i="7"/>
  <c r="A14" i="7"/>
  <c r="N13" i="7"/>
  <c r="A13" i="7"/>
  <c r="N12" i="7"/>
  <c r="A12" i="7"/>
  <c r="N11" i="7"/>
  <c r="A11" i="7"/>
  <c r="N10" i="7"/>
  <c r="A10" i="7"/>
  <c r="N9" i="7"/>
  <c r="A9" i="7"/>
  <c r="N8" i="7"/>
  <c r="A8" i="7"/>
  <c r="N7" i="7"/>
  <c r="A7" i="7"/>
  <c r="N6" i="7"/>
  <c r="A6" i="7"/>
  <c r="N5" i="7"/>
  <c r="A5" i="7"/>
  <c r="N4" i="7"/>
  <c r="A4" i="7"/>
  <c r="N3" i="7"/>
  <c r="A3" i="7"/>
  <c r="L68" i="2" l="1"/>
  <c r="L175" i="2"/>
  <c r="L62" i="2"/>
  <c r="L27" i="2"/>
  <c r="L67" i="2"/>
  <c r="L94" i="2"/>
  <c r="L26" i="2"/>
  <c r="L111" i="2"/>
  <c r="L128" i="2"/>
  <c r="L77" i="2"/>
  <c r="L198" i="2"/>
  <c r="L161" i="2"/>
  <c r="L103" i="2"/>
  <c r="L202" i="2"/>
  <c r="L195" i="2"/>
  <c r="L177" i="2"/>
  <c r="L234" i="2"/>
  <c r="L109" i="2"/>
  <c r="L190" i="2"/>
  <c r="L167" i="2"/>
  <c r="L166" i="2"/>
  <c r="L228" i="2"/>
  <c r="L139" i="2"/>
  <c r="L174" i="2"/>
  <c r="L227" i="2"/>
  <c r="L183" i="2"/>
  <c r="L44" i="2"/>
  <c r="L156" i="2"/>
  <c r="L215" i="2"/>
  <c r="L141" i="2"/>
  <c r="L201" i="2"/>
  <c r="L49" i="2"/>
  <c r="L239" i="2"/>
  <c r="N149" i="2"/>
  <c r="M104" i="2"/>
  <c r="N157" i="2"/>
  <c r="M165" i="2"/>
  <c r="L105" i="2"/>
  <c r="L80" i="2"/>
  <c r="L76" i="2"/>
  <c r="L72" i="2"/>
  <c r="L197" i="2"/>
  <c r="L16" i="2"/>
  <c r="L236" i="2"/>
  <c r="L170" i="2"/>
  <c r="L70" i="2"/>
  <c r="L203" i="2"/>
  <c r="L221" i="2"/>
  <c r="L15" i="2"/>
  <c r="L213" i="2"/>
  <c r="L58" i="2"/>
  <c r="L189" i="2"/>
  <c r="L104" i="2"/>
  <c r="L214" i="2"/>
  <c r="L243" i="2"/>
  <c r="L223" i="2"/>
  <c r="L53" i="2"/>
  <c r="L165" i="2"/>
  <c r="L22" i="2"/>
  <c r="L123" i="2"/>
  <c r="L218" i="2"/>
  <c r="L140" i="2"/>
  <c r="L95" i="2"/>
  <c r="L75" i="2"/>
  <c r="L122" i="2"/>
  <c r="L147" i="2"/>
  <c r="N104" i="2"/>
  <c r="M234" i="2"/>
  <c r="M188" i="2"/>
  <c r="M154" i="2"/>
  <c r="N165" i="2"/>
  <c r="N227" i="2"/>
  <c r="M117" i="2"/>
  <c r="N140" i="2"/>
  <c r="N141" i="2"/>
  <c r="M201" i="2"/>
  <c r="N201" i="2"/>
  <c r="L17" i="2"/>
  <c r="L38" i="2"/>
  <c r="L222" i="2"/>
  <c r="L233" i="2"/>
  <c r="L129" i="2"/>
  <c r="L83" i="2"/>
  <c r="L57" i="2"/>
  <c r="L169" i="2"/>
  <c r="L96" i="2"/>
  <c r="L124" i="2"/>
  <c r="L130" i="2"/>
  <c r="L107" i="2"/>
  <c r="L81" i="2"/>
  <c r="L9" i="2"/>
  <c r="L82" i="2"/>
  <c r="L219" i="2"/>
  <c r="L208" i="2"/>
  <c r="L93" i="2"/>
  <c r="L86" i="2"/>
  <c r="L164" i="2"/>
  <c r="L116" i="2"/>
  <c r="L173" i="2"/>
  <c r="L153" i="2"/>
  <c r="L148" i="2"/>
  <c r="L87" i="2"/>
  <c r="L101" i="2"/>
  <c r="L181" i="2"/>
  <c r="L226" i="2"/>
  <c r="L37" i="2"/>
  <c r="M131" i="2"/>
  <c r="N234" i="2"/>
  <c r="M208" i="2"/>
  <c r="N188" i="2"/>
  <c r="M166" i="2"/>
  <c r="N154" i="2"/>
  <c r="M136" i="2"/>
  <c r="M5" i="2"/>
  <c r="N117" i="2"/>
  <c r="M30" i="2"/>
  <c r="L74" i="2"/>
  <c r="L20" i="2"/>
  <c r="L127" i="2"/>
  <c r="L84" i="2"/>
  <c r="L151" i="2"/>
  <c r="L7" i="2"/>
  <c r="L238" i="2"/>
  <c r="L56" i="2"/>
  <c r="L232" i="2"/>
  <c r="L99" i="2"/>
  <c r="L205" i="2"/>
  <c r="L163" i="2"/>
  <c r="L36" i="2"/>
  <c r="L66" i="2"/>
  <c r="L48" i="2"/>
  <c r="L143" i="2"/>
  <c r="L157" i="2"/>
  <c r="L119" i="2"/>
  <c r="L206" i="2"/>
  <c r="L216" i="2"/>
  <c r="L112" i="2"/>
  <c r="L154" i="2"/>
  <c r="L136" i="2"/>
  <c r="L180" i="2"/>
  <c r="L210" i="2"/>
  <c r="L73" i="2"/>
  <c r="L121" i="2"/>
  <c r="L40" i="2"/>
  <c r="L118" i="2"/>
  <c r="L52" i="2"/>
  <c r="M152" i="2"/>
  <c r="N131" i="2"/>
  <c r="M143" i="2"/>
  <c r="M119" i="2"/>
  <c r="N208" i="2"/>
  <c r="M167" i="2"/>
  <c r="N166" i="2"/>
  <c r="N136" i="2"/>
  <c r="M180" i="2"/>
  <c r="N5" i="2"/>
  <c r="M148" i="2"/>
  <c r="N30" i="2"/>
  <c r="M121" i="2"/>
  <c r="M176" i="2"/>
  <c r="N176" i="2"/>
  <c r="M227" i="2"/>
  <c r="M140" i="2"/>
  <c r="M141" i="2"/>
  <c r="L51" i="2"/>
  <c r="L235" i="2"/>
  <c r="L90" i="2"/>
  <c r="L137" i="2"/>
  <c r="L11" i="2"/>
  <c r="L184" i="2"/>
  <c r="L108" i="2"/>
  <c r="L158" i="2"/>
  <c r="L204" i="2"/>
  <c r="L209" i="2"/>
  <c r="L182" i="2"/>
  <c r="L113" i="2"/>
  <c r="L85" i="2"/>
  <c r="L220" i="2"/>
  <c r="L240" i="2"/>
  <c r="L45" i="2"/>
  <c r="L61" i="2"/>
  <c r="L188" i="2"/>
  <c r="L207" i="2"/>
  <c r="L224" i="2"/>
  <c r="L5" i="2"/>
  <c r="L135" i="2"/>
  <c r="L64" i="2"/>
  <c r="L114" i="2"/>
  <c r="L187" i="2"/>
  <c r="L176" i="2"/>
  <c r="L186" i="2"/>
  <c r="N152" i="2"/>
  <c r="M106" i="2"/>
  <c r="N143" i="2"/>
  <c r="M214" i="2"/>
  <c r="N119" i="2"/>
  <c r="M172" i="2"/>
  <c r="N167" i="2"/>
  <c r="M207" i="2"/>
  <c r="N180" i="2"/>
  <c r="M153" i="2"/>
  <c r="N148" i="2"/>
  <c r="M144" i="2"/>
  <c r="N121" i="2"/>
  <c r="M156" i="2"/>
  <c r="N145" i="2"/>
  <c r="N95" i="2"/>
  <c r="L50" i="2"/>
  <c r="L132" i="2"/>
  <c r="L34" i="2"/>
  <c r="L146" i="2"/>
  <c r="L91" i="2"/>
  <c r="L155" i="2"/>
  <c r="L6" i="2"/>
  <c r="L179" i="2"/>
  <c r="L230" i="2"/>
  <c r="L35" i="2"/>
  <c r="L159" i="2"/>
  <c r="L126" i="2"/>
  <c r="L31" i="2"/>
  <c r="L65" i="2"/>
  <c r="L192" i="2"/>
  <c r="L106" i="2"/>
  <c r="L28" i="2"/>
  <c r="L125" i="2"/>
  <c r="L71" i="2"/>
  <c r="L43" i="2"/>
  <c r="L25" i="2"/>
  <c r="L32" i="2"/>
  <c r="L241" i="2"/>
  <c r="L115" i="2"/>
  <c r="L30" i="2"/>
  <c r="L100" i="2"/>
  <c r="L102" i="2"/>
  <c r="L120" i="2"/>
  <c r="L41" i="2"/>
  <c r="L160" i="2"/>
  <c r="L59" i="2"/>
  <c r="N106" i="2"/>
  <c r="M177" i="2"/>
  <c r="N214" i="2"/>
  <c r="N172" i="2"/>
  <c r="N207" i="2"/>
  <c r="M139" i="2"/>
  <c r="N153" i="2"/>
  <c r="N144" i="2"/>
  <c r="M212" i="2"/>
  <c r="N156" i="2"/>
  <c r="L88" i="2"/>
  <c r="L171" i="2"/>
  <c r="L142" i="2"/>
  <c r="L92" i="2"/>
  <c r="L168" i="2"/>
  <c r="L231" i="2"/>
  <c r="L21" i="2"/>
  <c r="L162" i="2"/>
  <c r="L225" i="2"/>
  <c r="L229" i="2"/>
  <c r="L12" i="2"/>
  <c r="L23" i="2"/>
  <c r="L193" i="2"/>
  <c r="L178" i="2"/>
  <c r="L149" i="2"/>
  <c r="L185" i="2"/>
  <c r="L39" i="2"/>
  <c r="L145" i="2"/>
  <c r="L69" i="2"/>
  <c r="L13" i="2"/>
  <c r="L54" i="2"/>
  <c r="L8" i="2"/>
  <c r="L117" i="2"/>
  <c r="L212" i="2"/>
  <c r="L194" i="2"/>
  <c r="L18" i="2"/>
  <c r="L211" i="2"/>
  <c r="M195" i="2"/>
  <c r="N177" i="2"/>
  <c r="M220" i="2"/>
  <c r="M125" i="2"/>
  <c r="M216" i="2"/>
  <c r="M164" i="2"/>
  <c r="N139" i="2"/>
  <c r="M135" i="2"/>
  <c r="N212" i="2"/>
  <c r="L217" i="2"/>
  <c r="L242" i="2"/>
  <c r="L14" i="2"/>
  <c r="L237" i="2"/>
  <c r="L110" i="2"/>
  <c r="L46" i="2"/>
  <c r="L63" i="2"/>
  <c r="L10" i="2"/>
  <c r="L196" i="2"/>
  <c r="L24" i="2"/>
  <c r="L97" i="2"/>
  <c r="L191" i="2"/>
  <c r="L78" i="2"/>
  <c r="L138" i="2"/>
  <c r="L152" i="2"/>
  <c r="L131" i="2"/>
  <c r="L79" i="2"/>
  <c r="L47" i="2"/>
  <c r="L172" i="2"/>
  <c r="L29" i="2"/>
  <c r="L33" i="2"/>
  <c r="L60" i="2"/>
  <c r="L55" i="2"/>
  <c r="L42" i="2"/>
  <c r="L144" i="2"/>
  <c r="L200" i="2"/>
  <c r="L89" i="2"/>
  <c r="L98" i="2"/>
  <c r="L150" i="2"/>
  <c r="N195" i="2"/>
  <c r="M149" i="2"/>
  <c r="N220" i="2"/>
  <c r="M157" i="2"/>
  <c r="N125" i="2"/>
  <c r="N216" i="2"/>
  <c r="M145" i="2"/>
  <c r="N164" i="2"/>
  <c r="N135" i="2"/>
  <c r="M218" i="2"/>
  <c r="M95" i="2"/>
  <c r="N218" i="2"/>
  <c r="M178" i="2"/>
  <c r="N178" i="2"/>
  <c r="N8" i="2"/>
  <c r="M8" i="2"/>
  <c r="M60" i="2"/>
  <c r="M14" i="2"/>
  <c r="N38" i="2"/>
  <c r="N160" i="2"/>
  <c r="N37" i="2"/>
  <c r="M158" i="2"/>
  <c r="M228" i="2"/>
  <c r="N181" i="2"/>
  <c r="N162" i="2"/>
  <c r="N124" i="2"/>
  <c r="N83" i="2"/>
  <c r="M22" i="2"/>
  <c r="M73" i="2"/>
  <c r="M159" i="2"/>
  <c r="M68" i="2"/>
  <c r="M233" i="2"/>
  <c r="M49" i="2"/>
  <c r="M223" i="2"/>
  <c r="N185" i="2"/>
  <c r="N169" i="2"/>
  <c r="M146" i="2"/>
  <c r="N79" i="2"/>
  <c r="M128" i="2"/>
  <c r="N63" i="2"/>
  <c r="N108" i="2"/>
  <c r="N56" i="2"/>
  <c r="N54" i="2"/>
  <c r="N12" i="2"/>
  <c r="N40" i="2"/>
  <c r="M189" i="2"/>
  <c r="N19" i="2"/>
  <c r="N90" i="2"/>
  <c r="M70" i="2"/>
  <c r="N242" i="2"/>
  <c r="M197" i="2"/>
  <c r="M110" i="2"/>
  <c r="N67" i="2"/>
  <c r="M10" i="2"/>
  <c r="M168" i="2"/>
  <c r="M114" i="2"/>
  <c r="N127" i="2"/>
  <c r="N60" i="2"/>
  <c r="N14" i="2"/>
  <c r="N158" i="2"/>
  <c r="N228" i="2"/>
  <c r="N22" i="2"/>
  <c r="N73" i="2"/>
  <c r="N159" i="2"/>
  <c r="N68" i="2"/>
  <c r="N233" i="2"/>
  <c r="N49" i="2"/>
  <c r="M71" i="2"/>
  <c r="N223" i="2"/>
  <c r="M116" i="2"/>
  <c r="M123" i="2"/>
  <c r="N146" i="2"/>
  <c r="M111" i="2"/>
  <c r="M203" i="2"/>
  <c r="M170" i="2"/>
  <c r="N128" i="2"/>
  <c r="M209" i="2"/>
  <c r="N189" i="2"/>
  <c r="M43" i="2"/>
  <c r="M232" i="2"/>
  <c r="N70" i="2"/>
  <c r="M34" i="2"/>
  <c r="N197" i="2"/>
  <c r="M224" i="2"/>
  <c r="N110" i="2"/>
  <c r="N10" i="2"/>
  <c r="M217" i="2"/>
  <c r="N168" i="2"/>
  <c r="M45" i="2"/>
  <c r="N114" i="2"/>
  <c r="M240" i="2"/>
  <c r="M100" i="2"/>
  <c r="M66" i="2"/>
  <c r="M118" i="2"/>
  <c r="M77" i="2"/>
  <c r="M190" i="2"/>
  <c r="M17" i="2"/>
  <c r="M130" i="2"/>
  <c r="M137" i="2"/>
  <c r="N71" i="2"/>
  <c r="N116" i="2"/>
  <c r="N123" i="2"/>
  <c r="M151" i="2"/>
  <c r="N111" i="2"/>
  <c r="M31" i="2"/>
  <c r="N203" i="2"/>
  <c r="N170" i="2"/>
  <c r="M32" i="2"/>
  <c r="M41" i="2"/>
  <c r="N209" i="2"/>
  <c r="M236" i="2"/>
  <c r="N43" i="2"/>
  <c r="M44" i="2"/>
  <c r="M36" i="2"/>
  <c r="N232" i="2"/>
  <c r="M103" i="2"/>
  <c r="N34" i="2"/>
  <c r="N224" i="2"/>
  <c r="M21" i="2"/>
  <c r="M122" i="2"/>
  <c r="N217" i="2"/>
  <c r="N45" i="2"/>
  <c r="M26" i="2"/>
  <c r="M33" i="2"/>
  <c r="N66" i="2"/>
  <c r="N118" i="2"/>
  <c r="N77" i="2"/>
  <c r="N190" i="2"/>
  <c r="N17" i="2"/>
  <c r="M78" i="2"/>
  <c r="M109" i="2"/>
  <c r="M126" i="2"/>
  <c r="N130" i="2"/>
  <c r="N137" i="2"/>
  <c r="M20" i="2"/>
  <c r="M50" i="2"/>
  <c r="M23" i="2"/>
  <c r="M179" i="2"/>
  <c r="M196" i="2"/>
  <c r="M85" i="2"/>
  <c r="N151" i="2"/>
  <c r="N31" i="2"/>
  <c r="M142" i="2"/>
  <c r="N32" i="2"/>
  <c r="N41" i="2"/>
  <c r="M138" i="2"/>
  <c r="M82" i="2"/>
  <c r="N236" i="2"/>
  <c r="N44" i="2"/>
  <c r="N36" i="2"/>
  <c r="N103" i="2"/>
  <c r="M47" i="2"/>
  <c r="M61" i="2"/>
  <c r="N78" i="2"/>
  <c r="N109" i="2"/>
  <c r="N126" i="2"/>
  <c r="M91" i="2"/>
  <c r="N20" i="2"/>
  <c r="N50" i="2"/>
  <c r="N23" i="2"/>
  <c r="M99" i="2"/>
  <c r="M58" i="2"/>
  <c r="M202" i="2"/>
  <c r="M229" i="2"/>
  <c r="N179" i="2"/>
  <c r="N196" i="2"/>
  <c r="N85" i="2"/>
  <c r="M80" i="2"/>
  <c r="M215" i="2"/>
  <c r="M132" i="2"/>
  <c r="N142" i="2"/>
  <c r="N138" i="2"/>
  <c r="N82" i="2"/>
  <c r="M226" i="2"/>
  <c r="M52" i="2"/>
  <c r="M237" i="2"/>
  <c r="M238" i="2"/>
  <c r="M97" i="2"/>
  <c r="N16" i="2"/>
  <c r="N198" i="2"/>
  <c r="N94" i="2"/>
  <c r="N105" i="2"/>
  <c r="N84" i="2"/>
  <c r="N61" i="2"/>
  <c r="M183" i="2"/>
  <c r="N91" i="2"/>
  <c r="N99" i="2"/>
  <c r="N58" i="2"/>
  <c r="N202" i="2"/>
  <c r="N229" i="2"/>
  <c r="M204" i="2"/>
  <c r="N80" i="2"/>
  <c r="N215" i="2"/>
  <c r="N132" i="2"/>
  <c r="M57" i="2"/>
  <c r="M210" i="2"/>
  <c r="M88" i="2"/>
  <c r="M72" i="2"/>
  <c r="N226" i="2"/>
  <c r="M112" i="2"/>
  <c r="N33" i="2"/>
  <c r="N52" i="2"/>
  <c r="N237" i="2"/>
  <c r="N238" i="2"/>
  <c r="M86" i="2"/>
  <c r="N97" i="2"/>
  <c r="M11" i="2"/>
  <c r="N191" i="2"/>
  <c r="N222" i="2"/>
  <c r="M15" i="2"/>
  <c r="M113" i="2"/>
  <c r="N129" i="2"/>
  <c r="N230" i="2"/>
  <c r="N28" i="2"/>
  <c r="N147" i="2"/>
  <c r="N65" i="2"/>
  <c r="M38" i="2"/>
  <c r="M160" i="2"/>
  <c r="M37" i="2"/>
  <c r="N175" i="2"/>
  <c r="M181" i="2"/>
  <c r="M162" i="2"/>
  <c r="M124" i="2"/>
  <c r="M83" i="2"/>
  <c r="M185" i="2"/>
  <c r="M169" i="2"/>
  <c r="M79" i="2"/>
  <c r="N87" i="2"/>
  <c r="M63" i="2"/>
  <c r="M108" i="2"/>
  <c r="N182" i="2"/>
  <c r="M56" i="2"/>
  <c r="M54" i="2"/>
  <c r="M12" i="2"/>
  <c r="M40" i="2"/>
  <c r="M19" i="2"/>
  <c r="N27" i="2"/>
  <c r="M90" i="2"/>
  <c r="M242" i="2"/>
  <c r="N163" i="2"/>
  <c r="M67" i="2"/>
  <c r="N161" i="2"/>
  <c r="M127" i="2"/>
  <c r="M194" i="2"/>
  <c r="M48" i="2"/>
  <c r="M129" i="2"/>
  <c r="M87" i="2"/>
  <c r="M206" i="2"/>
  <c r="M42" i="2"/>
  <c r="N211" i="2"/>
  <c r="M75" i="2"/>
  <c r="M205" i="2"/>
  <c r="M98" i="2"/>
  <c r="M64" i="2"/>
  <c r="N29" i="2"/>
  <c r="M55" i="2"/>
  <c r="N46" i="2"/>
  <c r="M231" i="2"/>
  <c r="M184" i="2"/>
  <c r="N155" i="2"/>
  <c r="M24" i="2"/>
  <c r="N205" i="2"/>
  <c r="N98" i="2"/>
  <c r="M213" i="2"/>
  <c r="N21" i="2"/>
  <c r="M94" i="2"/>
  <c r="N206" i="2"/>
  <c r="N42" i="2"/>
  <c r="M51" i="2"/>
  <c r="N75" i="2"/>
  <c r="M175" i="2"/>
  <c r="N210" i="2"/>
  <c r="N72" i="2"/>
  <c r="M27" i="2"/>
  <c r="N86" i="2"/>
  <c r="N11" i="2"/>
  <c r="M115" i="2"/>
  <c r="N51" i="2"/>
  <c r="N24" i="2"/>
  <c r="M62" i="2"/>
  <c r="N213" i="2"/>
  <c r="M59" i="2"/>
  <c r="M200" i="2"/>
  <c r="M120" i="2"/>
  <c r="M18" i="2"/>
  <c r="N243" i="2"/>
  <c r="M102" i="2"/>
  <c r="M107" i="2"/>
  <c r="M89" i="2"/>
  <c r="N225" i="2"/>
  <c r="M173" i="2"/>
  <c r="N193" i="2"/>
  <c r="M46" i="2"/>
  <c r="M243" i="2"/>
  <c r="M147" i="2"/>
  <c r="N115" i="2"/>
  <c r="M92" i="2"/>
  <c r="M76" i="2"/>
  <c r="M239" i="2"/>
  <c r="N15" i="2"/>
  <c r="M74" i="2"/>
  <c r="N62" i="2"/>
  <c r="M219" i="2"/>
  <c r="N59" i="2"/>
  <c r="N200" i="2"/>
  <c r="N120" i="2"/>
  <c r="N18" i="2"/>
  <c r="N102" i="2"/>
  <c r="N107" i="2"/>
  <c r="N204" i="2"/>
  <c r="M182" i="2"/>
  <c r="N48" i="2"/>
  <c r="M241" i="2"/>
  <c r="M25" i="2"/>
  <c r="M150" i="2"/>
  <c r="N186" i="2"/>
  <c r="M81" i="2"/>
  <c r="N6" i="2"/>
  <c r="M28" i="2"/>
  <c r="N183" i="2"/>
  <c r="N57" i="2"/>
  <c r="N88" i="2"/>
  <c r="N92" i="2"/>
  <c r="N76" i="2"/>
  <c r="N239" i="2"/>
  <c r="M222" i="2"/>
  <c r="N74" i="2"/>
  <c r="M39" i="2"/>
  <c r="M69" i="2"/>
  <c r="M235" i="2"/>
  <c r="N219" i="2"/>
  <c r="M187" i="2"/>
  <c r="N187" i="2"/>
  <c r="M65" i="2"/>
  <c r="M161" i="2"/>
  <c r="N26" i="2"/>
  <c r="M9" i="2"/>
  <c r="N174" i="2"/>
  <c r="N35" i="2"/>
  <c r="N192" i="2"/>
  <c r="M171" i="2"/>
  <c r="M7" i="2"/>
  <c r="M6" i="2"/>
  <c r="N173" i="2"/>
  <c r="M155" i="2"/>
  <c r="N184" i="2"/>
  <c r="N112" i="2"/>
  <c r="L19" i="2"/>
  <c r="M198" i="2"/>
  <c r="M174" i="2"/>
  <c r="N39" i="2"/>
  <c r="M35" i="2"/>
  <c r="M221" i="2"/>
  <c r="N69" i="2"/>
  <c r="M225" i="2"/>
  <c r="N235" i="2"/>
  <c r="M192" i="2"/>
  <c r="M186" i="2"/>
  <c r="M101" i="2"/>
  <c r="M93" i="2"/>
  <c r="M193" i="2"/>
  <c r="M230" i="2"/>
  <c r="M105" i="2"/>
  <c r="M53" i="2"/>
  <c r="M13" i="2"/>
  <c r="N221" i="2"/>
  <c r="N101" i="2"/>
  <c r="N93" i="2"/>
  <c r="N81" i="2"/>
  <c r="M163" i="2"/>
  <c r="M16" i="2"/>
  <c r="N122" i="2"/>
  <c r="N194" i="2"/>
  <c r="M84" i="2"/>
  <c r="N241" i="2"/>
  <c r="M191" i="2"/>
  <c r="N9" i="2"/>
  <c r="N53" i="2"/>
  <c r="M211" i="2"/>
  <c r="N13" i="2"/>
  <c r="N25" i="2"/>
  <c r="N89" i="2"/>
  <c r="N150" i="2"/>
  <c r="M29" i="2"/>
  <c r="N171" i="2"/>
  <c r="N7" i="2"/>
  <c r="N64" i="2"/>
  <c r="N55" i="2"/>
  <c r="N231" i="2"/>
  <c r="N240" i="2"/>
  <c r="N47" i="2"/>
  <c r="N100" i="2"/>
  <c r="N113" i="2"/>
  <c r="M96" i="2"/>
  <c r="N96" i="2"/>
  <c r="L449" i="29"/>
  <c r="M446" i="29"/>
  <c r="M442" i="29"/>
  <c r="M439" i="29"/>
  <c r="M436" i="29"/>
  <c r="M432" i="29"/>
  <c r="N429" i="29"/>
  <c r="N426" i="29"/>
  <c r="L425" i="29"/>
  <c r="N422" i="29"/>
  <c r="L418" i="29"/>
  <c r="L415" i="29"/>
  <c r="N413" i="29"/>
  <c r="N410" i="29"/>
  <c r="N407" i="29"/>
  <c r="M404" i="29"/>
  <c r="N401" i="29"/>
  <c r="L400" i="29"/>
  <c r="N397" i="29"/>
  <c r="L396" i="29"/>
  <c r="N393" i="29"/>
  <c r="L392" i="29"/>
  <c r="N389" i="29"/>
  <c r="L388" i="29"/>
  <c r="N385" i="29"/>
  <c r="L384" i="29"/>
  <c r="N381" i="29"/>
  <c r="L380" i="29"/>
  <c r="N377" i="29"/>
  <c r="L376" i="29"/>
  <c r="N373" i="29"/>
  <c r="L372" i="29"/>
  <c r="N369" i="29"/>
  <c r="L368" i="29"/>
  <c r="N365" i="29"/>
  <c r="L364" i="29"/>
  <c r="N361" i="29"/>
  <c r="N358" i="29"/>
  <c r="M354" i="29"/>
  <c r="N351" i="29"/>
  <c r="L350" i="29"/>
  <c r="N347" i="29"/>
  <c r="L346" i="29"/>
  <c r="N343" i="29"/>
  <c r="L342" i="29"/>
  <c r="N339" i="29"/>
  <c r="L338" i="29"/>
  <c r="N335" i="29"/>
  <c r="L334" i="29"/>
  <c r="N331" i="29"/>
  <c r="L330" i="29"/>
  <c r="N327" i="29"/>
  <c r="N450" i="29"/>
  <c r="N447" i="29"/>
  <c r="L446" i="29"/>
  <c r="N443" i="29"/>
  <c r="L442" i="29"/>
  <c r="L439" i="29"/>
  <c r="N437" i="29"/>
  <c r="L436" i="29"/>
  <c r="N433" i="29"/>
  <c r="L432" i="29"/>
  <c r="M429" i="29"/>
  <c r="M426" i="29"/>
  <c r="M422" i="29"/>
  <c r="N419" i="29"/>
  <c r="N416" i="29"/>
  <c r="M413" i="29"/>
  <c r="M410" i="29"/>
  <c r="M407" i="29"/>
  <c r="L404" i="29"/>
  <c r="M401" i="29"/>
  <c r="M397" i="29"/>
  <c r="M393" i="29"/>
  <c r="M389" i="29"/>
  <c r="M385" i="29"/>
  <c r="M381" i="29"/>
  <c r="M377" i="29"/>
  <c r="M373" i="29"/>
  <c r="M369" i="29"/>
  <c r="M365" i="29"/>
  <c r="M361" i="29"/>
  <c r="M358" i="29"/>
  <c r="N355" i="29"/>
  <c r="L354" i="29"/>
  <c r="M351" i="29"/>
  <c r="M347" i="29"/>
  <c r="M343" i="29"/>
  <c r="M339" i="29"/>
  <c r="M450" i="29"/>
  <c r="M447" i="29"/>
  <c r="M443" i="29"/>
  <c r="N440" i="29"/>
  <c r="M437" i="29"/>
  <c r="M433" i="29"/>
  <c r="L429" i="29"/>
  <c r="N427" i="29"/>
  <c r="L426" i="29"/>
  <c r="N423" i="29"/>
  <c r="L422" i="29"/>
  <c r="M419" i="29"/>
  <c r="M416" i="29"/>
  <c r="L413" i="29"/>
  <c r="N411" i="29"/>
  <c r="L410" i="29"/>
  <c r="L407" i="29"/>
  <c r="N405" i="29"/>
  <c r="N402" i="29"/>
  <c r="L401" i="29"/>
  <c r="N398" i="29"/>
  <c r="L397" i="29"/>
  <c r="N394" i="29"/>
  <c r="L393" i="29"/>
  <c r="N390" i="29"/>
  <c r="L389" i="29"/>
  <c r="N386" i="29"/>
  <c r="L385" i="29"/>
  <c r="N382" i="29"/>
  <c r="L381" i="29"/>
  <c r="N378" i="29"/>
  <c r="L377" i="29"/>
  <c r="N374" i="29"/>
  <c r="L373" i="29"/>
  <c r="N370" i="29"/>
  <c r="L369" i="29"/>
  <c r="N366" i="29"/>
  <c r="L365" i="29"/>
  <c r="N362" i="29"/>
  <c r="L361" i="29"/>
  <c r="L358" i="29"/>
  <c r="M355" i="29"/>
  <c r="N352" i="29"/>
  <c r="L351" i="29"/>
  <c r="N348" i="29"/>
  <c r="L347" i="29"/>
  <c r="N344" i="29"/>
  <c r="L343" i="29"/>
  <c r="N340" i="29"/>
  <c r="L339" i="29"/>
  <c r="N336" i="29"/>
  <c r="L335" i="29"/>
  <c r="N332" i="29"/>
  <c r="L331" i="29"/>
  <c r="N328" i="29"/>
  <c r="L327" i="29"/>
  <c r="L450" i="29"/>
  <c r="N448" i="29"/>
  <c r="L447" i="29"/>
  <c r="N444" i="29"/>
  <c r="L443" i="29"/>
  <c r="M440" i="29"/>
  <c r="L437" i="29"/>
  <c r="N434" i="29"/>
  <c r="L433" i="29"/>
  <c r="N430" i="29"/>
  <c r="M427" i="29"/>
  <c r="M423" i="29"/>
  <c r="N420" i="29"/>
  <c r="L419" i="29"/>
  <c r="L416" i="29"/>
  <c r="N414" i="29"/>
  <c r="M411" i="29"/>
  <c r="N408" i="29"/>
  <c r="M405" i="29"/>
  <c r="M402" i="29"/>
  <c r="M398" i="29"/>
  <c r="M394" i="29"/>
  <c r="M390" i="29"/>
  <c r="M386" i="29"/>
  <c r="M382" i="29"/>
  <c r="M378" i="29"/>
  <c r="M374" i="29"/>
  <c r="M370" i="29"/>
  <c r="M366" i="29"/>
  <c r="M362" i="29"/>
  <c r="N359" i="29"/>
  <c r="N356" i="29"/>
  <c r="L355" i="29"/>
  <c r="M352" i="29"/>
  <c r="M448" i="29"/>
  <c r="M444" i="29"/>
  <c r="L440" i="29"/>
  <c r="N438" i="29"/>
  <c r="M434" i="29"/>
  <c r="M430" i="29"/>
  <c r="L427" i="29"/>
  <c r="N424" i="29"/>
  <c r="L423" i="29"/>
  <c r="M420" i="29"/>
  <c r="N417" i="29"/>
  <c r="M414" i="29"/>
  <c r="L411" i="29"/>
  <c r="M408" i="29"/>
  <c r="L405" i="29"/>
  <c r="L402" i="29"/>
  <c r="N399" i="29"/>
  <c r="L398" i="29"/>
  <c r="N395" i="29"/>
  <c r="L394" i="29"/>
  <c r="N391" i="29"/>
  <c r="L390" i="29"/>
  <c r="N387" i="29"/>
  <c r="L386" i="29"/>
  <c r="N383" i="29"/>
  <c r="L382" i="29"/>
  <c r="N379" i="29"/>
  <c r="L378" i="29"/>
  <c r="N375" i="29"/>
  <c r="L374" i="29"/>
  <c r="N371" i="29"/>
  <c r="L370" i="29"/>
  <c r="N367" i="29"/>
  <c r="L366" i="29"/>
  <c r="N363" i="29"/>
  <c r="L362" i="29"/>
  <c r="M359" i="29"/>
  <c r="M356" i="29"/>
  <c r="L352" i="29"/>
  <c r="N349" i="29"/>
  <c r="L348" i="29"/>
  <c r="N345" i="29"/>
  <c r="L344" i="29"/>
  <c r="N341" i="29"/>
  <c r="L340" i="29"/>
  <c r="N337" i="29"/>
  <c r="L336" i="29"/>
  <c r="N333" i="29"/>
  <c r="L332" i="29"/>
  <c r="N329" i="29"/>
  <c r="L328" i="29"/>
  <c r="N325" i="29"/>
  <c r="M449" i="29"/>
  <c r="N446" i="29"/>
  <c r="L445" i="29"/>
  <c r="N442" i="29"/>
  <c r="L441" i="29"/>
  <c r="N439" i="29"/>
  <c r="N436" i="29"/>
  <c r="L435" i="29"/>
  <c r="N432" i="29"/>
  <c r="L431" i="29"/>
  <c r="L428" i="29"/>
  <c r="M425" i="29"/>
  <c r="L421" i="29"/>
  <c r="M418" i="29"/>
  <c r="M415" i="29"/>
  <c r="L412" i="29"/>
  <c r="L409" i="29"/>
  <c r="L406" i="29"/>
  <c r="N404" i="29"/>
  <c r="L403" i="29"/>
  <c r="M400" i="29"/>
  <c r="M396" i="29"/>
  <c r="M392" i="29"/>
  <c r="M388" i="29"/>
  <c r="M384" i="29"/>
  <c r="M380" i="29"/>
  <c r="M376" i="29"/>
  <c r="M372" i="29"/>
  <c r="M368" i="29"/>
  <c r="M364" i="29"/>
  <c r="L360" i="29"/>
  <c r="L357" i="29"/>
  <c r="N354" i="29"/>
  <c r="L353" i="29"/>
  <c r="M350" i="29"/>
  <c r="M346" i="29"/>
  <c r="M342" i="29"/>
  <c r="M338" i="29"/>
  <c r="M334" i="29"/>
  <c r="M330" i="29"/>
  <c r="M326" i="29"/>
  <c r="M322" i="29"/>
  <c r="N319" i="29"/>
  <c r="L318" i="29"/>
  <c r="M315" i="29"/>
  <c r="L311" i="29"/>
  <c r="L448" i="29"/>
  <c r="L434" i="29"/>
  <c r="M387" i="29"/>
  <c r="L383" i="29"/>
  <c r="N372" i="29"/>
  <c r="M348" i="29"/>
  <c r="M344" i="29"/>
  <c r="M340" i="29"/>
  <c r="M336" i="29"/>
  <c r="N334" i="29"/>
  <c r="L325" i="29"/>
  <c r="N322" i="29"/>
  <c r="M319" i="29"/>
  <c r="N316" i="29"/>
  <c r="N313" i="29"/>
  <c r="L312" i="29"/>
  <c r="N310" i="29"/>
  <c r="L306" i="29"/>
  <c r="L303" i="29"/>
  <c r="N300" i="29"/>
  <c r="L299" i="29"/>
  <c r="N296" i="29"/>
  <c r="L295" i="29"/>
  <c r="N292" i="29"/>
  <c r="L291" i="29"/>
  <c r="N288" i="29"/>
  <c r="L287" i="29"/>
  <c r="N284" i="29"/>
  <c r="L283" i="29"/>
  <c r="N280" i="29"/>
  <c r="L279" i="29"/>
  <c r="N276" i="29"/>
  <c r="L275" i="29"/>
  <c r="N272" i="29"/>
  <c r="L271" i="29"/>
  <c r="N269" i="29"/>
  <c r="L268" i="29"/>
  <c r="M265" i="29"/>
  <c r="M261" i="29"/>
  <c r="M257" i="29"/>
  <c r="M253" i="29"/>
  <c r="M249" i="29"/>
  <c r="M245" i="29"/>
  <c r="M241" i="29"/>
  <c r="M237" i="29"/>
  <c r="M233" i="29"/>
  <c r="M229" i="29"/>
  <c r="N226" i="29"/>
  <c r="M222" i="29"/>
  <c r="M218" i="29"/>
  <c r="M214" i="29"/>
  <c r="M210" i="29"/>
  <c r="M206" i="29"/>
  <c r="M202" i="29"/>
  <c r="M198" i="29"/>
  <c r="M194" i="29"/>
  <c r="M190" i="29"/>
  <c r="M186" i="29"/>
  <c r="M182" i="29"/>
  <c r="M178" i="29"/>
  <c r="M174" i="29"/>
  <c r="N171" i="29"/>
  <c r="M168" i="29"/>
  <c r="N165" i="29"/>
  <c r="N162" i="29"/>
  <c r="L161" i="29"/>
  <c r="N441" i="29"/>
  <c r="M438" i="29"/>
  <c r="L420" i="29"/>
  <c r="N415" i="29"/>
  <c r="N412" i="29"/>
  <c r="M391" i="29"/>
  <c r="L387" i="29"/>
  <c r="N376" i="29"/>
  <c r="L359" i="29"/>
  <c r="Q359" i="29" s="1"/>
  <c r="M332" i="29"/>
  <c r="N330" i="29"/>
  <c r="L322" i="29"/>
  <c r="L319" i="29"/>
  <c r="M316" i="29"/>
  <c r="M313" i="29"/>
  <c r="M310" i="29"/>
  <c r="N307" i="29"/>
  <c r="N304" i="29"/>
  <c r="M300" i="29"/>
  <c r="M296" i="29"/>
  <c r="M292" i="29"/>
  <c r="M288" i="29"/>
  <c r="M284" i="29"/>
  <c r="M280" i="29"/>
  <c r="M276" i="29"/>
  <c r="M272" i="29"/>
  <c r="M269" i="29"/>
  <c r="N266" i="29"/>
  <c r="L265" i="29"/>
  <c r="N262" i="29"/>
  <c r="L261" i="29"/>
  <c r="N258" i="29"/>
  <c r="L257" i="29"/>
  <c r="N254" i="29"/>
  <c r="L253" i="29"/>
  <c r="N250" i="29"/>
  <c r="L249" i="29"/>
  <c r="N246" i="29"/>
  <c r="L245" i="29"/>
  <c r="N242" i="29"/>
  <c r="L241" i="29"/>
  <c r="N238" i="29"/>
  <c r="L237" i="29"/>
  <c r="N234" i="29"/>
  <c r="L233" i="29"/>
  <c r="N230" i="29"/>
  <c r="L229" i="29"/>
  <c r="M226" i="29"/>
  <c r="N223" i="29"/>
  <c r="L222" i="29"/>
  <c r="N219" i="29"/>
  <c r="L218" i="29"/>
  <c r="N215" i="29"/>
  <c r="L214" i="29"/>
  <c r="N445" i="29"/>
  <c r="M441" i="29"/>
  <c r="L438" i="29"/>
  <c r="N431" i="29"/>
  <c r="M424" i="29"/>
  <c r="M412" i="29"/>
  <c r="N409" i="29"/>
  <c r="M395" i="29"/>
  <c r="L391" i="29"/>
  <c r="N380" i="29"/>
  <c r="M363" i="29"/>
  <c r="M328" i="29"/>
  <c r="N326" i="29"/>
  <c r="N323" i="29"/>
  <c r="N317" i="29"/>
  <c r="L316" i="29"/>
  <c r="N314" i="29"/>
  <c r="L313" i="29"/>
  <c r="L310" i="29"/>
  <c r="M307" i="29"/>
  <c r="M304" i="29"/>
  <c r="N301" i="29"/>
  <c r="L300" i="29"/>
  <c r="N297" i="29"/>
  <c r="L296" i="29"/>
  <c r="N293" i="29"/>
  <c r="L292" i="29"/>
  <c r="N289" i="29"/>
  <c r="L288" i="29"/>
  <c r="N285" i="29"/>
  <c r="L284" i="29"/>
  <c r="N281" i="29"/>
  <c r="L280" i="29"/>
  <c r="N277" i="29"/>
  <c r="L276" i="29"/>
  <c r="N273" i="29"/>
  <c r="L272" i="29"/>
  <c r="L269" i="29"/>
  <c r="M266" i="29"/>
  <c r="M262" i="29"/>
  <c r="M258" i="29"/>
  <c r="M254" i="29"/>
  <c r="M250" i="29"/>
  <c r="M246" i="29"/>
  <c r="M242" i="29"/>
  <c r="M238" i="29"/>
  <c r="M234" i="29"/>
  <c r="M230" i="29"/>
  <c r="L226" i="29"/>
  <c r="M223" i="29"/>
  <c r="M219" i="29"/>
  <c r="M215" i="29"/>
  <c r="M211" i="29"/>
  <c r="M207" i="29"/>
  <c r="M203" i="29"/>
  <c r="M199" i="29"/>
  <c r="M195" i="29"/>
  <c r="M191" i="29"/>
  <c r="M187" i="29"/>
  <c r="M183" i="29"/>
  <c r="M179" i="29"/>
  <c r="M175" i="29"/>
  <c r="L171" i="29"/>
  <c r="N169" i="29"/>
  <c r="L165" i="29"/>
  <c r="N163" i="29"/>
  <c r="L162" i="29"/>
  <c r="M445" i="29"/>
  <c r="N435" i="29"/>
  <c r="M431" i="29"/>
  <c r="L424" i="29"/>
  <c r="M417" i="29"/>
  <c r="M409" i="29"/>
  <c r="M399" i="29"/>
  <c r="L395" i="29"/>
  <c r="N384" i="29"/>
  <c r="M367" i="29"/>
  <c r="L363" i="29"/>
  <c r="L356" i="29"/>
  <c r="M349" i="29"/>
  <c r="M345" i="29"/>
  <c r="M341" i="29"/>
  <c r="M337" i="29"/>
  <c r="L326" i="29"/>
  <c r="M323" i="29"/>
  <c r="N320" i="29"/>
  <c r="M317" i="29"/>
  <c r="M314" i="29"/>
  <c r="N311" i="29"/>
  <c r="N308" i="29"/>
  <c r="L307" i="29"/>
  <c r="L304" i="29"/>
  <c r="M301" i="29"/>
  <c r="M297" i="29"/>
  <c r="M293" i="29"/>
  <c r="M289" i="29"/>
  <c r="M285" i="29"/>
  <c r="M281" i="29"/>
  <c r="M277" i="29"/>
  <c r="M273" i="29"/>
  <c r="N270" i="29"/>
  <c r="N267" i="29"/>
  <c r="L266" i="29"/>
  <c r="N263" i="29"/>
  <c r="L262" i="29"/>
  <c r="N259" i="29"/>
  <c r="L258" i="29"/>
  <c r="N255" i="29"/>
  <c r="L254" i="29"/>
  <c r="N251" i="29"/>
  <c r="L250" i="29"/>
  <c r="N247" i="29"/>
  <c r="L246" i="29"/>
  <c r="N243" i="29"/>
  <c r="L242" i="29"/>
  <c r="N239" i="29"/>
  <c r="L238" i="29"/>
  <c r="N235" i="29"/>
  <c r="L234" i="29"/>
  <c r="N231" i="29"/>
  <c r="L230" i="29"/>
  <c r="N227" i="29"/>
  <c r="N224" i="29"/>
  <c r="L223" i="29"/>
  <c r="N220" i="29"/>
  <c r="L219" i="29"/>
  <c r="N216" i="29"/>
  <c r="L215" i="29"/>
  <c r="N212" i="29"/>
  <c r="L211" i="29"/>
  <c r="N208" i="29"/>
  <c r="L207" i="29"/>
  <c r="N204" i="29"/>
  <c r="L203" i="29"/>
  <c r="N200" i="29"/>
  <c r="L199" i="29"/>
  <c r="N196" i="29"/>
  <c r="L195" i="29"/>
  <c r="N192" i="29"/>
  <c r="L191" i="29"/>
  <c r="N188" i="29"/>
  <c r="L187" i="29"/>
  <c r="N184" i="29"/>
  <c r="L183" i="29"/>
  <c r="N180" i="29"/>
  <c r="L179" i="29"/>
  <c r="M435" i="29"/>
  <c r="N428" i="29"/>
  <c r="N421" i="29"/>
  <c r="L417" i="29"/>
  <c r="L414" i="29"/>
  <c r="N406" i="29"/>
  <c r="L399" i="29"/>
  <c r="N388" i="29"/>
  <c r="M371" i="29"/>
  <c r="L367" i="29"/>
  <c r="N360" i="29"/>
  <c r="L349" i="29"/>
  <c r="L345" i="29"/>
  <c r="L341" i="29"/>
  <c r="L337" i="29"/>
  <c r="M335" i="29"/>
  <c r="M333" i="29"/>
  <c r="N324" i="29"/>
  <c r="L323" i="29"/>
  <c r="M320" i="29"/>
  <c r="L317" i="29"/>
  <c r="L314" i="29"/>
  <c r="M311" i="29"/>
  <c r="M308" i="29"/>
  <c r="N305" i="29"/>
  <c r="N302" i="29"/>
  <c r="L301" i="29"/>
  <c r="N298" i="29"/>
  <c r="L297" i="29"/>
  <c r="N294" i="29"/>
  <c r="L293" i="29"/>
  <c r="N290" i="29"/>
  <c r="L289" i="29"/>
  <c r="N286" i="29"/>
  <c r="L285" i="29"/>
  <c r="N282" i="29"/>
  <c r="L281" i="29"/>
  <c r="N278" i="29"/>
  <c r="L277" i="29"/>
  <c r="N274" i="29"/>
  <c r="L273" i="29"/>
  <c r="M270" i="29"/>
  <c r="M267" i="29"/>
  <c r="M263" i="29"/>
  <c r="M259" i="29"/>
  <c r="M255" i="29"/>
  <c r="M251" i="29"/>
  <c r="M247" i="29"/>
  <c r="M243" i="29"/>
  <c r="M239" i="29"/>
  <c r="M235" i="29"/>
  <c r="M231" i="29"/>
  <c r="M227" i="29"/>
  <c r="M224" i="29"/>
  <c r="M220" i="29"/>
  <c r="M216" i="29"/>
  <c r="M212" i="29"/>
  <c r="M208" i="29"/>
  <c r="M204" i="29"/>
  <c r="M200" i="29"/>
  <c r="M196" i="29"/>
  <c r="M192" i="29"/>
  <c r="M188" i="29"/>
  <c r="M184" i="29"/>
  <c r="M180" i="29"/>
  <c r="M176" i="29"/>
  <c r="M172" i="29"/>
  <c r="L169" i="29"/>
  <c r="M166" i="29"/>
  <c r="L163" i="29"/>
  <c r="N160" i="29"/>
  <c r="L444" i="29"/>
  <c r="L430" i="29"/>
  <c r="N418" i="29"/>
  <c r="L408" i="29"/>
  <c r="N400" i="29"/>
  <c r="M383" i="29"/>
  <c r="L379" i="29"/>
  <c r="N368" i="29"/>
  <c r="M357" i="29"/>
  <c r="N350" i="29"/>
  <c r="N346" i="29"/>
  <c r="N342" i="29"/>
  <c r="N338" i="29"/>
  <c r="M325" i="29"/>
  <c r="L321" i="29"/>
  <c r="M312" i="29"/>
  <c r="L309" i="29"/>
  <c r="M306" i="29"/>
  <c r="M303" i="29"/>
  <c r="M299" i="29"/>
  <c r="M295" i="29"/>
  <c r="M291" i="29"/>
  <c r="M287" i="29"/>
  <c r="M283" i="29"/>
  <c r="M279" i="29"/>
  <c r="M275" i="29"/>
  <c r="M271" i="29"/>
  <c r="M268" i="29"/>
  <c r="N265" i="29"/>
  <c r="L264" i="29"/>
  <c r="N261" i="29"/>
  <c r="L260" i="29"/>
  <c r="N257" i="29"/>
  <c r="L256" i="29"/>
  <c r="N253" i="29"/>
  <c r="L252" i="29"/>
  <c r="N249" i="29"/>
  <c r="L248" i="29"/>
  <c r="N245" i="29"/>
  <c r="L244" i="29"/>
  <c r="N241" i="29"/>
  <c r="L240" i="29"/>
  <c r="N237" i="29"/>
  <c r="L236" i="29"/>
  <c r="N233" i="29"/>
  <c r="L232" i="29"/>
  <c r="N229" i="29"/>
  <c r="L228" i="29"/>
  <c r="L225" i="29"/>
  <c r="N222" i="29"/>
  <c r="L221" i="29"/>
  <c r="N218" i="29"/>
  <c r="L217" i="29"/>
  <c r="N214" i="29"/>
  <c r="L213" i="29"/>
  <c r="N392" i="29"/>
  <c r="M379" i="29"/>
  <c r="L324" i="29"/>
  <c r="L315" i="29"/>
  <c r="M290" i="29"/>
  <c r="L286" i="29"/>
  <c r="N275" i="29"/>
  <c r="N268" i="29"/>
  <c r="L255" i="29"/>
  <c r="N244" i="29"/>
  <c r="M240" i="29"/>
  <c r="L212" i="29"/>
  <c r="N210" i="29"/>
  <c r="N205" i="29"/>
  <c r="L197" i="29"/>
  <c r="N195" i="29"/>
  <c r="L190" i="29"/>
  <c r="M185" i="29"/>
  <c r="L180" i="29"/>
  <c r="N178" i="29"/>
  <c r="N175" i="29"/>
  <c r="N172" i="29"/>
  <c r="M170" i="29"/>
  <c r="L168" i="29"/>
  <c r="N159" i="29"/>
  <c r="L158" i="29"/>
  <c r="N155" i="29"/>
  <c r="L154" i="29"/>
  <c r="M151" i="29"/>
  <c r="N148" i="29"/>
  <c r="L147" i="29"/>
  <c r="M144" i="29"/>
  <c r="M140" i="29"/>
  <c r="M136" i="29"/>
  <c r="M132" i="29"/>
  <c r="M128" i="29"/>
  <c r="M124" i="29"/>
  <c r="M120" i="29"/>
  <c r="M116" i="29"/>
  <c r="M112" i="29"/>
  <c r="M108" i="29"/>
  <c r="M104" i="29"/>
  <c r="N101" i="29"/>
  <c r="L100" i="29"/>
  <c r="N97" i="29"/>
  <c r="L96" i="29"/>
  <c r="N93" i="29"/>
  <c r="L92" i="29"/>
  <c r="M89" i="29"/>
  <c r="N86" i="29"/>
  <c r="L82" i="29"/>
  <c r="N79" i="29"/>
  <c r="L78" i="29"/>
  <c r="N75" i="29"/>
  <c r="L74" i="29"/>
  <c r="N71" i="29"/>
  <c r="L70" i="29"/>
  <c r="N67" i="29"/>
  <c r="L66" i="29"/>
  <c r="N63" i="29"/>
  <c r="L62" i="29"/>
  <c r="N59" i="29"/>
  <c r="L58" i="29"/>
  <c r="N55" i="29"/>
  <c r="L54" i="29"/>
  <c r="N51" i="29"/>
  <c r="L50" i="29"/>
  <c r="N47" i="29"/>
  <c r="L46" i="29"/>
  <c r="N43" i="29"/>
  <c r="L42" i="29"/>
  <c r="N39" i="29"/>
  <c r="L38" i="29"/>
  <c r="M35" i="29"/>
  <c r="M31" i="29"/>
  <c r="M27" i="29"/>
  <c r="M421" i="29"/>
  <c r="N364" i="29"/>
  <c r="M305" i="29"/>
  <c r="M294" i="29"/>
  <c r="L290" i="29"/>
  <c r="N279" i="29"/>
  <c r="L259" i="29"/>
  <c r="N248" i="29"/>
  <c r="M244" i="29"/>
  <c r="L227" i="29"/>
  <c r="L216" i="29"/>
  <c r="L210" i="29"/>
  <c r="M205" i="29"/>
  <c r="L200" i="29"/>
  <c r="N198" i="29"/>
  <c r="N193" i="29"/>
  <c r="L185" i="29"/>
  <c r="N183" i="29"/>
  <c r="L178" i="29"/>
  <c r="L175" i="29"/>
  <c r="L172" i="29"/>
  <c r="L170" i="29"/>
  <c r="N164" i="29"/>
  <c r="M159" i="29"/>
  <c r="M155" i="29"/>
  <c r="L151" i="29"/>
  <c r="M148" i="29"/>
  <c r="N145" i="29"/>
  <c r="L144" i="29"/>
  <c r="N141" i="29"/>
  <c r="L140" i="29"/>
  <c r="N137" i="29"/>
  <c r="L136" i="29"/>
  <c r="N133" i="29"/>
  <c r="L132" i="29"/>
  <c r="N129" i="29"/>
  <c r="L128" i="29"/>
  <c r="N125" i="29"/>
  <c r="L124" i="29"/>
  <c r="N121" i="29"/>
  <c r="L120" i="29"/>
  <c r="N117" i="29"/>
  <c r="L116" i="29"/>
  <c r="N113" i="29"/>
  <c r="L112" i="29"/>
  <c r="N109" i="29"/>
  <c r="L108" i="29"/>
  <c r="N105" i="29"/>
  <c r="L104" i="29"/>
  <c r="M101" i="29"/>
  <c r="M97" i="29"/>
  <c r="M93" i="29"/>
  <c r="N90" i="29"/>
  <c r="L89" i="29"/>
  <c r="M86" i="29"/>
  <c r="N83" i="29"/>
  <c r="M79" i="29"/>
  <c r="M75" i="29"/>
  <c r="M71" i="29"/>
  <c r="M67" i="29"/>
  <c r="M63" i="29"/>
  <c r="M59" i="29"/>
  <c r="M55" i="29"/>
  <c r="M51" i="29"/>
  <c r="M47" i="29"/>
  <c r="M43" i="29"/>
  <c r="M39" i="29"/>
  <c r="N36" i="29"/>
  <c r="L35" i="29"/>
  <c r="N32" i="29"/>
  <c r="L31" i="29"/>
  <c r="N28" i="29"/>
  <c r="N353" i="29"/>
  <c r="N321" i="29"/>
  <c r="N312" i="29"/>
  <c r="N309" i="29"/>
  <c r="L305" i="29"/>
  <c r="M298" i="29"/>
  <c r="L294" i="29"/>
  <c r="N283" i="29"/>
  <c r="L270" i="29"/>
  <c r="L263" i="29"/>
  <c r="N252" i="29"/>
  <c r="M248" i="29"/>
  <c r="L231" i="29"/>
  <c r="L220" i="29"/>
  <c r="L205" i="29"/>
  <c r="N203" i="29"/>
  <c r="L198" i="29"/>
  <c r="M193" i="29"/>
  <c r="L188" i="29"/>
  <c r="N186" i="29"/>
  <c r="N181" i="29"/>
  <c r="N173" i="29"/>
  <c r="N166" i="29"/>
  <c r="M164" i="29"/>
  <c r="M162" i="29"/>
  <c r="L159" i="29"/>
  <c r="N156" i="29"/>
  <c r="L155" i="29"/>
  <c r="N152" i="29"/>
  <c r="N149" i="29"/>
  <c r="L148" i="29"/>
  <c r="M145" i="29"/>
  <c r="M141" i="29"/>
  <c r="M137" i="29"/>
  <c r="M133" i="29"/>
  <c r="M129" i="29"/>
  <c r="M125" i="29"/>
  <c r="M121" i="29"/>
  <c r="M117" i="29"/>
  <c r="M113" i="29"/>
  <c r="M109" i="29"/>
  <c r="M105" i="29"/>
  <c r="L101" i="29"/>
  <c r="N98" i="29"/>
  <c r="L97" i="29"/>
  <c r="N94" i="29"/>
  <c r="L93" i="29"/>
  <c r="M90" i="29"/>
  <c r="N87" i="29"/>
  <c r="L86" i="29"/>
  <c r="M83" i="29"/>
  <c r="N80" i="29"/>
  <c r="L79" i="29"/>
  <c r="N76" i="29"/>
  <c r="L75" i="29"/>
  <c r="N72" i="29"/>
  <c r="L71" i="29"/>
  <c r="N68" i="29"/>
  <c r="L67" i="29"/>
  <c r="N64" i="29"/>
  <c r="L63" i="29"/>
  <c r="N60" i="29"/>
  <c r="L59" i="29"/>
  <c r="N56" i="29"/>
  <c r="L55" i="29"/>
  <c r="N52" i="29"/>
  <c r="L51" i="29"/>
  <c r="N48" i="29"/>
  <c r="L47" i="29"/>
  <c r="N44" i="29"/>
  <c r="L43" i="29"/>
  <c r="N40" i="29"/>
  <c r="L39" i="29"/>
  <c r="M36" i="29"/>
  <c r="M32" i="29"/>
  <c r="M28" i="29"/>
  <c r="N449" i="29"/>
  <c r="N396" i="29"/>
  <c r="L371" i="29"/>
  <c r="M353" i="29"/>
  <c r="M321" i="29"/>
  <c r="M309" i="29"/>
  <c r="M302" i="29"/>
  <c r="L298" i="29"/>
  <c r="N287" i="29"/>
  <c r="L267" i="29"/>
  <c r="N256" i="29"/>
  <c r="M252" i="29"/>
  <c r="L235" i="29"/>
  <c r="L224" i="29"/>
  <c r="N213" i="29"/>
  <c r="L208" i="29"/>
  <c r="N206" i="29"/>
  <c r="N201" i="29"/>
  <c r="L193" i="29"/>
  <c r="N191" i="29"/>
  <c r="L186" i="29"/>
  <c r="M181" i="29"/>
  <c r="N176" i="29"/>
  <c r="M173" i="29"/>
  <c r="L166" i="29"/>
  <c r="L164" i="29"/>
  <c r="M160" i="29"/>
  <c r="M156" i="29"/>
  <c r="M152" i="29"/>
  <c r="M149" i="29"/>
  <c r="N146" i="29"/>
  <c r="L145" i="29"/>
  <c r="N142" i="29"/>
  <c r="L141" i="29"/>
  <c r="N138" i="29"/>
  <c r="L137" i="29"/>
  <c r="N134" i="29"/>
  <c r="L133" i="29"/>
  <c r="N130" i="29"/>
  <c r="L129" i="29"/>
  <c r="N126" i="29"/>
  <c r="L125" i="29"/>
  <c r="N122" i="29"/>
  <c r="L121" i="29"/>
  <c r="N118" i="29"/>
  <c r="L117" i="29"/>
  <c r="N114" i="29"/>
  <c r="L113" i="29"/>
  <c r="N110" i="29"/>
  <c r="L109" i="29"/>
  <c r="N106" i="29"/>
  <c r="L105" i="29"/>
  <c r="N102" i="29"/>
  <c r="M98" i="29"/>
  <c r="M94" i="29"/>
  <c r="L90" i="29"/>
  <c r="M87" i="29"/>
  <c r="N84" i="29"/>
  <c r="L83" i="29"/>
  <c r="M80" i="29"/>
  <c r="M76" i="29"/>
  <c r="M72" i="29"/>
  <c r="M68" i="29"/>
  <c r="M64" i="29"/>
  <c r="M60" i="29"/>
  <c r="M56" i="29"/>
  <c r="M52" i="29"/>
  <c r="M48" i="29"/>
  <c r="M44" i="29"/>
  <c r="M40" i="29"/>
  <c r="N37" i="29"/>
  <c r="L36" i="29"/>
  <c r="N33" i="29"/>
  <c r="L32" i="29"/>
  <c r="N29" i="29"/>
  <c r="M428" i="29"/>
  <c r="L302" i="29"/>
  <c r="N291" i="29"/>
  <c r="M274" i="29"/>
  <c r="N260" i="29"/>
  <c r="M256" i="29"/>
  <c r="L239" i="29"/>
  <c r="N228" i="29"/>
  <c r="N217" i="29"/>
  <c r="M213" i="29"/>
  <c r="N211" i="29"/>
  <c r="L206" i="29"/>
  <c r="M201" i="29"/>
  <c r="L196" i="29"/>
  <c r="N194" i="29"/>
  <c r="N189" i="29"/>
  <c r="L181" i="29"/>
  <c r="N179" i="29"/>
  <c r="L176" i="29"/>
  <c r="L173" i="29"/>
  <c r="M171" i="29"/>
  <c r="M169" i="29"/>
  <c r="N167" i="29"/>
  <c r="L160" i="29"/>
  <c r="N157" i="29"/>
  <c r="L156" i="29"/>
  <c r="N153" i="29"/>
  <c r="L152" i="29"/>
  <c r="L149" i="29"/>
  <c r="M146" i="29"/>
  <c r="M142" i="29"/>
  <c r="M138" i="29"/>
  <c r="M134" i="29"/>
  <c r="M130" i="29"/>
  <c r="M126" i="29"/>
  <c r="M122" i="29"/>
  <c r="M118" i="29"/>
  <c r="M114" i="29"/>
  <c r="M110" i="29"/>
  <c r="M106" i="29"/>
  <c r="M102" i="29"/>
  <c r="N99" i="29"/>
  <c r="L98" i="29"/>
  <c r="N95" i="29"/>
  <c r="L94" i="29"/>
  <c r="N91" i="29"/>
  <c r="N88" i="29"/>
  <c r="L87" i="29"/>
  <c r="M84" i="29"/>
  <c r="N81" i="29"/>
  <c r="L80" i="29"/>
  <c r="N77" i="29"/>
  <c r="L76" i="29"/>
  <c r="N73" i="29"/>
  <c r="L72" i="29"/>
  <c r="N69" i="29"/>
  <c r="L68" i="29"/>
  <c r="N65" i="29"/>
  <c r="L64" i="29"/>
  <c r="N61" i="29"/>
  <c r="L60" i="29"/>
  <c r="N57" i="29"/>
  <c r="L56" i="29"/>
  <c r="N53" i="29"/>
  <c r="L52" i="29"/>
  <c r="N49" i="29"/>
  <c r="L48" i="29"/>
  <c r="N45" i="29"/>
  <c r="L44" i="29"/>
  <c r="N41" i="29"/>
  <c r="L40" i="29"/>
  <c r="M37" i="29"/>
  <c r="M33" i="29"/>
  <c r="M29" i="29"/>
  <c r="N425" i="29"/>
  <c r="M406" i="29"/>
  <c r="N403" i="29"/>
  <c r="M375" i="29"/>
  <c r="M360" i="29"/>
  <c r="N357" i="29"/>
  <c r="M329" i="29"/>
  <c r="M327" i="29"/>
  <c r="N318" i="29"/>
  <c r="N306" i="29"/>
  <c r="N295" i="29"/>
  <c r="M278" i="29"/>
  <c r="L274" i="29"/>
  <c r="N264" i="29"/>
  <c r="M260" i="29"/>
  <c r="L243" i="29"/>
  <c r="N232" i="29"/>
  <c r="M228" i="29"/>
  <c r="N221" i="29"/>
  <c r="M217" i="29"/>
  <c r="N209" i="29"/>
  <c r="L201" i="29"/>
  <c r="N199" i="29"/>
  <c r="L194" i="29"/>
  <c r="M189" i="29"/>
  <c r="L184" i="29"/>
  <c r="N182" i="29"/>
  <c r="N177" i="29"/>
  <c r="N174" i="29"/>
  <c r="M167" i="29"/>
  <c r="M157" i="29"/>
  <c r="M153" i="29"/>
  <c r="N150" i="29"/>
  <c r="L146" i="29"/>
  <c r="N143" i="29"/>
  <c r="L142" i="29"/>
  <c r="N139" i="29"/>
  <c r="L138" i="29"/>
  <c r="N135" i="29"/>
  <c r="L134" i="29"/>
  <c r="N131" i="29"/>
  <c r="L130" i="29"/>
  <c r="N127" i="29"/>
  <c r="L126" i="29"/>
  <c r="N123" i="29"/>
  <c r="L122" i="29"/>
  <c r="N119" i="29"/>
  <c r="L118" i="29"/>
  <c r="N115" i="29"/>
  <c r="L114" i="29"/>
  <c r="N111" i="29"/>
  <c r="L110" i="29"/>
  <c r="N107" i="29"/>
  <c r="L106" i="29"/>
  <c r="N103" i="29"/>
  <c r="L102" i="29"/>
  <c r="M99" i="29"/>
  <c r="M95" i="29"/>
  <c r="M91" i="29"/>
  <c r="M88" i="29"/>
  <c r="N85" i="29"/>
  <c r="L84" i="29"/>
  <c r="M81" i="29"/>
  <c r="M77" i="29"/>
  <c r="M73" i="29"/>
  <c r="M69" i="29"/>
  <c r="M65" i="29"/>
  <c r="M61" i="29"/>
  <c r="M57" i="29"/>
  <c r="M53" i="29"/>
  <c r="M49" i="29"/>
  <c r="M45" i="29"/>
  <c r="M41" i="29"/>
  <c r="L37" i="29"/>
  <c r="N34" i="29"/>
  <c r="L33" i="29"/>
  <c r="N30" i="29"/>
  <c r="M403" i="29"/>
  <c r="L375" i="29"/>
  <c r="M331" i="29"/>
  <c r="L329" i="29"/>
  <c r="M318" i="29"/>
  <c r="N299" i="29"/>
  <c r="M282" i="29"/>
  <c r="L278" i="29"/>
  <c r="M264" i="29"/>
  <c r="L247" i="29"/>
  <c r="N236" i="29"/>
  <c r="M232" i="29"/>
  <c r="N225" i="29"/>
  <c r="M221" i="29"/>
  <c r="M209" i="29"/>
  <c r="L204" i="29"/>
  <c r="N202" i="29"/>
  <c r="N197" i="29"/>
  <c r="L189" i="29"/>
  <c r="N187" i="29"/>
  <c r="L182" i="29"/>
  <c r="M177" i="29"/>
  <c r="L174" i="29"/>
  <c r="L167" i="29"/>
  <c r="M165" i="29"/>
  <c r="L333" i="29"/>
  <c r="M324" i="29"/>
  <c r="L320" i="29"/>
  <c r="Q320" i="29" s="1"/>
  <c r="N315" i="29"/>
  <c r="L308" i="29"/>
  <c r="N303" i="29"/>
  <c r="M286" i="29"/>
  <c r="L282" i="29"/>
  <c r="N271" i="29"/>
  <c r="L251" i="29"/>
  <c r="N240" i="29"/>
  <c r="M236" i="29"/>
  <c r="M225" i="29"/>
  <c r="L209" i="29"/>
  <c r="N207" i="29"/>
  <c r="L202" i="29"/>
  <c r="M197" i="29"/>
  <c r="L192" i="29"/>
  <c r="N190" i="29"/>
  <c r="N185" i="29"/>
  <c r="L177" i="29"/>
  <c r="N170" i="29"/>
  <c r="N168" i="29"/>
  <c r="M161" i="29"/>
  <c r="M158" i="29"/>
  <c r="M154" i="29"/>
  <c r="N151" i="29"/>
  <c r="L150" i="29"/>
  <c r="M147" i="29"/>
  <c r="N144" i="29"/>
  <c r="L143" i="29"/>
  <c r="N140" i="29"/>
  <c r="L139" i="29"/>
  <c r="N136" i="29"/>
  <c r="L135" i="29"/>
  <c r="N132" i="29"/>
  <c r="L131" i="29"/>
  <c r="N128" i="29"/>
  <c r="L127" i="29"/>
  <c r="N124" i="29"/>
  <c r="L123" i="29"/>
  <c r="N120" i="29"/>
  <c r="L119" i="29"/>
  <c r="N116" i="29"/>
  <c r="L115" i="29"/>
  <c r="N112" i="29"/>
  <c r="L111" i="29"/>
  <c r="N108" i="29"/>
  <c r="L107" i="29"/>
  <c r="N104" i="29"/>
  <c r="L103" i="29"/>
  <c r="M100" i="29"/>
  <c r="M96" i="29"/>
  <c r="M92" i="29"/>
  <c r="N89" i="29"/>
  <c r="L85" i="29"/>
  <c r="M82" i="29"/>
  <c r="M78" i="29"/>
  <c r="M74" i="29"/>
  <c r="M70" i="29"/>
  <c r="M66" i="29"/>
  <c r="M62" i="29"/>
  <c r="M58" i="29"/>
  <c r="M54" i="29"/>
  <c r="M50" i="29"/>
  <c r="M46" i="29"/>
  <c r="M42" i="29"/>
  <c r="M38" i="29"/>
  <c r="N35" i="29"/>
  <c r="L34" i="29"/>
  <c r="N31" i="29"/>
  <c r="L30" i="29"/>
  <c r="M123" i="29"/>
  <c r="N96" i="29"/>
  <c r="L81" i="29"/>
  <c r="N74" i="29"/>
  <c r="L65" i="29"/>
  <c r="N58" i="29"/>
  <c r="L49" i="29"/>
  <c r="N42" i="29"/>
  <c r="N26" i="29"/>
  <c r="L25" i="29"/>
  <c r="N22" i="29"/>
  <c r="L21" i="29"/>
  <c r="N18" i="29"/>
  <c r="L17" i="29"/>
  <c r="N14" i="29"/>
  <c r="L13" i="29"/>
  <c r="N10" i="29"/>
  <c r="L9" i="29"/>
  <c r="M6" i="29"/>
  <c r="L69" i="29"/>
  <c r="N62" i="29"/>
  <c r="N46" i="29"/>
  <c r="L26" i="29"/>
  <c r="L22" i="29"/>
  <c r="N19" i="29"/>
  <c r="L14" i="29"/>
  <c r="N11" i="29"/>
  <c r="L153" i="29"/>
  <c r="M135" i="29"/>
  <c r="M103" i="29"/>
  <c r="M26" i="29"/>
  <c r="M22" i="29"/>
  <c r="M18" i="29"/>
  <c r="M14" i="29"/>
  <c r="M10" i="29"/>
  <c r="N7" i="29"/>
  <c r="L6" i="29"/>
  <c r="N78" i="29"/>
  <c r="L53" i="29"/>
  <c r="M34" i="29"/>
  <c r="N23" i="29"/>
  <c r="L18" i="29"/>
  <c r="N15" i="29"/>
  <c r="M7" i="29"/>
  <c r="M150" i="29"/>
  <c r="M115" i="29"/>
  <c r="N100" i="29"/>
  <c r="L91" i="29"/>
  <c r="L88" i="29"/>
  <c r="L157" i="29"/>
  <c r="N147" i="29"/>
  <c r="M127" i="29"/>
  <c r="M85" i="29"/>
  <c r="L29" i="29"/>
  <c r="N27" i="29"/>
  <c r="M23" i="29"/>
  <c r="M19" i="29"/>
  <c r="M15" i="29"/>
  <c r="M11" i="29"/>
  <c r="L7" i="29"/>
  <c r="M21" i="29"/>
  <c r="N6" i="29"/>
  <c r="M139" i="29"/>
  <c r="M107" i="29"/>
  <c r="L95" i="29"/>
  <c r="N82" i="29"/>
  <c r="L73" i="29"/>
  <c r="N66" i="29"/>
  <c r="L57" i="29"/>
  <c r="N50" i="29"/>
  <c r="L41" i="29"/>
  <c r="L27" i="29"/>
  <c r="N24" i="29"/>
  <c r="L23" i="29"/>
  <c r="N20" i="29"/>
  <c r="L19" i="29"/>
  <c r="N16" i="29"/>
  <c r="L15" i="29"/>
  <c r="N12" i="29"/>
  <c r="L11" i="29"/>
  <c r="N8" i="29"/>
  <c r="N158" i="29"/>
  <c r="M111" i="29"/>
  <c r="L28" i="29"/>
  <c r="M17" i="29"/>
  <c r="M9" i="29"/>
  <c r="N161" i="29"/>
  <c r="N154" i="29"/>
  <c r="M119" i="29"/>
  <c r="M24" i="29"/>
  <c r="M20" i="29"/>
  <c r="M16" i="29"/>
  <c r="M12" i="29"/>
  <c r="M8" i="29"/>
  <c r="N5" i="29"/>
  <c r="L16" i="29"/>
  <c r="L12" i="29"/>
  <c r="N9" i="29"/>
  <c r="M143" i="29"/>
  <c r="M30" i="29"/>
  <c r="M13" i="29"/>
  <c r="M163" i="29"/>
  <c r="M131" i="29"/>
  <c r="L99" i="29"/>
  <c r="N92" i="29"/>
  <c r="L77" i="29"/>
  <c r="N70" i="29"/>
  <c r="L61" i="29"/>
  <c r="N54" i="29"/>
  <c r="L45" i="29"/>
  <c r="N38" i="29"/>
  <c r="N25" i="29"/>
  <c r="L24" i="29"/>
  <c r="N21" i="29"/>
  <c r="L20" i="29"/>
  <c r="N17" i="29"/>
  <c r="N13" i="29"/>
  <c r="L8" i="29"/>
  <c r="M5" i="29"/>
  <c r="M25" i="29"/>
  <c r="L10" i="29"/>
  <c r="L5" i="29"/>
  <c r="Q152" i="2" l="1"/>
  <c r="S152" i="2" s="1"/>
  <c r="Q188" i="2"/>
  <c r="S188" i="2" s="1"/>
  <c r="Q117" i="2"/>
  <c r="S117" i="2" s="1"/>
  <c r="Q180" i="2"/>
  <c r="S180" i="2" s="1"/>
  <c r="Q143" i="2"/>
  <c r="S143" i="2" s="1"/>
  <c r="Q154" i="2"/>
  <c r="S154" i="2" s="1"/>
  <c r="Q172" i="2"/>
  <c r="S172" i="2" s="1"/>
  <c r="Q136" i="2"/>
  <c r="S136" i="2" s="1"/>
  <c r="Q131" i="2"/>
  <c r="S131" i="2" s="1"/>
  <c r="Q5" i="2"/>
  <c r="S5" i="2" s="1"/>
  <c r="Q144" i="2"/>
  <c r="S144" i="2" s="1"/>
  <c r="Q149" i="2"/>
  <c r="S149" i="2" s="1"/>
  <c r="Q125" i="2"/>
  <c r="S125" i="2" s="1"/>
  <c r="Q176" i="2"/>
  <c r="S176" i="2" s="1"/>
  <c r="Q207" i="2"/>
  <c r="S207" i="2" s="1"/>
  <c r="Q208" i="2"/>
  <c r="S208" i="2" s="1"/>
  <c r="Q95" i="2"/>
  <c r="S95" i="2" s="1"/>
  <c r="Q156" i="2"/>
  <c r="S156" i="2" s="1"/>
  <c r="Q166" i="2"/>
  <c r="S166" i="2" s="1"/>
  <c r="Q145" i="2"/>
  <c r="S145" i="2" s="1"/>
  <c r="Q106" i="2"/>
  <c r="S106" i="2" s="1"/>
  <c r="Q148" i="2"/>
  <c r="S148" i="2" s="1"/>
  <c r="Q140" i="2"/>
  <c r="S140" i="2" s="1"/>
  <c r="Q167" i="2"/>
  <c r="S167" i="2" s="1"/>
  <c r="Q212" i="2"/>
  <c r="S212" i="2" s="1"/>
  <c r="Q153" i="2"/>
  <c r="S153" i="2" s="1"/>
  <c r="Q218" i="2"/>
  <c r="S218" i="2" s="1"/>
  <c r="Q135" i="2"/>
  <c r="S135" i="2" s="1"/>
  <c r="Q121" i="2"/>
  <c r="S121" i="2" s="1"/>
  <c r="Q216" i="2"/>
  <c r="S216" i="2" s="1"/>
  <c r="Q227" i="2"/>
  <c r="S227" i="2" s="1"/>
  <c r="Q214" i="2"/>
  <c r="S214" i="2" s="1"/>
  <c r="Q234" i="2"/>
  <c r="S234" i="2" s="1"/>
  <c r="Q30" i="2"/>
  <c r="S30" i="2" s="1"/>
  <c r="Q220" i="2"/>
  <c r="S220" i="2" s="1"/>
  <c r="Q119" i="2"/>
  <c r="S119" i="2" s="1"/>
  <c r="Q164" i="2"/>
  <c r="S164" i="2" s="1"/>
  <c r="Q165" i="2"/>
  <c r="S165" i="2" s="1"/>
  <c r="Q104" i="2"/>
  <c r="S104" i="2" s="1"/>
  <c r="Q201" i="2"/>
  <c r="S201" i="2" s="1"/>
  <c r="Q139" i="2"/>
  <c r="S139" i="2" s="1"/>
  <c r="Q177" i="2"/>
  <c r="S177" i="2" s="1"/>
  <c r="Q157" i="2"/>
  <c r="S157" i="2" s="1"/>
  <c r="Q141" i="2"/>
  <c r="S141" i="2" s="1"/>
  <c r="Q195" i="2"/>
  <c r="S195" i="2" s="1"/>
  <c r="Q178" i="2"/>
  <c r="Q8" i="2"/>
  <c r="Q138" i="29"/>
  <c r="Q168" i="2"/>
  <c r="Q197" i="2"/>
  <c r="Q146" i="2"/>
  <c r="Q14" i="2"/>
  <c r="Q26" i="2"/>
  <c r="Q242" i="2"/>
  <c r="Q12" i="2"/>
  <c r="Q60" i="2"/>
  <c r="Q240" i="2"/>
  <c r="Q42" i="2"/>
  <c r="Q159" i="2"/>
  <c r="Q75" i="2"/>
  <c r="Q39" i="2"/>
  <c r="Q181" i="2"/>
  <c r="Q215" i="2"/>
  <c r="Q10" i="2"/>
  <c r="Q189" i="2"/>
  <c r="Q113" i="2"/>
  <c r="Q223" i="2"/>
  <c r="Q205" i="2"/>
  <c r="Q206" i="2"/>
  <c r="Q160" i="2"/>
  <c r="Q90" i="2"/>
  <c r="Q63" i="2"/>
  <c r="Q128" i="2"/>
  <c r="Q68" i="2"/>
  <c r="Q185" i="2"/>
  <c r="Q38" i="2"/>
  <c r="Q169" i="2"/>
  <c r="Q51" i="2"/>
  <c r="Q65" i="2"/>
  <c r="Q112" i="2"/>
  <c r="Q61" i="2"/>
  <c r="Q84" i="2"/>
  <c r="Q171" i="2"/>
  <c r="Q194" i="2"/>
  <c r="Q198" i="2"/>
  <c r="Q179" i="2"/>
  <c r="Q109" i="2"/>
  <c r="Q41" i="2"/>
  <c r="Q130" i="2"/>
  <c r="Q107" i="2"/>
  <c r="Q230" i="2"/>
  <c r="Q147" i="2"/>
  <c r="Q13" i="2"/>
  <c r="Q49" i="2"/>
  <c r="Q108" i="2"/>
  <c r="Q48" i="2"/>
  <c r="Q35" i="2"/>
  <c r="Q79" i="2"/>
  <c r="Q110" i="2"/>
  <c r="Q7" i="2"/>
  <c r="Q228" i="2"/>
  <c r="Q18" i="2"/>
  <c r="Q150" i="2"/>
  <c r="Q37" i="2"/>
  <c r="Q52" i="2"/>
  <c r="Q54" i="2"/>
  <c r="Q67" i="2"/>
  <c r="Q236" i="2"/>
  <c r="Q173" i="2"/>
  <c r="Q158" i="2"/>
  <c r="Q23" i="2"/>
  <c r="Q47" i="2"/>
  <c r="Q111" i="2"/>
  <c r="Q71" i="2"/>
  <c r="Q69" i="2"/>
  <c r="Q209" i="2"/>
  <c r="Q74" i="2"/>
  <c r="Q9" i="2"/>
  <c r="Q182" i="2"/>
  <c r="Q129" i="2"/>
  <c r="Q86" i="2"/>
  <c r="Q72" i="2"/>
  <c r="Q210" i="2"/>
  <c r="Q50" i="2"/>
  <c r="Q78" i="2"/>
  <c r="Q32" i="2"/>
  <c r="Q190" i="2"/>
  <c r="Q232" i="2"/>
  <c r="Q81" i="2"/>
  <c r="Q53" i="2"/>
  <c r="Q200" i="2"/>
  <c r="Q15" i="2"/>
  <c r="Q56" i="2"/>
  <c r="Q70" i="2"/>
  <c r="Q161" i="2"/>
  <c r="Q16" i="2"/>
  <c r="Q85" i="2"/>
  <c r="Q20" i="2"/>
  <c r="Q36" i="2"/>
  <c r="Q77" i="2"/>
  <c r="Q45" i="2"/>
  <c r="Q224" i="2"/>
  <c r="Q64" i="2"/>
  <c r="Q97" i="2"/>
  <c r="Q89" i="2"/>
  <c r="Q174" i="2"/>
  <c r="Q222" i="2"/>
  <c r="Q219" i="2"/>
  <c r="Q102" i="2"/>
  <c r="Q62" i="2"/>
  <c r="Q11" i="2"/>
  <c r="Q238" i="2"/>
  <c r="Q80" i="2"/>
  <c r="Q229" i="2"/>
  <c r="Q105" i="2"/>
  <c r="Q82" i="2"/>
  <c r="Q122" i="2"/>
  <c r="Q118" i="2"/>
  <c r="Q123" i="2"/>
  <c r="Q29" i="2"/>
  <c r="Q241" i="2"/>
  <c r="Q120" i="2"/>
  <c r="Q186" i="2"/>
  <c r="Q221" i="2"/>
  <c r="Q231" i="2"/>
  <c r="Q239" i="2"/>
  <c r="Q213" i="2"/>
  <c r="Q24" i="2"/>
  <c r="Q114" i="2"/>
  <c r="Q175" i="2"/>
  <c r="Q202" i="2"/>
  <c r="Q196" i="2"/>
  <c r="Q44" i="2"/>
  <c r="Q17" i="2"/>
  <c r="Q66" i="2"/>
  <c r="Q217" i="2"/>
  <c r="Q170" i="2"/>
  <c r="Q55" i="2"/>
  <c r="Q98" i="2"/>
  <c r="Q25" i="2"/>
  <c r="Q19" i="2"/>
  <c r="Q46" i="2"/>
  <c r="Q191" i="2"/>
  <c r="Q162" i="2"/>
  <c r="Q187" i="2"/>
  <c r="Q76" i="2"/>
  <c r="Q83" i="2"/>
  <c r="Q115" i="2"/>
  <c r="Q127" i="2"/>
  <c r="Q163" i="2"/>
  <c r="Q28" i="2"/>
  <c r="Q88" i="2"/>
  <c r="Q58" i="2"/>
  <c r="Q94" i="2"/>
  <c r="Q138" i="2"/>
  <c r="Q34" i="2"/>
  <c r="Q43" i="2"/>
  <c r="Q116" i="2"/>
  <c r="Q40" i="2"/>
  <c r="Q6" i="2"/>
  <c r="Q93" i="2"/>
  <c r="Q192" i="2"/>
  <c r="Q155" i="2"/>
  <c r="Q211" i="2"/>
  <c r="Q235" i="2"/>
  <c r="Q243" i="2"/>
  <c r="Q27" i="2"/>
  <c r="Q87" i="2"/>
  <c r="Q57" i="2"/>
  <c r="Q204" i="2"/>
  <c r="Q237" i="2"/>
  <c r="Q226" i="2"/>
  <c r="Q132" i="2"/>
  <c r="Q126" i="2"/>
  <c r="Q21" i="2"/>
  <c r="Q103" i="2"/>
  <c r="Q31" i="2"/>
  <c r="Q137" i="2"/>
  <c r="Q203" i="2"/>
  <c r="Q96" i="2"/>
  <c r="Q106" i="29"/>
  <c r="Q129" i="29"/>
  <c r="Q317" i="29"/>
  <c r="Q426" i="29"/>
  <c r="Q157" i="29"/>
  <c r="Q102" i="29"/>
  <c r="Q134" i="29"/>
  <c r="Q270" i="29"/>
  <c r="Q118" i="29"/>
  <c r="Q18" i="29"/>
  <c r="Q192" i="29"/>
  <c r="Q55" i="29"/>
  <c r="Q450" i="29"/>
  <c r="Q420" i="29"/>
  <c r="Q8" i="29"/>
  <c r="Q33" i="29"/>
  <c r="Q63" i="29"/>
  <c r="Q387" i="29"/>
  <c r="Q369" i="29"/>
  <c r="Q69" i="29"/>
  <c r="Q37" i="29"/>
  <c r="Q101" i="29"/>
  <c r="Q42" i="29"/>
  <c r="Q232" i="29"/>
  <c r="Q264" i="29"/>
  <c r="Q234" i="29"/>
  <c r="Q250" i="29"/>
  <c r="Q266" i="29"/>
  <c r="Q356" i="29"/>
  <c r="Q233" i="29"/>
  <c r="Q265" i="29"/>
  <c r="Q113" i="29"/>
  <c r="Q145" i="29"/>
  <c r="Q208" i="29"/>
  <c r="Q401" i="29"/>
  <c r="Q117" i="29"/>
  <c r="Q49" i="29"/>
  <c r="Q204" i="29"/>
  <c r="Q278" i="29"/>
  <c r="Q56" i="29"/>
  <c r="Q239" i="29"/>
  <c r="Q125" i="29"/>
  <c r="Q220" i="29"/>
  <c r="Q444" i="29"/>
  <c r="Q209" i="29"/>
  <c r="Q57" i="29"/>
  <c r="Q65" i="29"/>
  <c r="Q44" i="29"/>
  <c r="Q210" i="29"/>
  <c r="Q366" i="29"/>
  <c r="Q61" i="29"/>
  <c r="Q19" i="29"/>
  <c r="Q150" i="29"/>
  <c r="Q182" i="29"/>
  <c r="Q130" i="29"/>
  <c r="Q173" i="29"/>
  <c r="Q188" i="29"/>
  <c r="Q216" i="29"/>
  <c r="Q147" i="29"/>
  <c r="Q414" i="29"/>
  <c r="Q171" i="29"/>
  <c r="Q284" i="29"/>
  <c r="Q319" i="29"/>
  <c r="Q295" i="29"/>
  <c r="Q421" i="29"/>
  <c r="Q332" i="29"/>
  <c r="Q348" i="29"/>
  <c r="Q423" i="29"/>
  <c r="Q380" i="29"/>
  <c r="Q415" i="29"/>
  <c r="Q29" i="29"/>
  <c r="Q174" i="29"/>
  <c r="Q110" i="29"/>
  <c r="Q142" i="29"/>
  <c r="Q177" i="29"/>
  <c r="Q308" i="29"/>
  <c r="Q60" i="29"/>
  <c r="Q76" i="29"/>
  <c r="Q90" i="29"/>
  <c r="Q155" i="29"/>
  <c r="Q379" i="29"/>
  <c r="Q314" i="29"/>
  <c r="Q341" i="29"/>
  <c r="Q382" i="29"/>
  <c r="Q398" i="29"/>
  <c r="Q351" i="29"/>
  <c r="Q28" i="29"/>
  <c r="Q153" i="29"/>
  <c r="Q21" i="29"/>
  <c r="Q114" i="29"/>
  <c r="Q146" i="29"/>
  <c r="Q184" i="29"/>
  <c r="Q152" i="29"/>
  <c r="Q206" i="29"/>
  <c r="Q51" i="29"/>
  <c r="Q67" i="29"/>
  <c r="Q178" i="29"/>
  <c r="Q58" i="29"/>
  <c r="Q197" i="29"/>
  <c r="Q248" i="29"/>
  <c r="Q281" i="29"/>
  <c r="Q297" i="29"/>
  <c r="Q345" i="29"/>
  <c r="Q424" i="29"/>
  <c r="Q300" i="29"/>
  <c r="Q249" i="29"/>
  <c r="Q279" i="29"/>
  <c r="Q441" i="29"/>
  <c r="Q447" i="29"/>
  <c r="Q422" i="29"/>
  <c r="Q436" i="29"/>
  <c r="Q364" i="29"/>
  <c r="Q396" i="29"/>
  <c r="Q73" i="29"/>
  <c r="Q81" i="29"/>
  <c r="Q103" i="29"/>
  <c r="Q119" i="29"/>
  <c r="Q135" i="29"/>
  <c r="Q329" i="29"/>
  <c r="Q48" i="29"/>
  <c r="Q64" i="29"/>
  <c r="Q80" i="29"/>
  <c r="Q98" i="29"/>
  <c r="Q224" i="29"/>
  <c r="Q86" i="29"/>
  <c r="Q159" i="29"/>
  <c r="Q263" i="29"/>
  <c r="Q96" i="29"/>
  <c r="Q286" i="29"/>
  <c r="Q217" i="29"/>
  <c r="Q169" i="29"/>
  <c r="Q349" i="29"/>
  <c r="Q417" i="29"/>
  <c r="Q219" i="29"/>
  <c r="Q363" i="29"/>
  <c r="Q269" i="29"/>
  <c r="Q218" i="29"/>
  <c r="Q322" i="29"/>
  <c r="Q403" i="29"/>
  <c r="Q339" i="29"/>
  <c r="Q373" i="29"/>
  <c r="Q389" i="29"/>
  <c r="Q330" i="29"/>
  <c r="Q418" i="29"/>
  <c r="Q5" i="29"/>
  <c r="Q194" i="29"/>
  <c r="Q243" i="29"/>
  <c r="Q186" i="29"/>
  <c r="Q254" i="29"/>
  <c r="Q272" i="29"/>
  <c r="Q288" i="29"/>
  <c r="Q433" i="29"/>
  <c r="Q407" i="29"/>
  <c r="Q88" i="29"/>
  <c r="Q247" i="29"/>
  <c r="Q375" i="29"/>
  <c r="Q121" i="29"/>
  <c r="Q223" i="29"/>
  <c r="Q27" i="29"/>
  <c r="Q91" i="29"/>
  <c r="Q85" i="29"/>
  <c r="Q84" i="29"/>
  <c r="Q201" i="29"/>
  <c r="Q87" i="29"/>
  <c r="Q160" i="29"/>
  <c r="Q371" i="29"/>
  <c r="Q294" i="29"/>
  <c r="Q180" i="29"/>
  <c r="Q273" i="29"/>
  <c r="Q289" i="29"/>
  <c r="Q242" i="29"/>
  <c r="Q258" i="29"/>
  <c r="Q307" i="29"/>
  <c r="Q395" i="29"/>
  <c r="Q276" i="29"/>
  <c r="Q310" i="29"/>
  <c r="Q438" i="29"/>
  <c r="Q429" i="29"/>
  <c r="Q116" i="29"/>
  <c r="Q370" i="29"/>
  <c r="Q7" i="29"/>
  <c r="Q176" i="29"/>
  <c r="Q386" i="29"/>
  <c r="Q133" i="29"/>
  <c r="Q227" i="29"/>
  <c r="Q203" i="29"/>
  <c r="Q318" i="29"/>
  <c r="Q74" i="29"/>
  <c r="Q20" i="29"/>
  <c r="Q187" i="29"/>
  <c r="Q346" i="29"/>
  <c r="Q132" i="29"/>
  <c r="Q402" i="29"/>
  <c r="Q151" i="29"/>
  <c r="Q6" i="29"/>
  <c r="Q115" i="29"/>
  <c r="Q131" i="29"/>
  <c r="Q94" i="29"/>
  <c r="Q149" i="29"/>
  <c r="Q36" i="29"/>
  <c r="Q298" i="29"/>
  <c r="Q175" i="29"/>
  <c r="Q92" i="29"/>
  <c r="Q168" i="29"/>
  <c r="Q213" i="29"/>
  <c r="Q321" i="29"/>
  <c r="Q163" i="29"/>
  <c r="Q183" i="29"/>
  <c r="Q199" i="29"/>
  <c r="Q215" i="29"/>
  <c r="Q316" i="29"/>
  <c r="Q214" i="29"/>
  <c r="Q312" i="29"/>
  <c r="Q311" i="29"/>
  <c r="Q335" i="29"/>
  <c r="Q385" i="29"/>
  <c r="Q354" i="29"/>
  <c r="Q342" i="29"/>
  <c r="Q77" i="29"/>
  <c r="Q9" i="29"/>
  <c r="Q25" i="29"/>
  <c r="Q251" i="29"/>
  <c r="Q189" i="29"/>
  <c r="Q156" i="29"/>
  <c r="Q302" i="29"/>
  <c r="Q235" i="29"/>
  <c r="Q39" i="29"/>
  <c r="Q71" i="29"/>
  <c r="Q198" i="29"/>
  <c r="Q104" i="29"/>
  <c r="Q120" i="29"/>
  <c r="Q136" i="29"/>
  <c r="Q185" i="29"/>
  <c r="Q46" i="29"/>
  <c r="Q62" i="29"/>
  <c r="Q78" i="29"/>
  <c r="Q236" i="29"/>
  <c r="Q252" i="29"/>
  <c r="Q408" i="29"/>
  <c r="Q285" i="29"/>
  <c r="Q301" i="29"/>
  <c r="Q323" i="29"/>
  <c r="Q238" i="29"/>
  <c r="Q237" i="29"/>
  <c r="Q253" i="29"/>
  <c r="Q268" i="29"/>
  <c r="Q283" i="29"/>
  <c r="Q299" i="29"/>
  <c r="Q428" i="29"/>
  <c r="Q445" i="29"/>
  <c r="Q336" i="29"/>
  <c r="Q352" i="29"/>
  <c r="Q405" i="29"/>
  <c r="Q427" i="29"/>
  <c r="Q355" i="29"/>
  <c r="Q358" i="29"/>
  <c r="Q439" i="29"/>
  <c r="Q368" i="29"/>
  <c r="Q384" i="29"/>
  <c r="Q400" i="29"/>
  <c r="Q23" i="29"/>
  <c r="Q14" i="29"/>
  <c r="Q10" i="29"/>
  <c r="Q24" i="29"/>
  <c r="Q12" i="29"/>
  <c r="Q95" i="29"/>
  <c r="Q107" i="29"/>
  <c r="Q123" i="29"/>
  <c r="Q139" i="29"/>
  <c r="Q333" i="29"/>
  <c r="Q52" i="29"/>
  <c r="Q68" i="29"/>
  <c r="Q181" i="29"/>
  <c r="Q105" i="29"/>
  <c r="Q137" i="29"/>
  <c r="Q100" i="29"/>
  <c r="Q154" i="29"/>
  <c r="Q212" i="29"/>
  <c r="Q315" i="29"/>
  <c r="Q221" i="29"/>
  <c r="Q367" i="29"/>
  <c r="Q191" i="29"/>
  <c r="Q207" i="29"/>
  <c r="Q304" i="29"/>
  <c r="Q326" i="29"/>
  <c r="Q222" i="29"/>
  <c r="Q383" i="29"/>
  <c r="Q353" i="29"/>
  <c r="Q406" i="29"/>
  <c r="Q431" i="29"/>
  <c r="Q374" i="29"/>
  <c r="Q390" i="29"/>
  <c r="Q327" i="29"/>
  <c r="Q343" i="29"/>
  <c r="Q361" i="29"/>
  <c r="Q377" i="29"/>
  <c r="Q393" i="29"/>
  <c r="Q410" i="29"/>
  <c r="Q442" i="29"/>
  <c r="Q334" i="29"/>
  <c r="Q350" i="29"/>
  <c r="Q425" i="29"/>
  <c r="Q449" i="29"/>
  <c r="Q99" i="29"/>
  <c r="Q122" i="29"/>
  <c r="Q83" i="29"/>
  <c r="Q193" i="29"/>
  <c r="Q43" i="29"/>
  <c r="Q59" i="29"/>
  <c r="Q75" i="29"/>
  <c r="Q93" i="29"/>
  <c r="Q148" i="29"/>
  <c r="Q205" i="29"/>
  <c r="Q31" i="29"/>
  <c r="Q108" i="29"/>
  <c r="Q124" i="29"/>
  <c r="Q140" i="29"/>
  <c r="Q259" i="29"/>
  <c r="Q50" i="29"/>
  <c r="Q66" i="29"/>
  <c r="Q82" i="29"/>
  <c r="Q324" i="29"/>
  <c r="Q240" i="29"/>
  <c r="Q256" i="29"/>
  <c r="Q430" i="29"/>
  <c r="Q162" i="29"/>
  <c r="Q292" i="29"/>
  <c r="Q241" i="29"/>
  <c r="Q257" i="29"/>
  <c r="Q271" i="29"/>
  <c r="Q287" i="29"/>
  <c r="Q303" i="29"/>
  <c r="Q325" i="29"/>
  <c r="Q409" i="29"/>
  <c r="Q340" i="29"/>
  <c r="Q411" i="29"/>
  <c r="Q416" i="29"/>
  <c r="Q437" i="29"/>
  <c r="Q372" i="29"/>
  <c r="Q388" i="29"/>
  <c r="Q16" i="29"/>
  <c r="Q13" i="29"/>
  <c r="Q282" i="29"/>
  <c r="Q41" i="29"/>
  <c r="Q53" i="29"/>
  <c r="Q26" i="29"/>
  <c r="Q111" i="29"/>
  <c r="Q127" i="29"/>
  <c r="Q143" i="29"/>
  <c r="Q167" i="29"/>
  <c r="Q274" i="29"/>
  <c r="Q40" i="29"/>
  <c r="Q72" i="29"/>
  <c r="Q32" i="29"/>
  <c r="Q109" i="29"/>
  <c r="Q141" i="29"/>
  <c r="Q164" i="29"/>
  <c r="Q267" i="29"/>
  <c r="Q89" i="29"/>
  <c r="Q170" i="29"/>
  <c r="Q200" i="29"/>
  <c r="Q158" i="29"/>
  <c r="Q225" i="29"/>
  <c r="Q309" i="29"/>
  <c r="Q179" i="29"/>
  <c r="Q195" i="29"/>
  <c r="Q211" i="29"/>
  <c r="Q313" i="29"/>
  <c r="Q161" i="29"/>
  <c r="Q306" i="29"/>
  <c r="Q434" i="29"/>
  <c r="Q357" i="29"/>
  <c r="Q412" i="29"/>
  <c r="Q435" i="29"/>
  <c r="Q362" i="29"/>
  <c r="Q378" i="29"/>
  <c r="Q394" i="29"/>
  <c r="Q419" i="29"/>
  <c r="Q331" i="29"/>
  <c r="Q347" i="29"/>
  <c r="Q365" i="29"/>
  <c r="Q381" i="29"/>
  <c r="Q397" i="29"/>
  <c r="Q413" i="29"/>
  <c r="Q404" i="29"/>
  <c r="Q446" i="29"/>
  <c r="Q338" i="29"/>
  <c r="Q11" i="29"/>
  <c r="Q22" i="29"/>
  <c r="Q30" i="29"/>
  <c r="Q202" i="29"/>
  <c r="Q45" i="29"/>
  <c r="Q15" i="29"/>
  <c r="Q17" i="29"/>
  <c r="Q34" i="29"/>
  <c r="Q126" i="29"/>
  <c r="Q196" i="29"/>
  <c r="Q166" i="29"/>
  <c r="Q47" i="29"/>
  <c r="Q79" i="29"/>
  <c r="Q97" i="29"/>
  <c r="Q231" i="29"/>
  <c r="Q305" i="29"/>
  <c r="Q35" i="29"/>
  <c r="Q112" i="29"/>
  <c r="Q128" i="29"/>
  <c r="Q144" i="29"/>
  <c r="Q172" i="29"/>
  <c r="Q290" i="29"/>
  <c r="Q38" i="29"/>
  <c r="Q54" i="29"/>
  <c r="Q70" i="29"/>
  <c r="Q190" i="29"/>
  <c r="Q255" i="29"/>
  <c r="Q228" i="29"/>
  <c r="Q244" i="29"/>
  <c r="Q260" i="29"/>
  <c r="Q277" i="29"/>
  <c r="Q293" i="29"/>
  <c r="Q337" i="29"/>
  <c r="Q399" i="29"/>
  <c r="Q230" i="29"/>
  <c r="Q246" i="29"/>
  <c r="Q262" i="29"/>
  <c r="Q165" i="29"/>
  <c r="Q226" i="29"/>
  <c r="Q280" i="29"/>
  <c r="Q296" i="29"/>
  <c r="Q391" i="29"/>
  <c r="Q229" i="29"/>
  <c r="Q245" i="29"/>
  <c r="Q261" i="29"/>
  <c r="Q275" i="29"/>
  <c r="Q291" i="29"/>
  <c r="Q448" i="29"/>
  <c r="Q360" i="29"/>
  <c r="Q328" i="29"/>
  <c r="Q344" i="29"/>
  <c r="Q440" i="29"/>
  <c r="Q443" i="29"/>
  <c r="Q432" i="29"/>
  <c r="Q376" i="29"/>
  <c r="Q392" i="29"/>
  <c r="AS13" i="9"/>
  <c r="AA13" i="9"/>
  <c r="Z13" i="9"/>
  <c r="T13" i="9"/>
  <c r="S13" i="9"/>
  <c r="P13" i="9"/>
  <c r="O13" i="9"/>
  <c r="K13" i="9"/>
  <c r="J13" i="9"/>
  <c r="H13" i="9"/>
  <c r="G13" i="9"/>
  <c r="D13" i="9"/>
  <c r="AT13" i="9" s="1"/>
  <c r="C13" i="9"/>
  <c r="AV12" i="9"/>
  <c r="AU12" i="9"/>
  <c r="AT12" i="9"/>
  <c r="AO12" i="9"/>
  <c r="AN12" i="9"/>
  <c r="AM12" i="9"/>
  <c r="AL12" i="9"/>
  <c r="AR12" i="9" s="1"/>
  <c r="AK12" i="9"/>
  <c r="AJ12" i="9"/>
  <c r="AI12" i="9"/>
  <c r="AH12" i="9"/>
  <c r="AG12" i="9"/>
  <c r="AF12" i="9"/>
  <c r="AE12" i="9"/>
  <c r="AD12" i="9"/>
  <c r="AC12" i="9"/>
  <c r="AB12" i="9"/>
  <c r="Y12" i="9"/>
  <c r="X12" i="9"/>
  <c r="W12" i="9"/>
  <c r="V12" i="9"/>
  <c r="U12" i="9"/>
  <c r="R12" i="9"/>
  <c r="Q12" i="9"/>
  <c r="N12" i="9"/>
  <c r="AQ12" i="9" s="1"/>
  <c r="M12" i="9"/>
  <c r="L12" i="9"/>
  <c r="I12" i="9"/>
  <c r="AP12" i="9" s="1"/>
  <c r="F12" i="9"/>
  <c r="E12" i="9"/>
  <c r="AV11" i="9"/>
  <c r="AU11" i="9"/>
  <c r="AT11" i="9"/>
  <c r="AO11" i="9"/>
  <c r="AN11" i="9"/>
  <c r="AM11" i="9"/>
  <c r="AL11" i="9"/>
  <c r="AR11" i="9" s="1"/>
  <c r="AK11" i="9"/>
  <c r="AJ11" i="9"/>
  <c r="AI11" i="9"/>
  <c r="AH11" i="9"/>
  <c r="AG11" i="9"/>
  <c r="AF11" i="9"/>
  <c r="AE11" i="9"/>
  <c r="AD11" i="9"/>
  <c r="AC11" i="9"/>
  <c r="AB11" i="9"/>
  <c r="Y11" i="9"/>
  <c r="X11" i="9"/>
  <c r="W11" i="9"/>
  <c r="V11" i="9"/>
  <c r="U11" i="9"/>
  <c r="R11" i="9"/>
  <c r="Q11" i="9"/>
  <c r="N11" i="9"/>
  <c r="AQ11" i="9" s="1"/>
  <c r="M11" i="9"/>
  <c r="L11" i="9"/>
  <c r="I11" i="9"/>
  <c r="AP11" i="9" s="1"/>
  <c r="F11" i="9"/>
  <c r="E11" i="9"/>
  <c r="AV10" i="9"/>
  <c r="AU10" i="9"/>
  <c r="AT10" i="9"/>
  <c r="AP10" i="9"/>
  <c r="AO10" i="9"/>
  <c r="AN10" i="9"/>
  <c r="AM10" i="9"/>
  <c r="AL10" i="9"/>
  <c r="AR10" i="9" s="1"/>
  <c r="AK10" i="9"/>
  <c r="AJ10" i="9"/>
  <c r="AI10" i="9"/>
  <c r="AH10" i="9"/>
  <c r="AG10" i="9"/>
  <c r="AF10" i="9"/>
  <c r="AE10" i="9"/>
  <c r="AD10" i="9"/>
  <c r="AC10" i="9"/>
  <c r="AB10" i="9"/>
  <c r="Y10" i="9"/>
  <c r="X10" i="9"/>
  <c r="W10" i="9"/>
  <c r="V10" i="9"/>
  <c r="U10" i="9"/>
  <c r="R10" i="9"/>
  <c r="Q10" i="9"/>
  <c r="N10" i="9"/>
  <c r="AQ10" i="9" s="1"/>
  <c r="M10" i="9"/>
  <c r="L10" i="9"/>
  <c r="I10" i="9"/>
  <c r="F10" i="9"/>
  <c r="E10" i="9"/>
  <c r="AV9" i="9"/>
  <c r="AU9" i="9"/>
  <c r="AT9" i="9"/>
  <c r="AO9" i="9"/>
  <c r="AN9" i="9"/>
  <c r="AM9" i="9"/>
  <c r="AL9" i="9"/>
  <c r="AR9" i="9" s="1"/>
  <c r="AK9" i="9"/>
  <c r="AJ9" i="9"/>
  <c r="AI9" i="9"/>
  <c r="AH9" i="9"/>
  <c r="AG9" i="9"/>
  <c r="AF9" i="9"/>
  <c r="AE9" i="9"/>
  <c r="AD9" i="9"/>
  <c r="AC9" i="9"/>
  <c r="AB9" i="9"/>
  <c r="Y9" i="9"/>
  <c r="X9" i="9"/>
  <c r="W9" i="9"/>
  <c r="V9" i="9"/>
  <c r="U9" i="9"/>
  <c r="R9" i="9"/>
  <c r="Q9" i="9"/>
  <c r="N9" i="9"/>
  <c r="AQ9" i="9" s="1"/>
  <c r="M9" i="9"/>
  <c r="L9" i="9"/>
  <c r="I9" i="9"/>
  <c r="AP9" i="9" s="1"/>
  <c r="F9" i="9"/>
  <c r="E9" i="9"/>
  <c r="AV8" i="9"/>
  <c r="AU8" i="9"/>
  <c r="AT8" i="9"/>
  <c r="AO8" i="9"/>
  <c r="AN8" i="9"/>
  <c r="AM8" i="9"/>
  <c r="AL8" i="9"/>
  <c r="AR8" i="9" s="1"/>
  <c r="AK8" i="9"/>
  <c r="AJ8" i="9"/>
  <c r="AI8" i="9"/>
  <c r="AH8" i="9"/>
  <c r="AG8" i="9"/>
  <c r="AF8" i="9"/>
  <c r="AE8" i="9"/>
  <c r="AD8" i="9"/>
  <c r="AC8" i="9"/>
  <c r="AB8" i="9"/>
  <c r="Y8" i="9"/>
  <c r="X8" i="9"/>
  <c r="W8" i="9"/>
  <c r="V8" i="9"/>
  <c r="U8" i="9"/>
  <c r="R8" i="9"/>
  <c r="Q8" i="9"/>
  <c r="N8" i="9"/>
  <c r="AQ8" i="9" s="1"/>
  <c r="M8" i="9"/>
  <c r="L8" i="9"/>
  <c r="I8" i="9"/>
  <c r="AP8" i="9" s="1"/>
  <c r="F8" i="9"/>
  <c r="E8" i="9"/>
  <c r="AV7" i="9"/>
  <c r="AU7" i="9"/>
  <c r="AT7" i="9"/>
  <c r="AO7" i="9"/>
  <c r="AN7" i="9"/>
  <c r="AM7" i="9"/>
  <c r="AL7" i="9"/>
  <c r="AR7" i="9" s="1"/>
  <c r="AK7" i="9"/>
  <c r="AJ7" i="9"/>
  <c r="AI7" i="9"/>
  <c r="AH7" i="9"/>
  <c r="AG7" i="9"/>
  <c r="AF7" i="9"/>
  <c r="AE7" i="9"/>
  <c r="AD7" i="9"/>
  <c r="AC7" i="9"/>
  <c r="AB7" i="9"/>
  <c r="Y7" i="9"/>
  <c r="X7" i="9"/>
  <c r="W7" i="9"/>
  <c r="V7" i="9"/>
  <c r="U7" i="9"/>
  <c r="R7" i="9"/>
  <c r="Q7" i="9"/>
  <c r="N7" i="9"/>
  <c r="AQ7" i="9" s="1"/>
  <c r="M7" i="9"/>
  <c r="L7" i="9"/>
  <c r="I7" i="9"/>
  <c r="AP7" i="9" s="1"/>
  <c r="F7" i="9"/>
  <c r="E7" i="9"/>
  <c r="AV6" i="9"/>
  <c r="AU6" i="9"/>
  <c r="AT6" i="9"/>
  <c r="AO6" i="9"/>
  <c r="AN6" i="9"/>
  <c r="AM6" i="9"/>
  <c r="AL6" i="9"/>
  <c r="AR6" i="9" s="1"/>
  <c r="AK6" i="9"/>
  <c r="AJ6" i="9"/>
  <c r="AI6" i="9"/>
  <c r="AH6" i="9"/>
  <c r="AG6" i="9"/>
  <c r="AF6" i="9"/>
  <c r="AE6" i="9"/>
  <c r="AD6" i="9"/>
  <c r="AC6" i="9"/>
  <c r="AB6" i="9"/>
  <c r="Y6" i="9"/>
  <c r="X6" i="9"/>
  <c r="W6" i="9"/>
  <c r="V6" i="9"/>
  <c r="U6" i="9"/>
  <c r="R6" i="9"/>
  <c r="Q6" i="9"/>
  <c r="N6" i="9"/>
  <c r="AQ6" i="9" s="1"/>
  <c r="M6" i="9"/>
  <c r="L6" i="9"/>
  <c r="I6" i="9"/>
  <c r="AP6" i="9" s="1"/>
  <c r="F6" i="9"/>
  <c r="E6" i="9"/>
  <c r="AV5" i="9"/>
  <c r="AU5" i="9"/>
  <c r="AT5" i="9"/>
  <c r="AO5" i="9"/>
  <c r="AN5" i="9"/>
  <c r="AM5" i="9"/>
  <c r="AL5" i="9"/>
  <c r="AR5" i="9" s="1"/>
  <c r="AK5" i="9"/>
  <c r="AJ5" i="9"/>
  <c r="AI5" i="9"/>
  <c r="AH5" i="9"/>
  <c r="AG5" i="9"/>
  <c r="AF5" i="9"/>
  <c r="AE5" i="9"/>
  <c r="AD5" i="9"/>
  <c r="AC5" i="9"/>
  <c r="AB5" i="9"/>
  <c r="Y5" i="9"/>
  <c r="X5" i="9"/>
  <c r="W5" i="9"/>
  <c r="V5" i="9"/>
  <c r="U5" i="9"/>
  <c r="R5" i="9"/>
  <c r="Q5" i="9"/>
  <c r="N5" i="9"/>
  <c r="AQ5" i="9" s="1"/>
  <c r="M5" i="9"/>
  <c r="L5" i="9"/>
  <c r="I5" i="9"/>
  <c r="AP5" i="9" s="1"/>
  <c r="F5" i="9"/>
  <c r="E5" i="9"/>
  <c r="AV4" i="9"/>
  <c r="AU4" i="9"/>
  <c r="AT4" i="9"/>
  <c r="AO4" i="9"/>
  <c r="AN4" i="9"/>
  <c r="AM4" i="9"/>
  <c r="AL4" i="9"/>
  <c r="AR4" i="9" s="1"/>
  <c r="AK4" i="9"/>
  <c r="AJ4" i="9"/>
  <c r="AI4" i="9"/>
  <c r="AH4" i="9"/>
  <c r="AG4" i="9"/>
  <c r="AF4" i="9"/>
  <c r="AE4" i="9"/>
  <c r="AD4" i="9"/>
  <c r="AC4" i="9"/>
  <c r="AB4" i="9"/>
  <c r="Y4" i="9"/>
  <c r="X4" i="9"/>
  <c r="W4" i="9"/>
  <c r="V4" i="9"/>
  <c r="U4" i="9"/>
  <c r="R4" i="9"/>
  <c r="Q4" i="9"/>
  <c r="N4" i="9"/>
  <c r="AQ4" i="9" s="1"/>
  <c r="M4" i="9"/>
  <c r="L4" i="9"/>
  <c r="I4" i="9"/>
  <c r="AP4" i="9" s="1"/>
  <c r="F4" i="9"/>
  <c r="E4" i="9"/>
  <c r="AV3" i="9"/>
  <c r="AU3" i="9"/>
  <c r="AT3" i="9"/>
  <c r="AO3" i="9"/>
  <c r="AN3" i="9"/>
  <c r="AM3" i="9"/>
  <c r="AL3" i="9"/>
  <c r="AR3" i="9" s="1"/>
  <c r="AK3" i="9"/>
  <c r="AJ3" i="9"/>
  <c r="AI3" i="9"/>
  <c r="AH3" i="9"/>
  <c r="AG3" i="9"/>
  <c r="AF3" i="9"/>
  <c r="AE3" i="9"/>
  <c r="AD3" i="9"/>
  <c r="AC3" i="9"/>
  <c r="AB3" i="9"/>
  <c r="Y3" i="9"/>
  <c r="X3" i="9"/>
  <c r="W3" i="9"/>
  <c r="V3" i="9"/>
  <c r="U3" i="9"/>
  <c r="R3" i="9"/>
  <c r="Q3" i="9"/>
  <c r="N3" i="9"/>
  <c r="AQ3" i="9" s="1"/>
  <c r="M3" i="9"/>
  <c r="L3" i="9"/>
  <c r="I3" i="9"/>
  <c r="AP3" i="9" s="1"/>
  <c r="F3" i="9"/>
  <c r="E3" i="9"/>
  <c r="AV2" i="9"/>
  <c r="AU2" i="9"/>
  <c r="AT2" i="9"/>
  <c r="AO2" i="9"/>
  <c r="AN2" i="9"/>
  <c r="AM2" i="9"/>
  <c r="AL2" i="9"/>
  <c r="AR2" i="9" s="1"/>
  <c r="AK2" i="9"/>
  <c r="AJ2" i="9"/>
  <c r="AI2" i="9"/>
  <c r="AH2" i="9"/>
  <c r="AG2" i="9"/>
  <c r="AF2" i="9"/>
  <c r="AE2" i="9"/>
  <c r="AD2" i="9"/>
  <c r="AC2" i="9"/>
  <c r="AB2" i="9"/>
  <c r="Y2" i="9"/>
  <c r="X2" i="9"/>
  <c r="W2" i="9"/>
  <c r="V2" i="9"/>
  <c r="U2" i="9"/>
  <c r="R2" i="9"/>
  <c r="Q2" i="9"/>
  <c r="N2" i="9"/>
  <c r="AQ2" i="9" s="1"/>
  <c r="M2" i="9"/>
  <c r="L2" i="9"/>
  <c r="I2" i="9"/>
  <c r="AP2" i="9" s="1"/>
  <c r="F2" i="9"/>
  <c r="E2" i="9"/>
  <c r="S137" i="2" l="1"/>
  <c r="S237" i="2"/>
  <c r="S40" i="2"/>
  <c r="S88" i="2"/>
  <c r="S162" i="2"/>
  <c r="S217" i="2"/>
  <c r="S114" i="2"/>
  <c r="S241" i="2"/>
  <c r="S80" i="2"/>
  <c r="S222" i="2"/>
  <c r="S36" i="2"/>
  <c r="S200" i="2"/>
  <c r="S158" i="2"/>
  <c r="S37" i="2"/>
  <c r="S35" i="2"/>
  <c r="S130" i="2"/>
  <c r="S61" i="2"/>
  <c r="S185" i="2"/>
  <c r="S223" i="2"/>
  <c r="S26" i="2"/>
  <c r="S31" i="2"/>
  <c r="S204" i="2"/>
  <c r="S116" i="2"/>
  <c r="S28" i="2"/>
  <c r="S191" i="2"/>
  <c r="S66" i="2"/>
  <c r="S24" i="2"/>
  <c r="S29" i="2"/>
  <c r="S238" i="2"/>
  <c r="S174" i="2"/>
  <c r="S20" i="2"/>
  <c r="S53" i="2"/>
  <c r="S210" i="2"/>
  <c r="S209" i="2"/>
  <c r="S150" i="2"/>
  <c r="S48" i="2"/>
  <c r="S41" i="2"/>
  <c r="S112" i="2"/>
  <c r="S68" i="2"/>
  <c r="S113" i="2"/>
  <c r="S159" i="2"/>
  <c r="S14" i="2"/>
  <c r="S103" i="2"/>
  <c r="S57" i="2"/>
  <c r="S235" i="2"/>
  <c r="S43" i="2"/>
  <c r="S163" i="2"/>
  <c r="S46" i="2"/>
  <c r="S17" i="2"/>
  <c r="S213" i="2"/>
  <c r="S123" i="2"/>
  <c r="S89" i="2"/>
  <c r="S85" i="2"/>
  <c r="S81" i="2"/>
  <c r="S72" i="2"/>
  <c r="S69" i="2"/>
  <c r="S18" i="2"/>
  <c r="S108" i="2"/>
  <c r="S109" i="2"/>
  <c r="S65" i="2"/>
  <c r="S128" i="2"/>
  <c r="S189" i="2"/>
  <c r="S42" i="2"/>
  <c r="S146" i="2"/>
  <c r="S21" i="2"/>
  <c r="S211" i="2"/>
  <c r="S34" i="2"/>
  <c r="S127" i="2"/>
  <c r="S44" i="2"/>
  <c r="S239" i="2"/>
  <c r="S118" i="2"/>
  <c r="S11" i="2"/>
  <c r="S97" i="2"/>
  <c r="S16" i="2"/>
  <c r="S232" i="2"/>
  <c r="S86" i="2"/>
  <c r="S71" i="2"/>
  <c r="S173" i="2"/>
  <c r="S49" i="2"/>
  <c r="S179" i="2"/>
  <c r="S63" i="2"/>
  <c r="S10" i="2"/>
  <c r="S240" i="2"/>
  <c r="S197" i="2"/>
  <c r="S126" i="2"/>
  <c r="S87" i="2"/>
  <c r="S155" i="2"/>
  <c r="S138" i="2"/>
  <c r="S115" i="2"/>
  <c r="S25" i="2"/>
  <c r="S231" i="2"/>
  <c r="S122" i="2"/>
  <c r="S64" i="2"/>
  <c r="S161" i="2"/>
  <c r="S190" i="2"/>
  <c r="S129" i="2"/>
  <c r="S111" i="2"/>
  <c r="S236" i="2"/>
  <c r="S228" i="2"/>
  <c r="S13" i="2"/>
  <c r="S198" i="2"/>
  <c r="S51" i="2"/>
  <c r="S90" i="2"/>
  <c r="S215" i="2"/>
  <c r="S60" i="2"/>
  <c r="S168" i="2"/>
  <c r="S27" i="2"/>
  <c r="S192" i="2"/>
  <c r="S94" i="2"/>
  <c r="S83" i="2"/>
  <c r="S98" i="2"/>
  <c r="S196" i="2"/>
  <c r="S221" i="2"/>
  <c r="S82" i="2"/>
  <c r="S62" i="2"/>
  <c r="S224" i="2"/>
  <c r="S70" i="2"/>
  <c r="S32" i="2"/>
  <c r="S182" i="2"/>
  <c r="S47" i="2"/>
  <c r="S67" i="2"/>
  <c r="S7" i="2"/>
  <c r="S147" i="2"/>
  <c r="S194" i="2"/>
  <c r="S160" i="2"/>
  <c r="S181" i="2"/>
  <c r="S12" i="2"/>
  <c r="S96" i="2"/>
  <c r="S132" i="2"/>
  <c r="S243" i="2"/>
  <c r="S93" i="2"/>
  <c r="S58" i="2"/>
  <c r="S76" i="2"/>
  <c r="S55" i="2"/>
  <c r="S202" i="2"/>
  <c r="S186" i="2"/>
  <c r="S105" i="2"/>
  <c r="S102" i="2"/>
  <c r="S45" i="2"/>
  <c r="S56" i="2"/>
  <c r="S78" i="2"/>
  <c r="S9" i="2"/>
  <c r="S23" i="2"/>
  <c r="S54" i="2"/>
  <c r="S110" i="2"/>
  <c r="S230" i="2"/>
  <c r="S171" i="2"/>
  <c r="S169" i="2"/>
  <c r="S206" i="2"/>
  <c r="S39" i="2"/>
  <c r="S242" i="2"/>
  <c r="S8" i="2"/>
  <c r="S203" i="2"/>
  <c r="S226" i="2"/>
  <c r="S6" i="2"/>
  <c r="S187" i="2"/>
  <c r="S170" i="2"/>
  <c r="S175" i="2"/>
  <c r="S120" i="2"/>
  <c r="S229" i="2"/>
  <c r="S219" i="2"/>
  <c r="S77" i="2"/>
  <c r="S15" i="2"/>
  <c r="S50" i="2"/>
  <c r="S74" i="2"/>
  <c r="S52" i="2"/>
  <c r="S79" i="2"/>
  <c r="S107" i="2"/>
  <c r="S84" i="2"/>
  <c r="S38" i="2"/>
  <c r="S205" i="2"/>
  <c r="S75" i="2"/>
  <c r="S178" i="2"/>
  <c r="S19" i="2"/>
  <c r="AH13" i="9"/>
  <c r="AM13" i="9"/>
  <c r="I13" i="9"/>
  <c r="AP13" i="9" s="1"/>
  <c r="Y13" i="9"/>
  <c r="E13" i="9"/>
  <c r="L13" i="9"/>
  <c r="AB13" i="9"/>
  <c r="AJ13" i="9"/>
  <c r="M13" i="9"/>
  <c r="U13" i="9"/>
  <c r="AC13" i="9"/>
  <c r="AK13" i="9"/>
  <c r="F13" i="9"/>
  <c r="N13" i="9"/>
  <c r="AQ13" i="9" s="1"/>
  <c r="V13" i="9"/>
  <c r="AD13" i="9"/>
  <c r="AL13" i="9"/>
  <c r="AR13" i="9" s="1"/>
  <c r="AI13" i="9"/>
  <c r="W13" i="9"/>
  <c r="AE13" i="9"/>
  <c r="AU13" i="9"/>
  <c r="X13" i="9"/>
  <c r="AF13" i="9"/>
  <c r="AN13" i="9"/>
  <c r="AV13" i="9"/>
  <c r="Q13" i="9"/>
  <c r="AG13" i="9"/>
  <c r="AO13" i="9"/>
  <c r="R13" i="9"/>
  <c r="A419" i="21" l="1"/>
  <c r="A418" i="21"/>
  <c r="A417" i="21"/>
  <c r="A416" i="21"/>
  <c r="A415" i="21"/>
  <c r="A414" i="21"/>
  <c r="A413" i="21"/>
  <c r="A412" i="21"/>
  <c r="A411" i="21"/>
  <c r="A410" i="21"/>
  <c r="A409" i="21"/>
  <c r="A408" i="21"/>
  <c r="A407" i="21"/>
  <c r="A406" i="21"/>
  <c r="A405" i="21"/>
  <c r="A404" i="21"/>
  <c r="A403" i="21"/>
  <c r="A402" i="21"/>
  <c r="A401" i="21"/>
  <c r="A400" i="21"/>
  <c r="A399" i="21"/>
  <c r="A398" i="21"/>
  <c r="A397" i="21"/>
  <c r="A396" i="21"/>
  <c r="A395" i="21"/>
  <c r="A394" i="21"/>
  <c r="A393" i="21"/>
  <c r="A392" i="21"/>
  <c r="A391" i="21"/>
  <c r="A390" i="21"/>
  <c r="A389" i="21"/>
  <c r="A388" i="21"/>
  <c r="A387" i="21"/>
  <c r="A386" i="21"/>
  <c r="A385" i="21"/>
  <c r="A384" i="21"/>
  <c r="A383" i="21"/>
  <c r="A382" i="21"/>
  <c r="A381" i="21"/>
  <c r="A380" i="21"/>
  <c r="A379" i="21"/>
  <c r="A378" i="21"/>
  <c r="A377" i="21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301" i="21"/>
  <c r="A300" i="21"/>
  <c r="A299" i="21"/>
  <c r="A298" i="21"/>
  <c r="A297" i="21"/>
  <c r="A296" i="21"/>
  <c r="A295" i="21"/>
  <c r="A294" i="21"/>
  <c r="A293" i="21"/>
  <c r="A292" i="21"/>
  <c r="A291" i="21"/>
  <c r="A290" i="21"/>
  <c r="A289" i="21"/>
  <c r="A288" i="21"/>
  <c r="A287" i="21"/>
  <c r="A286" i="21"/>
  <c r="A285" i="21"/>
  <c r="A284" i="21"/>
  <c r="A283" i="21"/>
  <c r="A282" i="21"/>
  <c r="A281" i="21"/>
  <c r="A280" i="21"/>
  <c r="A279" i="21"/>
  <c r="A278" i="21"/>
  <c r="A277" i="21"/>
  <c r="A276" i="21"/>
  <c r="A275" i="21"/>
  <c r="A274" i="21"/>
  <c r="A273" i="21"/>
  <c r="A272" i="21"/>
  <c r="A271" i="21"/>
  <c r="A270" i="21"/>
  <c r="A269" i="21"/>
  <c r="A268" i="21"/>
  <c r="A267" i="21"/>
  <c r="A266" i="21"/>
  <c r="A265" i="21"/>
  <c r="A264" i="21"/>
  <c r="A263" i="21"/>
  <c r="A262" i="21"/>
  <c r="A261" i="21"/>
  <c r="A260" i="21"/>
  <c r="A259" i="21"/>
  <c r="A258" i="21"/>
  <c r="A257" i="21"/>
  <c r="A256" i="21"/>
  <c r="A255" i="21"/>
  <c r="A254" i="21"/>
  <c r="A253" i="21"/>
  <c r="A252" i="21"/>
  <c r="A251" i="21"/>
  <c r="A250" i="21"/>
  <c r="A249" i="21"/>
  <c r="A248" i="21"/>
  <c r="A247" i="21"/>
  <c r="A246" i="21"/>
  <c r="A245" i="21"/>
  <c r="A244" i="21"/>
  <c r="A243" i="21"/>
  <c r="A242" i="21"/>
  <c r="A241" i="21"/>
  <c r="A240" i="21"/>
  <c r="A239" i="21"/>
  <c r="A238" i="21"/>
  <c r="A237" i="21"/>
  <c r="A236" i="21"/>
  <c r="A235" i="21"/>
  <c r="A234" i="21"/>
  <c r="A233" i="21"/>
  <c r="A232" i="21"/>
  <c r="A231" i="21"/>
  <c r="A230" i="21"/>
  <c r="A229" i="21"/>
  <c r="A228" i="21"/>
  <c r="A227" i="21"/>
  <c r="A226" i="21"/>
  <c r="A225" i="21"/>
  <c r="A224" i="21"/>
  <c r="A223" i="21"/>
  <c r="A222" i="21"/>
  <c r="A221" i="21"/>
  <c r="A220" i="21"/>
  <c r="A219" i="21"/>
  <c r="A218" i="21"/>
  <c r="A217" i="21"/>
  <c r="A216" i="21"/>
  <c r="A215" i="21"/>
  <c r="A214" i="21"/>
  <c r="A213" i="21"/>
  <c r="A212" i="21"/>
  <c r="A211" i="21"/>
  <c r="A210" i="21"/>
  <c r="A209" i="21"/>
  <c r="A208" i="21"/>
  <c r="A207" i="21"/>
  <c r="A206" i="21"/>
  <c r="A205" i="21"/>
  <c r="A204" i="21"/>
  <c r="A203" i="21"/>
  <c r="A202" i="21"/>
  <c r="A201" i="21"/>
  <c r="A200" i="21"/>
  <c r="A199" i="21"/>
  <c r="A198" i="21"/>
  <c r="A197" i="21"/>
  <c r="A196" i="21"/>
  <c r="A195" i="21"/>
  <c r="A194" i="21"/>
  <c r="A193" i="21"/>
  <c r="A192" i="21"/>
  <c r="A191" i="21"/>
  <c r="A190" i="21"/>
  <c r="A189" i="2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1" i="21"/>
  <c r="T12" i="21" l="1"/>
  <c r="T13" i="21" s="1"/>
  <c r="T14" i="21" s="1"/>
  <c r="T15" i="21" s="1"/>
  <c r="T16" i="21" s="1"/>
  <c r="T17" i="21" s="1"/>
  <c r="T18" i="21" s="1"/>
  <c r="T19" i="21" s="1"/>
  <c r="T20" i="21" s="1"/>
  <c r="T21" i="21" s="1"/>
  <c r="T22" i="21" s="1"/>
  <c r="T23" i="21" s="1"/>
  <c r="T24" i="21" s="1"/>
  <c r="T25" i="21" s="1"/>
  <c r="T26" i="21" s="1"/>
  <c r="T27" i="21" s="1"/>
  <c r="T28" i="21" s="1"/>
  <c r="T29" i="21" s="1"/>
  <c r="T30" i="21" s="1"/>
  <c r="T31" i="21" s="1"/>
  <c r="T32" i="21" s="1"/>
  <c r="T33" i="21" s="1"/>
  <c r="T34" i="21" s="1"/>
  <c r="T35" i="21" s="1"/>
  <c r="T36" i="21" s="1"/>
  <c r="T37" i="21" s="1"/>
  <c r="T38" i="21" s="1"/>
  <c r="T39" i="21" s="1"/>
  <c r="T40" i="21" s="1"/>
  <c r="T41" i="21" s="1"/>
  <c r="T42" i="21" s="1"/>
  <c r="T43" i="21" s="1"/>
  <c r="T44" i="21" s="1"/>
  <c r="T45" i="21" s="1"/>
  <c r="T46" i="21" s="1"/>
  <c r="T47" i="21" s="1"/>
  <c r="T48" i="21" s="1"/>
  <c r="T49" i="21" s="1"/>
  <c r="T50" i="21" s="1"/>
  <c r="T51" i="21" s="1"/>
  <c r="T52" i="21" s="1"/>
  <c r="T53" i="21" s="1"/>
  <c r="T54" i="21" s="1"/>
  <c r="T55" i="21" s="1"/>
  <c r="T56" i="21" s="1"/>
  <c r="T57" i="21" s="1"/>
  <c r="T58" i="21" s="1"/>
  <c r="T59" i="21" s="1"/>
  <c r="T60" i="21" s="1"/>
  <c r="T61" i="21" s="1"/>
  <c r="T62" i="21" s="1"/>
  <c r="T63" i="21" s="1"/>
  <c r="T64" i="21" s="1"/>
  <c r="T65" i="21" s="1"/>
  <c r="T66" i="21" s="1"/>
  <c r="T67" i="21" s="1"/>
  <c r="T68" i="21" s="1"/>
  <c r="T69" i="21" s="1"/>
  <c r="T70" i="21" s="1"/>
  <c r="T71" i="21" s="1"/>
  <c r="T72" i="21" s="1"/>
  <c r="T73" i="21" s="1"/>
  <c r="T74" i="21" s="1"/>
  <c r="T75" i="21" s="1"/>
  <c r="T76" i="21" s="1"/>
  <c r="T77" i="21" s="1"/>
  <c r="T78" i="21" s="1"/>
  <c r="T79" i="21" s="1"/>
  <c r="T80" i="21" s="1"/>
  <c r="T81" i="21" s="1"/>
  <c r="T82" i="21" s="1"/>
  <c r="T83" i="21" s="1"/>
  <c r="T84" i="21" s="1"/>
  <c r="T85" i="21" s="1"/>
  <c r="T86" i="21" s="1"/>
  <c r="T87" i="21" s="1"/>
  <c r="T88" i="21" s="1"/>
  <c r="T89" i="21" s="1"/>
  <c r="T90" i="21" s="1"/>
  <c r="T91" i="21" s="1"/>
  <c r="T92" i="21" s="1"/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3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P233" i="2" l="1"/>
  <c r="Q233" i="2" s="1"/>
  <c r="P183" i="2"/>
  <c r="Q183" i="2" s="1"/>
  <c r="P73" i="2"/>
  <c r="Q73" i="2" s="1"/>
  <c r="P99" i="2"/>
  <c r="Q99" i="2" s="1"/>
  <c r="P193" i="2"/>
  <c r="Q193" i="2" s="1"/>
  <c r="P100" i="2"/>
  <c r="Q100" i="2" s="1"/>
  <c r="P33" i="2"/>
  <c r="Q33" i="2" s="1"/>
  <c r="P101" i="2"/>
  <c r="Q101" i="2" s="1"/>
  <c r="P124" i="2"/>
  <c r="Q124" i="2" s="1"/>
  <c r="P184" i="2"/>
  <c r="Q184" i="2" s="1"/>
  <c r="P22" i="2"/>
  <c r="Q22" i="2" s="1"/>
  <c r="P91" i="2"/>
  <c r="Q91" i="2" s="1"/>
  <c r="P142" i="2"/>
  <c r="Q142" i="2" s="1"/>
  <c r="P59" i="2"/>
  <c r="Q59" i="2" s="1"/>
  <c r="P225" i="2"/>
  <c r="Q225" i="2" s="1"/>
  <c r="S101" i="2" l="1"/>
  <c r="S33" i="2"/>
  <c r="S100" i="2"/>
  <c r="S184" i="2"/>
  <c r="S233" i="2"/>
  <c r="S142" i="2"/>
  <c r="S193" i="2"/>
  <c r="S183" i="2"/>
  <c r="S225" i="2"/>
  <c r="S91" i="2"/>
  <c r="S99" i="2"/>
  <c r="S124" i="2"/>
  <c r="S59" i="2"/>
  <c r="S22" i="2"/>
  <c r="S73" i="2"/>
  <c r="P92" i="2"/>
  <c r="Q92" i="2" s="1"/>
  <c r="P151" i="2"/>
  <c r="Q151" i="2" s="1"/>
  <c r="S92" i="2" l="1"/>
  <c r="S151" i="2"/>
  <c r="K13" i="28"/>
  <c r="K14" i="28" s="1"/>
  <c r="K15" i="28" s="1"/>
  <c r="K16" i="28" s="1"/>
  <c r="K17" i="28" s="1"/>
  <c r="K18" i="28" s="1"/>
  <c r="K19" i="28" s="1"/>
  <c r="K20" i="28" s="1"/>
  <c r="K21" i="28" s="1"/>
  <c r="K22" i="28" s="1"/>
  <c r="K23" i="28" s="1"/>
  <c r="K24" i="28" s="1"/>
  <c r="K25" i="28" s="1"/>
  <c r="K26" i="28" s="1"/>
  <c r="K27" i="28" s="1"/>
  <c r="K28" i="28" s="1"/>
  <c r="K29" i="28" s="1"/>
  <c r="K30" i="28" s="1"/>
  <c r="K31" i="28" s="1"/>
  <c r="K32" i="28" s="1"/>
  <c r="K33" i="28" s="1"/>
  <c r="K34" i="28" s="1"/>
  <c r="K35" i="28" s="1"/>
  <c r="K36" i="28" s="1"/>
  <c r="K37" i="28" s="1"/>
  <c r="K38" i="28" s="1"/>
  <c r="K39" i="28" s="1"/>
  <c r="K40" i="28" s="1"/>
  <c r="K41" i="28" s="1"/>
  <c r="K42" i="28" s="1"/>
  <c r="K43" i="28" s="1"/>
  <c r="K44" i="28" s="1"/>
  <c r="K45" i="28" s="1"/>
  <c r="K46" i="28" s="1"/>
  <c r="K47" i="28" s="1"/>
  <c r="K48" i="28" s="1"/>
  <c r="K49" i="28" s="1"/>
  <c r="K50" i="28" s="1"/>
  <c r="K51" i="28" s="1"/>
  <c r="K52" i="28" s="1"/>
  <c r="K53" i="28" s="1"/>
  <c r="K54" i="28" s="1"/>
  <c r="K55" i="28" s="1"/>
  <c r="K56" i="28" s="1"/>
</calcChain>
</file>

<file path=xl/sharedStrings.xml><?xml version="1.0" encoding="utf-8"?>
<sst xmlns="http://schemas.openxmlformats.org/spreadsheetml/2006/main" count="11120" uniqueCount="2090">
  <si>
    <t>Age Group wise population Male &amp; Female</t>
  </si>
  <si>
    <t>Male</t>
  </si>
  <si>
    <t>Female</t>
  </si>
  <si>
    <t>Male Popullation</t>
  </si>
  <si>
    <t>Female Popullation</t>
  </si>
  <si>
    <t>MARKET STRATA</t>
  </si>
  <si>
    <t>Market Size/ Metro Cities</t>
  </si>
  <si>
    <t>AGE GROUP</t>
  </si>
  <si>
    <t>Male Age Group %</t>
  </si>
  <si>
    <t>Female Age Group %</t>
  </si>
  <si>
    <t>TYPE</t>
  </si>
  <si>
    <t>Watching %</t>
  </si>
  <si>
    <t>OTT Platforms</t>
  </si>
  <si>
    <t>Language</t>
  </si>
  <si>
    <t>Region</t>
  </si>
  <si>
    <t>Show Type</t>
  </si>
  <si>
    <t>GENRE</t>
  </si>
  <si>
    <t>Type</t>
  </si>
  <si>
    <t>Market</t>
  </si>
  <si>
    <t>Hindi</t>
  </si>
  <si>
    <t>English</t>
  </si>
  <si>
    <t>Hindi,English</t>
  </si>
  <si>
    <t>Tamil</t>
  </si>
  <si>
    <t>Telugu</t>
  </si>
  <si>
    <t>Tamil,Telugu</t>
  </si>
  <si>
    <t>Kannada</t>
  </si>
  <si>
    <t>Malayalam</t>
  </si>
  <si>
    <t>Tamil,Telugu,Kannada,Malayalam</t>
  </si>
  <si>
    <t>Hindi,English,Tamil,Telugu</t>
  </si>
  <si>
    <t>Marathi</t>
  </si>
  <si>
    <t>Gujarati</t>
  </si>
  <si>
    <t>Hindi,Malayalam,Tamil,Telugu,Kannada</t>
  </si>
  <si>
    <t>Punjabi</t>
  </si>
  <si>
    <t>Bengali</t>
  </si>
  <si>
    <t>Hindi,Malayalam,Tamil,Telugu,Kannada,Bengali,Marathi</t>
  </si>
  <si>
    <t>Malayalam,Telugu,Kannada</t>
  </si>
  <si>
    <t xml:space="preserve">Bhojpuri </t>
  </si>
  <si>
    <t xml:space="preserve">Haryanvi </t>
  </si>
  <si>
    <t>Hindi,Telugu,Tamil,Bangali,Kannada,Marathi,Malayalam</t>
  </si>
  <si>
    <t>Hindi,English,Telugu,Bengali,Malayalam,Kannada,Tamil</t>
  </si>
  <si>
    <t>Hindi,Tamil,Telugu</t>
  </si>
  <si>
    <t>Hindi,Tamil,Telugu,Malayalam</t>
  </si>
  <si>
    <t>AHMADABAD</t>
  </si>
  <si>
    <t>ALL INDIA 10-75L</t>
  </si>
  <si>
    <t>Adda Times</t>
  </si>
  <si>
    <t>West Bengali</t>
  </si>
  <si>
    <t>Action</t>
  </si>
  <si>
    <t>Metro</t>
  </si>
  <si>
    <t>25-34</t>
  </si>
  <si>
    <t>Aha Video</t>
  </si>
  <si>
    <t>Telugu &amp; Tamil</t>
  </si>
  <si>
    <t>Andhra Pradesh,Telangana,Tamilnadu</t>
  </si>
  <si>
    <t>Action,Adventure,Comedy</t>
  </si>
  <si>
    <t>BANGALORE</t>
  </si>
  <si>
    <t>ALL INDIA 1-10L</t>
  </si>
  <si>
    <t>35-44</t>
  </si>
  <si>
    <t>Altt</t>
  </si>
  <si>
    <t>All India</t>
  </si>
  <si>
    <t>Action,Adventure,Crime</t>
  </si>
  <si>
    <t>CHENNAI</t>
  </si>
  <si>
    <t>LIVE</t>
  </si>
  <si>
    <t>Hindi,Telugu,Tamil</t>
  </si>
  <si>
    <t>Action,Adventure,Drama</t>
  </si>
  <si>
    <t>DELHI</t>
  </si>
  <si>
    <t>Amazon Prime Video</t>
  </si>
  <si>
    <t>Hindi,English,Tamil,Telugu,Malayalam,Kannada,Bengali</t>
  </si>
  <si>
    <t>Action,Adventure,Fantasy</t>
  </si>
  <si>
    <t>HYDERABAD</t>
  </si>
  <si>
    <t>Rent</t>
  </si>
  <si>
    <t>Action,Adventure,Sci-Fi</t>
  </si>
  <si>
    <t>KOLKATA</t>
  </si>
  <si>
    <t>Chaupal Tv</t>
  </si>
  <si>
    <t>Punjabi,Haryanvi &amp; Bhojpuri</t>
  </si>
  <si>
    <t>Punjab,Haryana</t>
  </si>
  <si>
    <t>Action,Comedy,Crime</t>
  </si>
  <si>
    <t>MUMBAI</t>
  </si>
  <si>
    <t>Crunchyroll</t>
  </si>
  <si>
    <t>English,Hindi,Tamil,Telugu</t>
  </si>
  <si>
    <t>Action,Comedy,Drama</t>
  </si>
  <si>
    <t>PUNE</t>
  </si>
  <si>
    <t>Action,Comedy,Thriller</t>
  </si>
  <si>
    <t>SURAT</t>
  </si>
  <si>
    <t>Dangal Play</t>
  </si>
  <si>
    <t>Hindi,Bhojpuri,Bengali</t>
  </si>
  <si>
    <t>Action,Crime</t>
  </si>
  <si>
    <t>ALL INDIA</t>
  </si>
  <si>
    <t>METROS</t>
  </si>
  <si>
    <t>Action,Crime,Drama</t>
  </si>
  <si>
    <t>RURAL</t>
  </si>
  <si>
    <t>Discovery+</t>
  </si>
  <si>
    <t>Action,Crime,Thriller</t>
  </si>
  <si>
    <t>Disney + Hotstar</t>
  </si>
  <si>
    <t>Action,Drama</t>
  </si>
  <si>
    <t>Action,Drama,Comedy</t>
  </si>
  <si>
    <t>Epic On</t>
  </si>
  <si>
    <t>Hindi,Bhojpuri,Punjabi</t>
  </si>
  <si>
    <t>Action,Drama,Romance</t>
  </si>
  <si>
    <t>Action,Drama,Thriller</t>
  </si>
  <si>
    <t>Eros Now</t>
  </si>
  <si>
    <t>Action,Sci-Fi</t>
  </si>
  <si>
    <t>Etv Win</t>
  </si>
  <si>
    <t>Malayalam,Kannada,Telugu,Hindi,Tamil</t>
  </si>
  <si>
    <t>Kerala</t>
  </si>
  <si>
    <t>Action,Thriller</t>
  </si>
  <si>
    <t>Hoichoi</t>
  </si>
  <si>
    <t>Hindi,Bengali</t>
  </si>
  <si>
    <t>Adventure</t>
  </si>
  <si>
    <t>Hr Ott</t>
  </si>
  <si>
    <t>Adventure,Comedy,Family</t>
  </si>
  <si>
    <t>Jio Cinema</t>
  </si>
  <si>
    <t>Adventure,Reality-TV</t>
  </si>
  <si>
    <t>Adventure,Thriller</t>
  </si>
  <si>
    <t>Klikk</t>
  </si>
  <si>
    <t>Animation,Action,Adventure</t>
  </si>
  <si>
    <t>Lionsgate Play</t>
  </si>
  <si>
    <t>English,Hindi,Tamil,Telugu,Kannada</t>
  </si>
  <si>
    <t>Animation,Comedy</t>
  </si>
  <si>
    <t>Manorama Max</t>
  </si>
  <si>
    <t>Malayalam,Tamil,Telugu</t>
  </si>
  <si>
    <t>Kerala,Tamil,Andra Pradesh</t>
  </si>
  <si>
    <t>Animation,Comedy,Adventure</t>
  </si>
  <si>
    <t>Mx Player</t>
  </si>
  <si>
    <t>Anime,Fantasy</t>
  </si>
  <si>
    <t>Netflix</t>
  </si>
  <si>
    <t>Comedy</t>
  </si>
  <si>
    <t>Saina Play</t>
  </si>
  <si>
    <t>Comedy,Action,Fantasy</t>
  </si>
  <si>
    <t>Shemaroo Me</t>
  </si>
  <si>
    <t>Gujarati,Hindi,Marathi</t>
  </si>
  <si>
    <t>Gujrat,Maharastra</t>
  </si>
  <si>
    <t>Comedy,Crime,Drama</t>
  </si>
  <si>
    <t>Comedy,Crime,Thriller</t>
  </si>
  <si>
    <t>Sony Liv</t>
  </si>
  <si>
    <t>Comedy,Documantary</t>
  </si>
  <si>
    <t>Comedy,Documentary</t>
  </si>
  <si>
    <t>Sun Nxt</t>
  </si>
  <si>
    <t>Telugu,Tamil,Malyalam,Kannada</t>
  </si>
  <si>
    <t>South</t>
  </si>
  <si>
    <t>Comedy,Drama</t>
  </si>
  <si>
    <t>Comedy,Drama,Animals</t>
  </si>
  <si>
    <t>TVF Play</t>
  </si>
  <si>
    <t>Comedy,Drama,Crime</t>
  </si>
  <si>
    <t>Ullu</t>
  </si>
  <si>
    <t>Comedy,Drama,Fantasy</t>
  </si>
  <si>
    <t>Vr Ott</t>
  </si>
  <si>
    <t>Comedy,Drama,Romance</t>
  </si>
  <si>
    <t>STAGE</t>
  </si>
  <si>
    <t>Haryanvi,Rajasthani</t>
  </si>
  <si>
    <t>HSM</t>
  </si>
  <si>
    <t>Comedy,Horror</t>
  </si>
  <si>
    <t>Zee5</t>
  </si>
  <si>
    <t>Comedy,Music</t>
  </si>
  <si>
    <t>Comedy,Musical</t>
  </si>
  <si>
    <t>Comedy,Mystery</t>
  </si>
  <si>
    <t>Comedy,Romance</t>
  </si>
  <si>
    <t>Comedy,Romance,Drama</t>
  </si>
  <si>
    <t>Comedy,Thriller</t>
  </si>
  <si>
    <t>DRAMA</t>
  </si>
  <si>
    <t>Documentary</t>
  </si>
  <si>
    <t>Thriller,Crime</t>
  </si>
  <si>
    <t>Documentary,Sports</t>
  </si>
  <si>
    <t>Drama,Romance,Thriller</t>
  </si>
  <si>
    <t>Horror,Thriller</t>
  </si>
  <si>
    <t>Drama,Sport</t>
  </si>
  <si>
    <t>Reality TV</t>
  </si>
  <si>
    <t>Drama,Music</t>
  </si>
  <si>
    <t>Thriller,Drama</t>
  </si>
  <si>
    <t>Horror</t>
  </si>
  <si>
    <t>Thriller</t>
  </si>
  <si>
    <t>Crime,Horror,Thriller</t>
  </si>
  <si>
    <t>Crime,Drama</t>
  </si>
  <si>
    <t>Crime,Documentary</t>
  </si>
  <si>
    <t>Drama,Romance</t>
  </si>
  <si>
    <t>Drama,Thriller</t>
  </si>
  <si>
    <t>Sex,Nudity</t>
  </si>
  <si>
    <t>Thriller,Drama,Crime</t>
  </si>
  <si>
    <t>Crime,Thriller</t>
  </si>
  <si>
    <t>Mystery</t>
  </si>
  <si>
    <t>Crime</t>
  </si>
  <si>
    <t>Romance,Comedy</t>
  </si>
  <si>
    <t>Reality-TV</t>
  </si>
  <si>
    <t>Documentary,History</t>
  </si>
  <si>
    <t>Crime,Drama,Mystery</t>
  </si>
  <si>
    <t>Comedy,Fantasy</t>
  </si>
  <si>
    <t>Drama,Family</t>
  </si>
  <si>
    <t>Drama Sport</t>
  </si>
  <si>
    <t>Drama,Fantasy</t>
  </si>
  <si>
    <t>Drama,Fantasy,Adventure</t>
  </si>
  <si>
    <t>Drama,Sports</t>
  </si>
  <si>
    <t>Documentary,Music</t>
  </si>
  <si>
    <t>Drama,Horror,Thriller</t>
  </si>
  <si>
    <t>Fantasy</t>
  </si>
  <si>
    <t>Crime,Drama,Fantasy</t>
  </si>
  <si>
    <t>Comedy,Drama,Suspence</t>
  </si>
  <si>
    <t>Romance,Comedy,Drama</t>
  </si>
  <si>
    <t>SPORTS</t>
  </si>
  <si>
    <t>Adventure,Drama</t>
  </si>
  <si>
    <t>Action,Thriller,Drama</t>
  </si>
  <si>
    <t>Action,Crime,Comedy</t>
  </si>
  <si>
    <t>Adventure,Drama,Comedy</t>
  </si>
  <si>
    <t>Drama,Comedy</t>
  </si>
  <si>
    <t>Drama,Horror</t>
  </si>
  <si>
    <t>Crime,Drama,Thriller</t>
  </si>
  <si>
    <t>Drama,Comedy,Thriller</t>
  </si>
  <si>
    <t>Platform</t>
  </si>
  <si>
    <t>Week</t>
  </si>
  <si>
    <t>Content Type</t>
  </si>
  <si>
    <t>Shows/Live Content</t>
  </si>
  <si>
    <t>Release Date</t>
  </si>
  <si>
    <t>Genre</t>
  </si>
  <si>
    <t>PAID/FREE</t>
  </si>
  <si>
    <t>PAID</t>
  </si>
  <si>
    <t>SVOD</t>
  </si>
  <si>
    <t>Movies</t>
  </si>
  <si>
    <t>Kill</t>
  </si>
  <si>
    <t>Shows</t>
  </si>
  <si>
    <t>Drama</t>
  </si>
  <si>
    <t>Drama,Mystery</t>
  </si>
  <si>
    <t>Tv-Shows</t>
  </si>
  <si>
    <t>FREE</t>
  </si>
  <si>
    <t>AVOD</t>
  </si>
  <si>
    <t>Stree 2</t>
  </si>
  <si>
    <t>Genre Weightage%</t>
  </si>
  <si>
    <t>Language Weightage %</t>
  </si>
  <si>
    <t>Top 10</t>
  </si>
  <si>
    <t>Actual Subscribers</t>
  </si>
  <si>
    <t>CTV</t>
  </si>
  <si>
    <t>Mobile</t>
  </si>
  <si>
    <t>CTV+Mobile</t>
  </si>
  <si>
    <t>Total Viewers</t>
  </si>
  <si>
    <t>NA</t>
  </si>
  <si>
    <t>Yes</t>
  </si>
  <si>
    <t>Apple TV</t>
  </si>
  <si>
    <t>RENT</t>
  </si>
  <si>
    <t>Total Viewers In Mn</t>
  </si>
  <si>
    <t>Comedy,Animation</t>
  </si>
  <si>
    <t>Comedy,Romance,Sports</t>
  </si>
  <si>
    <t>Reality TV,Romance</t>
  </si>
  <si>
    <t>Comedy,Family,Animation</t>
  </si>
  <si>
    <t>Action,Thriller,Adventure</t>
  </si>
  <si>
    <t>Reality TV,Drama</t>
  </si>
  <si>
    <t>Comedy,Thriller,Crime</t>
  </si>
  <si>
    <t>Comedy,Thriller,Mystery</t>
  </si>
  <si>
    <t>Action,Adventure,Animation</t>
  </si>
  <si>
    <t>Drama,History</t>
  </si>
  <si>
    <t>Mythology</t>
  </si>
  <si>
    <t>Hindi,Tamil,Telugu,Malayalam,Kannada</t>
  </si>
  <si>
    <t>Male %</t>
  </si>
  <si>
    <t>Female %</t>
  </si>
  <si>
    <t>2-16</t>
  </si>
  <si>
    <t>17-24</t>
  </si>
  <si>
    <t>45+</t>
  </si>
  <si>
    <t>OTT PLATFORM</t>
  </si>
  <si>
    <t>Rank</t>
  </si>
  <si>
    <t>-</t>
  </si>
  <si>
    <t>Watching Percentage</t>
  </si>
  <si>
    <t>ALL India</t>
  </si>
  <si>
    <t>MARKET</t>
  </si>
  <si>
    <t>Drama,Unscripted</t>
  </si>
  <si>
    <t>Crime,Drama,Comedy</t>
  </si>
  <si>
    <t>Comedy,Talk-Show</t>
  </si>
  <si>
    <t>Reality</t>
  </si>
  <si>
    <t>Action,Comedy</t>
  </si>
  <si>
    <t>Biography,Drama,War</t>
  </si>
  <si>
    <t>Sci-Fi</t>
  </si>
  <si>
    <t>Drama,Romance,Emotional</t>
  </si>
  <si>
    <t>Comedy,Drama,Family</t>
  </si>
  <si>
    <t>Adventure,Drama,Family</t>
  </si>
  <si>
    <t>Sci-Fi Epic,Action,Adventure</t>
  </si>
  <si>
    <t>Ranking Penetration</t>
  </si>
  <si>
    <t>Khel Khel Mein</t>
  </si>
  <si>
    <t>Sarfira</t>
  </si>
  <si>
    <t>Action,Animation</t>
  </si>
  <si>
    <t>Action,horror,Thriller</t>
  </si>
  <si>
    <t>Action,Adventure,Horror</t>
  </si>
  <si>
    <t>Adventure,Animation</t>
  </si>
  <si>
    <t>Adventure,Animation,Fantasy</t>
  </si>
  <si>
    <t>Adventure,Comedy,Fantasy</t>
  </si>
  <si>
    <t>Action,Thriller,Spy</t>
  </si>
  <si>
    <t>Romance</t>
  </si>
  <si>
    <t>Horror,Thriller,Mystery</t>
  </si>
  <si>
    <t>Hindi,English,Tamil,Telugu,Kannada,Malayalam</t>
  </si>
  <si>
    <t>Reeta Sanyal</t>
  </si>
  <si>
    <t>Documentary,Adventure</t>
  </si>
  <si>
    <t>Stand Up Comedy</t>
  </si>
  <si>
    <t>Crime,Documenatry</t>
  </si>
  <si>
    <t>Drama,Mystery,Thriller</t>
  </si>
  <si>
    <t>Drama,Crime</t>
  </si>
  <si>
    <t>Aranmanai 4</t>
  </si>
  <si>
    <t>Bigg Boss</t>
  </si>
  <si>
    <t>The great indian kapil show</t>
  </si>
  <si>
    <t>Drama,Romance,Family</t>
  </si>
  <si>
    <t>Drama,Family,Romance</t>
  </si>
  <si>
    <t>Action,Adventure,Thriller</t>
  </si>
  <si>
    <t>Mystery,Drama,Thriller</t>
  </si>
  <si>
    <t>Animation,Adventure,Action</t>
  </si>
  <si>
    <t>Biography,Crime,Drama</t>
  </si>
  <si>
    <t>Drama,Music,Romance</t>
  </si>
  <si>
    <t>Drama,Family,Thriller</t>
  </si>
  <si>
    <t>Fantasy,Thriller</t>
  </si>
  <si>
    <t>Action,Romance</t>
  </si>
  <si>
    <t>Action,Mystery,Thriller</t>
  </si>
  <si>
    <t>Animation,Action,Adventure,Drama</t>
  </si>
  <si>
    <t>Drama,Musical,Romance</t>
  </si>
  <si>
    <t>Drama,Comedy,Family</t>
  </si>
  <si>
    <t>Thriller,Sci-Fi</t>
  </si>
  <si>
    <t>Romance,Thriller</t>
  </si>
  <si>
    <t>Action,Adventure,Biography</t>
  </si>
  <si>
    <t>Comedy,Romance,Thriller</t>
  </si>
  <si>
    <t>Horror, Mystery, Thriller</t>
  </si>
  <si>
    <t>Music</t>
  </si>
  <si>
    <t>Crime,Drama,History</t>
  </si>
  <si>
    <t>Romance,Drama</t>
  </si>
  <si>
    <t>Average of Rank</t>
  </si>
  <si>
    <t>Bigg Boss Kannada</t>
  </si>
  <si>
    <t>English,Tamil,Telugu</t>
  </si>
  <si>
    <t>Do Patti</t>
  </si>
  <si>
    <t>The Legend of Hanuman S5</t>
  </si>
  <si>
    <t>Dharmaveer 2</t>
  </si>
  <si>
    <t>Meiyazhagan</t>
  </si>
  <si>
    <t>Hindi,Marathi</t>
  </si>
  <si>
    <t>Comedy,Fantasy,Horror</t>
  </si>
  <si>
    <t>Sports,Documentary</t>
  </si>
  <si>
    <t>Action,Drama,Epic</t>
  </si>
  <si>
    <t>Mystery,Thriller</t>
  </si>
  <si>
    <t>Crime,Drama,Mystery,Thriller</t>
  </si>
  <si>
    <t>Documenatary</t>
  </si>
  <si>
    <t>Documentary,Sport</t>
  </si>
  <si>
    <t>Action,Drama,Sport</t>
  </si>
  <si>
    <t>Documentary,Drama</t>
  </si>
  <si>
    <t>Hustle 4</t>
  </si>
  <si>
    <t>Fabulous Lives Vs Bollywood Wives</t>
  </si>
  <si>
    <t>Animation,Mythology</t>
  </si>
  <si>
    <t>Horror,Comedy</t>
  </si>
  <si>
    <t>Horror,Thriller,suspense,Mystery</t>
  </si>
  <si>
    <t>Action,Thriller,suspense</t>
  </si>
  <si>
    <t>Thriller,Fanstisy,Drama,Action</t>
  </si>
  <si>
    <t>Horror, Mystery</t>
  </si>
  <si>
    <t>Action,Romance,Adventure,Mystery</t>
  </si>
  <si>
    <t>40-35%</t>
  </si>
  <si>
    <t>35-30%</t>
  </si>
  <si>
    <t>30-25%</t>
  </si>
  <si>
    <t>25-20%</t>
  </si>
  <si>
    <t>20-15%</t>
  </si>
  <si>
    <t>15-10%</t>
  </si>
  <si>
    <t>10-8%</t>
  </si>
  <si>
    <t>8-6%</t>
  </si>
  <si>
    <t>6-4%</t>
  </si>
  <si>
    <t>4-2%</t>
  </si>
  <si>
    <t>Hitler</t>
  </si>
  <si>
    <t>Don’t Come Home</t>
  </si>
  <si>
    <t>Black</t>
  </si>
  <si>
    <t>Dus June Ki Raat: Chapter 2</t>
  </si>
  <si>
    <t>Viswam</t>
  </si>
  <si>
    <t>Comedy,Sci-Fi</t>
  </si>
  <si>
    <t>Comedy,Drama,Thriller</t>
  </si>
  <si>
    <t>Animation,Comedy,Fantasy</t>
  </si>
  <si>
    <t>Action,Romance,Thriller</t>
  </si>
  <si>
    <t>Drama,Roamnce</t>
  </si>
  <si>
    <t>Bhool Bhulaiyaa</t>
  </si>
  <si>
    <t>Venom</t>
  </si>
  <si>
    <t>Secret Agent</t>
  </si>
  <si>
    <t>Game of Thrones</t>
  </si>
  <si>
    <t>Furiosa A Mad Max Saga</t>
  </si>
  <si>
    <t>Golam</t>
  </si>
  <si>
    <t>From</t>
  </si>
  <si>
    <t>Million Dollar Listing India</t>
  </si>
  <si>
    <t>Kaun Banega Crorepati</t>
  </si>
  <si>
    <t>Indian Idol</t>
  </si>
  <si>
    <t>Taarak Mehta Ka Ooltah Chashmah</t>
  </si>
  <si>
    <t>India'S Best Dancer Season 4</t>
  </si>
  <si>
    <t>Ramayan</t>
  </si>
  <si>
    <t>Gullak</t>
  </si>
  <si>
    <t>Vedaa</t>
  </si>
  <si>
    <t>Love, Sitara</t>
  </si>
  <si>
    <t>Demonte Colony 2</t>
  </si>
  <si>
    <t>Bhaiyya Ji</t>
  </si>
  <si>
    <t>Raghu Thatha</t>
  </si>
  <si>
    <t>Hindi,English,Tamil,Telugu,Kannada</t>
  </si>
  <si>
    <t>Hindi,Tamil</t>
  </si>
  <si>
    <t>Comedy,Horror,Thriller</t>
  </si>
  <si>
    <t>Action,Adventure</t>
  </si>
  <si>
    <t>Comedy,Family</t>
  </si>
  <si>
    <t>Drama,Action,Mystery</t>
  </si>
  <si>
    <t>Total Reach</t>
  </si>
  <si>
    <t>PLATFORM</t>
  </si>
  <si>
    <t>Citadel: Honey Bunny</t>
  </si>
  <si>
    <t>Vettaiyan</t>
  </si>
  <si>
    <t>Vijay 69</t>
  </si>
  <si>
    <t>Yek Number</t>
  </si>
  <si>
    <t>Ajayante Randam Moshanam</t>
  </si>
  <si>
    <t>Bank Under Siege</t>
  </si>
  <si>
    <t>Devara: Part 1</t>
  </si>
  <si>
    <t>Gumasthan</t>
  </si>
  <si>
    <t>Mr. Plankton</t>
  </si>
  <si>
    <t>The Buckingham Murders</t>
  </si>
  <si>
    <t>The Cage</t>
  </si>
  <si>
    <t>Action,Horror</t>
  </si>
  <si>
    <t>Adventure,Animation,Comedy</t>
  </si>
  <si>
    <t>Drama,Horror,Romance</t>
  </si>
  <si>
    <t>Romance,Thriller,Mystery</t>
  </si>
  <si>
    <t>Comedy,Drama,Sport</t>
  </si>
  <si>
    <t>Animation,Drama</t>
  </si>
  <si>
    <t>Simmba</t>
  </si>
  <si>
    <t>Singham Returns</t>
  </si>
  <si>
    <t>Bhool Bhulaiyaa 2</t>
  </si>
  <si>
    <t>Apple Tv</t>
  </si>
  <si>
    <t>Arcane: Season 2</t>
  </si>
  <si>
    <t>It Ends with Us</t>
  </si>
  <si>
    <t>Deadpool &amp; Wolverine</t>
  </si>
  <si>
    <t>Maa Nanna Super Hero</t>
  </si>
  <si>
    <t>Cross</t>
  </si>
  <si>
    <t>The Magic of Shiri</t>
  </si>
  <si>
    <t>Operation Blood Hunt</t>
  </si>
  <si>
    <t>Freedom at Midnight</t>
  </si>
  <si>
    <t>Joker: Folie à Deux</t>
  </si>
  <si>
    <t>Kurukk</t>
  </si>
  <si>
    <t>Yadha Yadha Hi</t>
  </si>
  <si>
    <t>Yudhra</t>
  </si>
  <si>
    <t>Comedy,Drama,Sports</t>
  </si>
  <si>
    <t>Horror,Mystery,Thriller</t>
  </si>
  <si>
    <t>Animation,Adventure,Fantasy</t>
  </si>
  <si>
    <t>Crime,Mystery,Thriller</t>
  </si>
  <si>
    <t>Drama,Mystery,Sci-Fi</t>
  </si>
  <si>
    <t>Adventure,Drama,Thriller</t>
  </si>
  <si>
    <t>Navra Maza Navsacha 2</t>
  </si>
  <si>
    <t>Hum Do Hamare Do</t>
  </si>
  <si>
    <t>Jhanak</t>
  </si>
  <si>
    <t>The Mystery of Moksha Island</t>
  </si>
  <si>
    <t>Yaara</t>
  </si>
  <si>
    <t>Content format</t>
  </si>
  <si>
    <t>Svod Originals Shows</t>
  </si>
  <si>
    <t>Svod Originals Movies</t>
  </si>
  <si>
    <t>Avod Originals Shows</t>
  </si>
  <si>
    <t>Theatrical releases</t>
  </si>
  <si>
    <t>Tv Catchup</t>
  </si>
  <si>
    <t>Avod Originals Movies</t>
  </si>
  <si>
    <t>Live Event</t>
  </si>
  <si>
    <t>Mike Tyson vs. Jake Paul</t>
  </si>
  <si>
    <t>Nayanthara: Beyond the Fairy Tale</t>
  </si>
  <si>
    <t>Kishkindha Kandam</t>
  </si>
  <si>
    <t>Martin</t>
  </si>
  <si>
    <t>A Quiet Place: Day One</t>
  </si>
  <si>
    <t>Alien: Romulus</t>
  </si>
  <si>
    <t>Thukra Ke Mera Pyaar</t>
  </si>
  <si>
    <t>Yeh Kaali Kaali Ankhein S2</t>
  </si>
  <si>
    <t>Documenatry</t>
  </si>
  <si>
    <t>Reality Tv,Sports</t>
  </si>
  <si>
    <t>Game Show</t>
  </si>
  <si>
    <t>Comedy,Crime</t>
  </si>
  <si>
    <t>Horror,Thriller,Sci-Fi</t>
  </si>
  <si>
    <t>Sports</t>
  </si>
  <si>
    <t>Animation,Adventure,Comedy</t>
  </si>
  <si>
    <t>Hindi,Tamil,Telugu,Kannada,Malayalam</t>
  </si>
  <si>
    <t>Amazon Mini Tv</t>
  </si>
  <si>
    <t>Stage</t>
  </si>
  <si>
    <t>Tv Catch-Up</t>
  </si>
  <si>
    <t>Show</t>
  </si>
  <si>
    <t>Movie</t>
  </si>
  <si>
    <t>Hindi,English,Tamil,Telugu,Malayalam,Kannada</t>
  </si>
  <si>
    <t>Japanese</t>
  </si>
  <si>
    <t>Bhojpuri</t>
  </si>
  <si>
    <t>Hindi,Tamil,Telugu,Malayalam,Kannada,Bengali,Marathi</t>
  </si>
  <si>
    <t>Hindi, Telugu,Tamil,Malayalam,Kannada</t>
  </si>
  <si>
    <t>Hindi,English,Telugu,Tamil,Kannada,Bengali,Marathi</t>
  </si>
  <si>
    <t>English,Tamil,Telugu,Hindi,Kannada,Bengali,Marathi</t>
  </si>
  <si>
    <t>Telugu,Tamil,Malayalam,Kannada</t>
  </si>
  <si>
    <t>Hindi,Malayalam,Tamil,Telugu,Kannada,Marathi,Bengali</t>
  </si>
  <si>
    <t>Haryanvi</t>
  </si>
  <si>
    <t>Rajasthani</t>
  </si>
  <si>
    <t>Hindi,English,Tamil,</t>
  </si>
  <si>
    <t>Telegu</t>
  </si>
  <si>
    <t>English,Telugu</t>
  </si>
  <si>
    <t>Hindi,English,Tamil,Telugu,Marathi,Bengali,Bhojpuri,Punjabi,Kannada,Odia</t>
  </si>
  <si>
    <t>Comedy,Romane</t>
  </si>
  <si>
    <t>Comedy,Drama,Sci-Fi</t>
  </si>
  <si>
    <t>Action,Drama,Crime</t>
  </si>
  <si>
    <t>Crime,Mystery</t>
  </si>
  <si>
    <t>Crime,Action,Adventure</t>
  </si>
  <si>
    <t>Action,Drama,Sports</t>
  </si>
  <si>
    <t>Fantasy,Adventure</t>
  </si>
  <si>
    <t>Comedy,Drama,Thriiler</t>
  </si>
  <si>
    <t>Action,Drama,Sci-Fi</t>
  </si>
  <si>
    <t>Animation,Adventure,Drama</t>
  </si>
  <si>
    <t>Animation,Comedy,Action</t>
  </si>
  <si>
    <t>Animation,Action,Romance</t>
  </si>
  <si>
    <t>Drama, Romance, Thriller</t>
  </si>
  <si>
    <t>Drama, Comedy</t>
  </si>
  <si>
    <t>Bhakti, Devotional, Drama</t>
  </si>
  <si>
    <t xml:space="preserve">Drama </t>
  </si>
  <si>
    <t>Comedy, Drama, Romance</t>
  </si>
  <si>
    <t>History</t>
  </si>
  <si>
    <t>Nature,Wild Animals</t>
  </si>
  <si>
    <t>Lifestyles</t>
  </si>
  <si>
    <t>Kids,Animation</t>
  </si>
  <si>
    <t>Horror,Comedy,Paranormal</t>
  </si>
  <si>
    <t>Fiction</t>
  </si>
  <si>
    <t>Food</t>
  </si>
  <si>
    <t>Sci-Fi,Action,Adventure</t>
  </si>
  <si>
    <t>Crime,Drama,Romance</t>
  </si>
  <si>
    <t>Family</t>
  </si>
  <si>
    <t>Drama,Romance,Comedy</t>
  </si>
  <si>
    <t>Action,Comedy,Horror</t>
  </si>
  <si>
    <t>Drama,Roamance</t>
  </si>
  <si>
    <t>Thriller,Mystery</t>
  </si>
  <si>
    <t>Sex,Thriller</t>
  </si>
  <si>
    <t>Thriiler,Crime</t>
  </si>
  <si>
    <t>Thriiler,Drama</t>
  </si>
  <si>
    <t>Romance,Drama,Thriller</t>
  </si>
  <si>
    <t>Family,Drama,Romance</t>
  </si>
  <si>
    <t>Adventure,Fantasy,Sci-Fi</t>
  </si>
  <si>
    <t>Abhishapto</t>
  </si>
  <si>
    <t>Basanta Ese Geche</t>
  </si>
  <si>
    <t>Cabaret</t>
  </si>
  <si>
    <t>Ghoshbabur-retirement-plan</t>
  </si>
  <si>
    <t>Kothamrita</t>
  </si>
  <si>
    <t>Nandini</t>
  </si>
  <si>
    <t>Petni</t>
  </si>
  <si>
    <t>Preme Pora Baron</t>
  </si>
  <si>
    <t>SIN - Whispers Of Guilt</t>
  </si>
  <si>
    <t>The First Rain</t>
  </si>
  <si>
    <t>11th Hour</t>
  </si>
  <si>
    <t>Akash Vaani</t>
  </si>
  <si>
    <t>Ammuchi 2</t>
  </si>
  <si>
    <t>Anya's Tutorial</t>
  </si>
  <si>
    <t>Emoji</t>
  </si>
  <si>
    <t>EP7 Youtubers</t>
  </si>
  <si>
    <t>Irai</t>
  </si>
  <si>
    <t>Kuthukku Pathu</t>
  </si>
  <si>
    <t>Mad Company</t>
  </si>
  <si>
    <t>Pettaikaali</t>
  </si>
  <si>
    <t>Ayngaran</t>
  </si>
  <si>
    <t>Diary</t>
  </si>
  <si>
    <t>Jiivi 2</t>
  </si>
  <si>
    <t>Koogle Kuttappa</t>
  </si>
  <si>
    <t>Maamanithan</t>
  </si>
  <si>
    <t>Manmatha Leelai</t>
  </si>
  <si>
    <t>Sardar</t>
  </si>
  <si>
    <t>Selfie</t>
  </si>
  <si>
    <t>Trigger</t>
  </si>
  <si>
    <t>Writer</t>
  </si>
  <si>
    <t xml:space="preserve"> Rangeen Kahaniyan Punarjanam</t>
  </si>
  <si>
    <t xml:space="preserve"> Utha Patak Season 3</t>
  </si>
  <si>
    <t>Crimes And Confessions Laal Bawaal</t>
  </si>
  <si>
    <t>Crimes And Confessions S3 - Dilruba Exchange</t>
  </si>
  <si>
    <t>Crimes And Confessions S3 - Don Ki Darling</t>
  </si>
  <si>
    <t>Crimes And Confessions S3 - Ishq Kills</t>
  </si>
  <si>
    <t>Crimes And Confessions S3- Missing Majnu</t>
  </si>
  <si>
    <t>Rangeen Kahaniyan Tan Tripti Season 2</t>
  </si>
  <si>
    <t>Rangeen Kahaniyan Vashikaran</t>
  </si>
  <si>
    <t>Girlfriend</t>
  </si>
  <si>
    <t>Gutar Gu S2</t>
  </si>
  <si>
    <t>Highway Love S2</t>
  </si>
  <si>
    <t>I Belonged to Your World</t>
  </si>
  <si>
    <t>Our Secret</t>
  </si>
  <si>
    <t>Playground S4</t>
  </si>
  <si>
    <t>Sisterhood</t>
  </si>
  <si>
    <t>Switch On</t>
  </si>
  <si>
    <t>Yeh Meri Family</t>
  </si>
  <si>
    <t>P2</t>
  </si>
  <si>
    <t>Call Me Bae</t>
  </si>
  <si>
    <t>Citadel</t>
  </si>
  <si>
    <t>Farzi</t>
  </si>
  <si>
    <t>Mirzapur S3</t>
  </si>
  <si>
    <t>Panchayat S3</t>
  </si>
  <si>
    <t>Snakes &amp; Ladders</t>
  </si>
  <si>
    <t>The Pradeeps of Pittsburgh</t>
  </si>
  <si>
    <t>Athomugam</t>
  </si>
  <si>
    <t>Blink Twice</t>
  </si>
  <si>
    <t>Dangal</t>
  </si>
  <si>
    <t>Despicable Me4</t>
  </si>
  <si>
    <t>Harry Potter and the Philosopher's Stone</t>
  </si>
  <si>
    <t>Justice League</t>
  </si>
  <si>
    <t>Sattam En Kaiyil For Justice</t>
  </si>
  <si>
    <t>Transformers One</t>
  </si>
  <si>
    <t>Twisters</t>
  </si>
  <si>
    <t>Argylle</t>
  </si>
  <si>
    <t>Ghosted</t>
  </si>
  <si>
    <t>Greyhound</t>
  </si>
  <si>
    <t>Napoleon</t>
  </si>
  <si>
    <t>Napoleon The Director's Cut</t>
  </si>
  <si>
    <t>The Family Plan</t>
  </si>
  <si>
    <t>The Instigators</t>
  </si>
  <si>
    <t>Bad Sisters</t>
  </si>
  <si>
    <t>Before</t>
  </si>
  <si>
    <t>Disclaimer</t>
  </si>
  <si>
    <t>Presumed Innocent</t>
  </si>
  <si>
    <t>See</t>
  </si>
  <si>
    <t>Severance</t>
  </si>
  <si>
    <t>Shrinking</t>
  </si>
  <si>
    <t>Silo</t>
  </si>
  <si>
    <t>Slow Horses</t>
  </si>
  <si>
    <t>Ted Lasso</t>
  </si>
  <si>
    <t>Killers of the Flower Moon</t>
  </si>
  <si>
    <t>Luck</t>
  </si>
  <si>
    <t>Wolfs</t>
  </si>
  <si>
    <t>Jatt &amp; Jullit 3</t>
  </si>
  <si>
    <t>Shayar</t>
  </si>
  <si>
    <t>Sarpanchi</t>
  </si>
  <si>
    <t>Blackia 2</t>
  </si>
  <si>
    <t>Jatt Nuu Chudail Takri</t>
  </si>
  <si>
    <t>Je Jatt Vigarh Gya</t>
  </si>
  <si>
    <t>Kudi Haryane Val Di</t>
  </si>
  <si>
    <t>Rode College</t>
  </si>
  <si>
    <t>Rose Rosy Te Gulab</t>
  </si>
  <si>
    <t>Shinda Shinda No Papa</t>
  </si>
  <si>
    <t>Black Clover</t>
  </si>
  <si>
    <t>Chainsaw Man</t>
  </si>
  <si>
    <t>Fairy Tail</t>
  </si>
  <si>
    <t>Frieren: Beyond Journey's End</t>
  </si>
  <si>
    <t>Jojo's Bizarre Adventure</t>
  </si>
  <si>
    <t>Jujutsu Kaisen</t>
  </si>
  <si>
    <t>Mashle: Magic And Muscles</t>
  </si>
  <si>
    <t>Naruto Shippuden</t>
  </si>
  <si>
    <t>Solo Leveling</t>
  </si>
  <si>
    <t>Sword Art Online</t>
  </si>
  <si>
    <t>Baazi Ishq KI</t>
  </si>
  <si>
    <t>Braj Ke Gopal</t>
  </si>
  <si>
    <t>Mann Atisundar</t>
  </si>
  <si>
    <t>Mann Sundar</t>
  </si>
  <si>
    <t>Nath</t>
  </si>
  <si>
    <t>Ek Din Ki Saas</t>
  </si>
  <si>
    <t>Jai Vat Savitri Mayyiya</t>
  </si>
  <si>
    <t>Laadla 2</t>
  </si>
  <si>
    <t>Nirahua Hindustani</t>
  </si>
  <si>
    <t>Paheli</t>
  </si>
  <si>
    <t>Abraham Lincoln</t>
  </si>
  <si>
    <t>Dynasties</t>
  </si>
  <si>
    <t>Gold: A Journey With Idris Elba</t>
  </si>
  <si>
    <t>ISIS: Origins Of Violence</t>
  </si>
  <si>
    <t>Kahi Suni: Legends That Live</t>
  </si>
  <si>
    <t>Mystery Hunter</t>
  </si>
  <si>
    <t>Reality Ranis of the Jungle</t>
  </si>
  <si>
    <t>Star Vs. Food Survival</t>
  </si>
  <si>
    <t>The Birth of Empire: The East India Company</t>
  </si>
  <si>
    <t>The Ganges With Sue Perkins</t>
  </si>
  <si>
    <t>Doraemon</t>
  </si>
  <si>
    <t>Aavesham</t>
  </si>
  <si>
    <t>Do Aur Do Pyaar</t>
  </si>
  <si>
    <t>Munjya</t>
  </si>
  <si>
    <t>Salaar</t>
  </si>
  <si>
    <t>Aashiqana</t>
  </si>
  <si>
    <t>Advocate Anjali Awasthi</t>
  </si>
  <si>
    <t>Anupamaa</t>
  </si>
  <si>
    <t>Dil Ko Tumse Pyar Hua</t>
  </si>
  <si>
    <t>Ghum Hai Kisikey Pyaar Meiin</t>
  </si>
  <si>
    <t>Maati Se Bandhi Dor</t>
  </si>
  <si>
    <t>Mahabhart</t>
  </si>
  <si>
    <t>Udne ki aasha</t>
  </si>
  <si>
    <t>Yeh rishta kya kehlata hai</t>
  </si>
  <si>
    <t>Gangs of Wasseypur – 1</t>
  </si>
  <si>
    <t>Gangs of Wasseypur – 2</t>
  </si>
  <si>
    <t>Dahej Dasi</t>
  </si>
  <si>
    <t>Dharmakshetra</t>
  </si>
  <si>
    <t>Dhartiputra Nandini</t>
  </si>
  <si>
    <t>Stories By Rabindranath Tagore</t>
  </si>
  <si>
    <t>Tyohaar Ki Thaali</t>
  </si>
  <si>
    <t>Bhagam Bhag</t>
  </si>
  <si>
    <t>Piku</t>
  </si>
  <si>
    <t>Te3N</t>
  </si>
  <si>
    <t>Baban</t>
  </si>
  <si>
    <t>Badlapur</t>
  </si>
  <si>
    <t>English Vinglish</t>
  </si>
  <si>
    <t>Haathi Mere Saathi</t>
  </si>
  <si>
    <t>Love aaj Kal</t>
  </si>
  <si>
    <t>Provoked</t>
  </si>
  <si>
    <t>Ram-Leela</t>
  </si>
  <si>
    <t>Sanam Teri Kasam</t>
  </si>
  <si>
    <t>Shubh Mangal Saavdhan</t>
  </si>
  <si>
    <t>The attack of 26/11</t>
  </si>
  <si>
    <t>#Krishna Rama</t>
  </si>
  <si>
    <t>RTI</t>
  </si>
  <si>
    <t>Veeranjaneyulu Viharayatra</t>
  </si>
  <si>
    <t>Bhale Unnade</t>
  </si>
  <si>
    <t>Committee Kurrollu</t>
  </si>
  <si>
    <t>Manasantha Nuvve</t>
  </si>
  <si>
    <t>Music Shop Murthy</t>
  </si>
  <si>
    <t>Pekamedalu</t>
  </si>
  <si>
    <t>Rangula Ratnam</t>
  </si>
  <si>
    <t>Shades of Baby Pink</t>
  </si>
  <si>
    <t>Cockpit</t>
  </si>
  <si>
    <t>Ghawre Bairey Aaj</t>
  </si>
  <si>
    <t>Hawa Bodol</t>
  </si>
  <si>
    <t>Bonyo Premer Golpo</t>
  </si>
  <si>
    <t>Dugdugi</t>
  </si>
  <si>
    <t>Hello!</t>
  </si>
  <si>
    <t>Rahasya Romancha Series</t>
  </si>
  <si>
    <t>Shei Je Holud Pakhi</t>
  </si>
  <si>
    <t>Babar Naam Gandhiji</t>
  </si>
  <si>
    <t>Buro Sadhu</t>
  </si>
  <si>
    <t>Bigg Boss Ott</t>
  </si>
  <si>
    <t>Despicable Me 4</t>
  </si>
  <si>
    <t>Double ismart</t>
  </si>
  <si>
    <t>Sangathamizhan</t>
  </si>
  <si>
    <t>Durga atoot prem kahani</t>
  </si>
  <si>
    <t>Mangal lakshmi</t>
  </si>
  <si>
    <t>Megha barsenge</t>
  </si>
  <si>
    <t>Mera balam thanedar</t>
  </si>
  <si>
    <t>Mishri</t>
  </si>
  <si>
    <t>Naagin 6</t>
  </si>
  <si>
    <t>Parineeti</t>
  </si>
  <si>
    <t>Shiv shakti</t>
  </si>
  <si>
    <t>Suhagan Chudail</t>
  </si>
  <si>
    <t>Suman indori</t>
  </si>
  <si>
    <t>36 Ghanta</t>
  </si>
  <si>
    <t>Barujjye Family</t>
  </si>
  <si>
    <t>Inspector Nalinikanta 2</t>
  </si>
  <si>
    <t>Jhony Bonny</t>
  </si>
  <si>
    <t>Milkshake Murders</t>
  </si>
  <si>
    <t>NH6</t>
  </si>
  <si>
    <t>Picasso</t>
  </si>
  <si>
    <t>Raja Rani Romeo</t>
  </si>
  <si>
    <t>Roktopolash</t>
  </si>
  <si>
    <t>Shaktirupenn</t>
  </si>
  <si>
    <t>Paris Has Fallen</t>
  </si>
  <si>
    <t>Spartacus</t>
  </si>
  <si>
    <t>The Gilrfriend Experience</t>
  </si>
  <si>
    <t>A Private War</t>
  </si>
  <si>
    <t>Aftermath</t>
  </si>
  <si>
    <t>Angel Has Fallen</t>
  </si>
  <si>
    <t>Jhon Wick 4</t>
  </si>
  <si>
    <t>Legend</t>
  </si>
  <si>
    <t>Siberia</t>
  </si>
  <si>
    <t>Aanandhapuram Diaries</t>
  </si>
  <si>
    <t>Agathokakological</t>
  </si>
  <si>
    <t>Bharathanatyam</t>
  </si>
  <si>
    <t>CID Ramachandran Retd. SI</t>
  </si>
  <si>
    <t>Level Cross</t>
  </si>
  <si>
    <t>Mandakini</t>
  </si>
  <si>
    <t>Nadanna Sambhavam</t>
  </si>
  <si>
    <t>Pavi Caretaker</t>
  </si>
  <si>
    <t>Prathibha Tutorials</t>
  </si>
  <si>
    <t>Vishesham</t>
  </si>
  <si>
    <t>Campus Beats</t>
  </si>
  <si>
    <t>Fisaddi</t>
  </si>
  <si>
    <t>Gaming Insaan</t>
  </si>
  <si>
    <t>Half Love Half Arranged S2</t>
  </si>
  <si>
    <t>Hustlers</t>
  </si>
  <si>
    <t>Physics Wallah</t>
  </si>
  <si>
    <t>Pretty Ugly</t>
  </si>
  <si>
    <t>The Most Beautiful You In the World</t>
  </si>
  <si>
    <t>Cobra Kai S6</t>
  </si>
  <si>
    <t>Murder Mindfuly</t>
  </si>
  <si>
    <t xml:space="preserve">Yeh Kaali Kaali Ankhein </t>
  </si>
  <si>
    <t>Flash</t>
  </si>
  <si>
    <t>Ready Or Not</t>
  </si>
  <si>
    <t>Chathuram</t>
  </si>
  <si>
    <t>Chathuram (Tamil)</t>
  </si>
  <si>
    <t>Higuita</t>
  </si>
  <si>
    <t>Kudukku 2025</t>
  </si>
  <si>
    <t>Padachone Ingalu Katholi</t>
  </si>
  <si>
    <t>Pattaapakal</t>
  </si>
  <si>
    <t>Pendulum</t>
  </si>
  <si>
    <t>Pullu Rising</t>
  </si>
  <si>
    <t>Udal</t>
  </si>
  <si>
    <t>Vayasethrayaayi? Muppathiee..!</t>
  </si>
  <si>
    <t>#Choices</t>
  </si>
  <si>
    <t>Chanchal Haseena</t>
  </si>
  <si>
    <t>Maaya Ka Moh</t>
  </si>
  <si>
    <t>Bachubhai</t>
  </si>
  <si>
    <t>Fakt Mahilao Maate</t>
  </si>
  <si>
    <t>Kamthaan</t>
  </si>
  <si>
    <t>Lagan Special</t>
  </si>
  <si>
    <t>Naadi Dosh</t>
  </si>
  <si>
    <t>Ratanpur</t>
  </si>
  <si>
    <t>Tango Charlie</t>
  </si>
  <si>
    <t>Down Underdogs</t>
  </si>
  <si>
    <t>India’s Best Dancer vs Super Dancer: Champions ka Tashan</t>
  </si>
  <si>
    <t>Badall pe paon hai</t>
  </si>
  <si>
    <t>Barsatein Masuam pyar ka</t>
  </si>
  <si>
    <t>Jubilee Talkies</t>
  </si>
  <si>
    <t>Katha Ankahi</t>
  </si>
  <si>
    <t>Kavya</t>
  </si>
  <si>
    <t>Pashminna</t>
  </si>
  <si>
    <t>Pukaar dil se dil tak</t>
  </si>
  <si>
    <t>Pushpa Impossible</t>
  </si>
  <si>
    <t>Raisinghani vs Raisinghani</t>
  </si>
  <si>
    <t>Vansaj</t>
  </si>
  <si>
    <t>12Vi Aala Pyar</t>
  </si>
  <si>
    <t>Dhadaam</t>
  </si>
  <si>
    <t>Maayro</t>
  </si>
  <si>
    <t>Muklavo</t>
  </si>
  <si>
    <t>Nuchwana</t>
  </si>
  <si>
    <t>Prem Kabootar</t>
  </si>
  <si>
    <t>Punar Janam</t>
  </si>
  <si>
    <t>Raanda Ramphal</t>
  </si>
  <si>
    <t>Zidd</t>
  </si>
  <si>
    <t>Bairi Mafia</t>
  </si>
  <si>
    <t>Arun Vijay Super Scenes</t>
  </si>
  <si>
    <t>Malli Teacher</t>
  </si>
  <si>
    <t>Nathicharami</t>
  </si>
  <si>
    <t>NTR.Jr: A Cinematic Storm</t>
  </si>
  <si>
    <t>Priyanka Arul Mohan Super Scenes</t>
  </si>
  <si>
    <t>Ranjani</t>
  </si>
  <si>
    <t>Harom Hara</t>
  </si>
  <si>
    <t>Jailer - Kaavaalaa Sing &amp; Vibe Along</t>
  </si>
  <si>
    <t>Raayan - Rumble</t>
  </si>
  <si>
    <t>Cheese Cake</t>
  </si>
  <si>
    <t>Dil Sambhal Ja Zara</t>
  </si>
  <si>
    <t>Good Night</t>
  </si>
  <si>
    <t>Kasak</t>
  </si>
  <si>
    <t>Kasturi</t>
  </si>
  <si>
    <t>Kissa</t>
  </si>
  <si>
    <t>Nau Do Gyarah</t>
  </si>
  <si>
    <t>Pasta</t>
  </si>
  <si>
    <t>Red Light</t>
  </si>
  <si>
    <t>Sona</t>
  </si>
  <si>
    <t>Baptiste</t>
  </si>
  <si>
    <t>Clique</t>
  </si>
  <si>
    <t>Penance</t>
  </si>
  <si>
    <t>Skins</t>
  </si>
  <si>
    <t>The Holiday</t>
  </si>
  <si>
    <t>Too Close</t>
  </si>
  <si>
    <t>Van Der Valk</t>
  </si>
  <si>
    <t>Victor Lessard</t>
  </si>
  <si>
    <t>57 seconds</t>
  </si>
  <si>
    <t>Chief of Station</t>
  </si>
  <si>
    <t>Devil Conspir Acy</t>
  </si>
  <si>
    <t>Gold Run</t>
  </si>
  <si>
    <t>Restore Point</t>
  </si>
  <si>
    <t>Silent Hours</t>
  </si>
  <si>
    <t>Striking the palace</t>
  </si>
  <si>
    <t>The Angel Maker</t>
  </si>
  <si>
    <t>The Kay Game</t>
  </si>
  <si>
    <t>Unhinged</t>
  </si>
  <si>
    <t>Fifty Shades Freed</t>
  </si>
  <si>
    <t>Fifty Shades of Grey</t>
  </si>
  <si>
    <t>Gladiator</t>
  </si>
  <si>
    <t>Maa Nanna Superhero</t>
  </si>
  <si>
    <t>Nunakkuzhi</t>
  </si>
  <si>
    <t>Spider-Man No Way Home</t>
  </si>
  <si>
    <t>The Girl With The Dragon Tattoo</t>
  </si>
  <si>
    <t>The Pursuit of Happyness</t>
  </si>
  <si>
    <t>Venom 2</t>
  </si>
  <si>
    <t>Bas Itna Sa Khwaab</t>
  </si>
  <si>
    <t>Bhagya lakshmi</t>
  </si>
  <si>
    <t>Jaane Anjaane Hum Mile</t>
  </si>
  <si>
    <t>Jagriti</t>
  </si>
  <si>
    <t>Kaise mujhe tum mil gaye</t>
  </si>
  <si>
    <t>Kumkum bhagya</t>
  </si>
  <si>
    <t>Kundali bhagya</t>
  </si>
  <si>
    <t>Pyar Ka Pehla Naam: Radha Mohan</t>
  </si>
  <si>
    <t>Rab se hai dua</t>
  </si>
  <si>
    <t>Vasudha</t>
  </si>
  <si>
    <t>Show/Movies</t>
  </si>
  <si>
    <t>Round</t>
  </si>
  <si>
    <t>Family ,Drama, Romance</t>
  </si>
  <si>
    <t>Horror, Comedy, Paranormal</t>
  </si>
  <si>
    <t>Action,Thriller, Power Struggle</t>
  </si>
  <si>
    <t>Action, Comedy, Teen</t>
  </si>
  <si>
    <t>Hindi,English,Tamil</t>
  </si>
  <si>
    <t>1) Original Shows - 80%</t>
  </si>
  <si>
    <t>2) Original Movies - 100%</t>
  </si>
  <si>
    <t>3) Theatrical releases - 75% (conditions pl discuss)</t>
  </si>
  <si>
    <t>4) Catch up TV Shows - 30% (For bigg boss its also live and have highlights so higher)</t>
  </si>
  <si>
    <t>5) Live sports - depending upon sports 100% for Cricket, Kabbadi 40%, rest sport 10-15%</t>
  </si>
  <si>
    <t>4) Highlights - 10% of Live sports</t>
  </si>
  <si>
    <t>Reach</t>
  </si>
  <si>
    <t>Content format %</t>
  </si>
  <si>
    <t>Theatrical Movies</t>
  </si>
  <si>
    <t>Animation,Sci-Fi</t>
  </si>
  <si>
    <t>Bhakti,Devotional,Drama</t>
  </si>
  <si>
    <t>Drama,Biopic</t>
  </si>
  <si>
    <t>Crime,Action,Thriller</t>
  </si>
  <si>
    <t>Romance,Fantasy</t>
  </si>
  <si>
    <t>Drama,Sci-Fi</t>
  </si>
  <si>
    <t>Animation,Crime,Drama</t>
  </si>
  <si>
    <t>Action,Animation,Comedy</t>
  </si>
  <si>
    <t>Horror,Sci-Fi</t>
  </si>
  <si>
    <t>Adventure,Fantasy</t>
  </si>
  <si>
    <t>Action,Comedy,Romance</t>
  </si>
  <si>
    <t>Action,Animation,Adventure</t>
  </si>
  <si>
    <t>Adventure,Drama,Sci-Fi</t>
  </si>
  <si>
    <t>Action,Animation,Romance</t>
  </si>
  <si>
    <t>Drama,Mystery,Romance</t>
  </si>
  <si>
    <t>Hindi,Tamil,Telugu,Kannada</t>
  </si>
  <si>
    <t>Category</t>
  </si>
  <si>
    <t>2-24</t>
  </si>
  <si>
    <t>Gender</t>
  </si>
  <si>
    <t>Amazon Mx Player</t>
  </si>
  <si>
    <t>Action,Crime,Romance</t>
  </si>
  <si>
    <t>Adventure,Romance,Sci-Fi</t>
  </si>
  <si>
    <t>Final Reach</t>
  </si>
  <si>
    <t>Doumentary</t>
  </si>
  <si>
    <t>Drama,Sci-Fi,Thriller</t>
  </si>
  <si>
    <t>Fanatsy,Romance</t>
  </si>
  <si>
    <t>Comedy,Romance,Sci-Fi</t>
  </si>
  <si>
    <t>Drama,Reality-Tv</t>
  </si>
  <si>
    <t>Adventure,Mystery,Thriller</t>
  </si>
  <si>
    <t>Crime,Horror</t>
  </si>
  <si>
    <t>Animation,Drama,Romance</t>
  </si>
  <si>
    <t>Drama,Documentary</t>
  </si>
  <si>
    <t>Adventure,Documentary</t>
  </si>
  <si>
    <t>Comedy,Drama,Horror</t>
  </si>
  <si>
    <t>Sci-Fi,Thriller</t>
  </si>
  <si>
    <t>Drama,Fantasy,Thriller</t>
  </si>
  <si>
    <t>Crime,Thriiler</t>
  </si>
  <si>
    <t>Drama,Thriller,Romance</t>
  </si>
  <si>
    <t>Animation,Comedy,Drama</t>
  </si>
  <si>
    <t>Drama,Fantasy,Horror</t>
  </si>
  <si>
    <t>Crime,Drama,Sports</t>
  </si>
  <si>
    <t>Adventure,Comedy,Drama</t>
  </si>
  <si>
    <t>Sport</t>
  </si>
  <si>
    <t>Horror,Sci-Fi,Thriller</t>
  </si>
  <si>
    <t>Drama,Sc-Fi,Thriller</t>
  </si>
  <si>
    <t>Documenatry,Sport</t>
  </si>
  <si>
    <t>Jio Hotstar</t>
  </si>
  <si>
    <t>Horror,Thrillers</t>
  </si>
  <si>
    <t>Adventure,Animation,Family</t>
  </si>
  <si>
    <t>Reality-Tv,Romance</t>
  </si>
  <si>
    <t>Talk Show</t>
  </si>
  <si>
    <t>Action,Drama,Horror</t>
  </si>
  <si>
    <t>Adventure,Horror</t>
  </si>
  <si>
    <t>OTT PlatformsTYPE</t>
  </si>
  <si>
    <t>Adventure,Comedy</t>
  </si>
  <si>
    <t>Adventure,Animation,Sci-Fi</t>
  </si>
  <si>
    <t>Documenatey,Sport</t>
  </si>
  <si>
    <t>Award Ceremonies</t>
  </si>
  <si>
    <t>Fantasy,Family</t>
  </si>
  <si>
    <t>History,Drama</t>
  </si>
  <si>
    <t>Comedy,Sport</t>
  </si>
  <si>
    <t>Action,Comedy,Fantasy</t>
  </si>
  <si>
    <t>Action,Adventure,Romance</t>
  </si>
  <si>
    <t>Comedy,Crime,Mystery</t>
  </si>
  <si>
    <t>Adventure,Animation,Horror</t>
  </si>
  <si>
    <t>Fantasy,Romance</t>
  </si>
  <si>
    <t>Adventure,Animation,Drama</t>
  </si>
  <si>
    <t>Adventure,Sci-Fi,Thriller</t>
  </si>
  <si>
    <t>Action,Drama,Mystery</t>
  </si>
  <si>
    <t>Action,Animation,Fantasy</t>
  </si>
  <si>
    <t>Drama,Thriller,Sport</t>
  </si>
  <si>
    <t>Comedy,Mystery,Romance</t>
  </si>
  <si>
    <t>Live-action</t>
  </si>
  <si>
    <t>Drama,Mythology</t>
  </si>
  <si>
    <t>Ranking</t>
  </si>
  <si>
    <t>Animation</t>
  </si>
  <si>
    <t>Drama,Thriiler</t>
  </si>
  <si>
    <t>Action,Drama,History</t>
  </si>
  <si>
    <t>Action,Adventure,Mythology</t>
  </si>
  <si>
    <t>Reality Show</t>
  </si>
  <si>
    <t>Adventure,Fantasy,Horror</t>
  </si>
  <si>
    <t>Comedy,Fantasy,Romance</t>
  </si>
  <si>
    <t>Reality,Cooking-Comedy</t>
  </si>
  <si>
    <t>Reality,Adventure</t>
  </si>
  <si>
    <t>Adventure,Documenatry</t>
  </si>
  <si>
    <t>Comedy,Documenatry</t>
  </si>
  <si>
    <t>Game Show,Reality-Tv</t>
  </si>
  <si>
    <t>Docemenatry,Sport</t>
  </si>
  <si>
    <t>Comedy,Talk Show</t>
  </si>
  <si>
    <t>Documemtary</t>
  </si>
  <si>
    <t>Family Drama</t>
  </si>
  <si>
    <t>Quiz,Game Show</t>
  </si>
  <si>
    <t>Horror, Action, Fantasy, Sci-Fi</t>
  </si>
  <si>
    <t>Romance, Comedy, Drama</t>
  </si>
  <si>
    <t>Romantic Drama</t>
  </si>
  <si>
    <t>Action, Adventure, Comedy</t>
  </si>
  <si>
    <t>Superhero, Action, Drama, Comedy</t>
  </si>
  <si>
    <t>Sports (Cricket)</t>
  </si>
  <si>
    <t>Action Thriller, Neo-Noir</t>
  </si>
  <si>
    <t>Action, Comedy</t>
  </si>
  <si>
    <t>Comedy Thriller</t>
  </si>
  <si>
    <t>Horror Comedy</t>
  </si>
  <si>
    <t>Comedy, Drama</t>
  </si>
  <si>
    <t>Action, Drama, Fantasy</t>
  </si>
  <si>
    <t>Action, Thriller</t>
  </si>
  <si>
    <t>Psychological Thriller</t>
  </si>
  <si>
    <t>Crime Thriller</t>
  </si>
  <si>
    <t>Crime,Mystery,Romance</t>
  </si>
  <si>
    <t>Family Show</t>
  </si>
  <si>
    <t>Drama, Family</t>
  </si>
  <si>
    <t>Romance, Drama</t>
  </si>
  <si>
    <t>Epic,Drama</t>
  </si>
  <si>
    <t>Adventure,Crime,Drama</t>
  </si>
  <si>
    <t>Fantasy,Horror,Mystery</t>
  </si>
  <si>
    <t>Documenatry,Music</t>
  </si>
  <si>
    <t>Animation,Comedy,Sci-Fi</t>
  </si>
  <si>
    <t>Action,Comedy,Sci-Fi</t>
  </si>
  <si>
    <t>Animation,Comedy,Romance</t>
  </si>
  <si>
    <t>Documentary,Reality-Tv</t>
  </si>
  <si>
    <t>Horror,Mystery</t>
  </si>
  <si>
    <t>Drama,Suspense</t>
  </si>
  <si>
    <t>Documetary,Sports</t>
  </si>
  <si>
    <t>Comedy,Sports</t>
  </si>
  <si>
    <t>Action,Suspense</t>
  </si>
  <si>
    <t>Comedy,Horror,Sci-Fi</t>
  </si>
  <si>
    <t>Animation,Kids</t>
  </si>
  <si>
    <t>Documentary,Crime</t>
  </si>
  <si>
    <t>RealityTv</t>
  </si>
  <si>
    <t>Comedy,Romantic</t>
  </si>
  <si>
    <t>Comedy,Dance,Romance</t>
  </si>
  <si>
    <t>Animation,Documentary</t>
  </si>
  <si>
    <t>Documentary,Romance</t>
  </si>
  <si>
    <t>Adventure,Documentary,Food</t>
  </si>
  <si>
    <t>Animation,Action</t>
  </si>
  <si>
    <t>Exciting,Humorous</t>
  </si>
  <si>
    <t>Romantic,Humorous</t>
  </si>
  <si>
    <t>Devotional</t>
  </si>
  <si>
    <t>Adventure,Food</t>
  </si>
  <si>
    <t>History,Mystery</t>
  </si>
  <si>
    <t>Technologies</t>
  </si>
  <si>
    <t>Actions,Cars</t>
  </si>
  <si>
    <t>History,Biopic</t>
  </si>
  <si>
    <t>Thriller,Romance</t>
  </si>
  <si>
    <t>Animation,Adventure</t>
  </si>
  <si>
    <t>Action,Mystery</t>
  </si>
  <si>
    <t>Animation,Action,Comedy</t>
  </si>
  <si>
    <t>Animatio,Drama</t>
  </si>
  <si>
    <t>Documnetary</t>
  </si>
  <si>
    <t>Documnetary,Sports</t>
  </si>
  <si>
    <t>Action,Documentary</t>
  </si>
  <si>
    <t>Crime,Comedy</t>
  </si>
  <si>
    <t>Crime,Drama,Thrilleer</t>
  </si>
  <si>
    <t>SVOD Originals Shows</t>
  </si>
  <si>
    <t>SVOD Originals Movies</t>
  </si>
  <si>
    <t>Romaance,Thriller</t>
  </si>
  <si>
    <t>Animation,Action,Thriller</t>
  </si>
  <si>
    <t>Action,Drama,Fantasy</t>
  </si>
  <si>
    <t>Drama,Comedy,Romance</t>
  </si>
  <si>
    <t xml:space="preserve">Documentary,History </t>
  </si>
  <si>
    <t>Action,Thriller,Sci-Fi</t>
  </si>
  <si>
    <t>Adventure,Game Show</t>
  </si>
  <si>
    <t>Action,Sci-Fi,Thriller</t>
  </si>
  <si>
    <t>Bigg Boss S19</t>
  </si>
  <si>
    <t>Shodha</t>
  </si>
  <si>
    <t>Reality-Tv</t>
  </si>
  <si>
    <t>Mystery,Sci-Fi</t>
  </si>
  <si>
    <t>Adventurte,Documentary</t>
  </si>
  <si>
    <t>Adventurte,Animation,Comedy</t>
  </si>
  <si>
    <t>Comedy,Documentary,Drama</t>
  </si>
  <si>
    <t>Game</t>
  </si>
  <si>
    <t>Adventure,Sci-Fi</t>
  </si>
  <si>
    <t>Panchayat</t>
  </si>
  <si>
    <t>Invasion</t>
  </si>
  <si>
    <t>The Gorge</t>
  </si>
  <si>
    <t>Ayali</t>
  </si>
  <si>
    <t>Mission: Impossible - The Final Reckoning</t>
  </si>
  <si>
    <t>Ayyana Mane</t>
  </si>
  <si>
    <t>Bengali,English,Hindi,Kannada,Malayalam,Tamil,Telugu</t>
  </si>
  <si>
    <t>Bengali,Hindi,Kannada,Tamil,Telugu</t>
  </si>
  <si>
    <t>Hindi,Kannada,Tamil,Telugu</t>
  </si>
  <si>
    <t>Drama,Sci- Fi</t>
  </si>
  <si>
    <t>Sci- Fi</t>
  </si>
  <si>
    <t>Horror,Mythology</t>
  </si>
  <si>
    <t>Adventure,Drama,Reality-Tv</t>
  </si>
  <si>
    <t>Crime,Romance</t>
  </si>
  <si>
    <t>Action,Crime,Horror</t>
  </si>
  <si>
    <t>Horror,Mystery,Suspense</t>
  </si>
  <si>
    <t>Jio Hotstar Sparks</t>
  </si>
  <si>
    <t>Celebrities, Competition, Couples, Reality</t>
  </si>
  <si>
    <t>Crime, Drama, Invetigative, Mystery</t>
  </si>
  <si>
    <t>Couples, Drama, Family Friendly</t>
  </si>
  <si>
    <t>Action, Dark Humor, Satire, Superheroes</t>
  </si>
  <si>
    <t>Adventure, Animation, Devotional &amp; Spiritual, Mythology</t>
  </si>
  <si>
    <t>Comedy, Crime, Drama, Mystery</t>
  </si>
  <si>
    <t>Action, Political, Spy, Thriller</t>
  </si>
  <si>
    <t>Highest 2 Lowest</t>
  </si>
  <si>
    <t>Comedy,Crime,Fantasy</t>
  </si>
  <si>
    <t>Trending Top 10</t>
  </si>
  <si>
    <t>Hindi,Kannada,Malayalam,Tamil,Telugu</t>
  </si>
  <si>
    <t>Kannada,Malayalam,Tamil,Telugu</t>
  </si>
  <si>
    <t>Celebrities,Competition,Couples,Reality</t>
  </si>
  <si>
    <t>Drama,Thriller,Sci-Fi</t>
  </si>
  <si>
    <t>Comedy,Entertainment,Talk Show</t>
  </si>
  <si>
    <t>Family Drama, Social Drama</t>
  </si>
  <si>
    <t>Family Drama, Romance</t>
  </si>
  <si>
    <t>Action, Thriller, Drama</t>
  </si>
  <si>
    <t>Crime, Legal, Thriller</t>
  </si>
  <si>
    <t>Drama, Romance</t>
  </si>
  <si>
    <t>Talk Show, Reality</t>
  </si>
  <si>
    <t>Family, Social Drama</t>
  </si>
  <si>
    <t>War, Action, Drama</t>
  </si>
  <si>
    <t>Fantasy, Action, Drama</t>
  </si>
  <si>
    <t>Action, Comedy, Romance</t>
  </si>
  <si>
    <t>Comedy, Reality, Food</t>
  </si>
  <si>
    <t>Sports, Live</t>
  </si>
  <si>
    <t>Drama, Action</t>
  </si>
  <si>
    <t>Crime, Thriller</t>
  </si>
  <si>
    <t>Comedy, Family Drama</t>
  </si>
  <si>
    <t>Action, Superhero, Sci-Fi</t>
  </si>
  <si>
    <t>Adventure, Fantasy</t>
  </si>
  <si>
    <t>Adventure, Comedy</t>
  </si>
  <si>
    <t>Action, Drama, Thriller</t>
  </si>
  <si>
    <t>Horror, Comedy</t>
  </si>
  <si>
    <t>Biographical, Drama</t>
  </si>
  <si>
    <t>Romance, Comedy</t>
  </si>
  <si>
    <t>Comedy, Entertainment</t>
  </si>
  <si>
    <t>Sci-Fi, Fantasy</t>
  </si>
  <si>
    <t>Action, Drama</t>
  </si>
  <si>
    <t>Thriller, Drama</t>
  </si>
  <si>
    <t>Thriller, Suspense</t>
  </si>
  <si>
    <t>Drama, Mystery</t>
  </si>
  <si>
    <t>Action, Horror, Thriller</t>
  </si>
  <si>
    <t>Drama, Inspirational, Disaster</t>
  </si>
  <si>
    <t>Social Drama, Family Drama</t>
  </si>
  <si>
    <t>Crime, Spy, Thriller</t>
  </si>
  <si>
    <t>Crime, Thriller, Drama</t>
  </si>
  <si>
    <t>Crime, Mystery, Thriller</t>
  </si>
  <si>
    <t>Action, Drama, Social</t>
  </si>
  <si>
    <t>Action, Adventure</t>
  </si>
  <si>
    <t>Crime, Drama, Investigative</t>
  </si>
  <si>
    <t>Horror, Fantasy, Adventure</t>
  </si>
  <si>
    <t>Action, Drama, Crime</t>
  </si>
  <si>
    <t>Wrestling, Sports, Entertainment</t>
  </si>
  <si>
    <t>Action, Romance, Drama</t>
  </si>
  <si>
    <t>Thriller, Suspense, Drama</t>
  </si>
  <si>
    <t>Romance, Coming-of-Age, Drama</t>
  </si>
  <si>
    <t>Crime, Thriller, Mystery</t>
  </si>
  <si>
    <t>Crime, Thriller, Suspense</t>
  </si>
  <si>
    <t>Drama, Thriller</t>
  </si>
  <si>
    <t>Drama, Musical, Romance</t>
  </si>
  <si>
    <t>Romance, Family Drama</t>
  </si>
  <si>
    <t>Horror, Thriller</t>
  </si>
  <si>
    <t>Comedy, Crime, Fantasy</t>
  </si>
  <si>
    <t>Celebrities, Competition, Reality</t>
  </si>
  <si>
    <t>Action,Romance,Drama</t>
  </si>
  <si>
    <t>Family, Comedy, Drama</t>
  </si>
  <si>
    <t>Coming-of-Age, Romance, Drama</t>
  </si>
  <si>
    <t>Comedy, Family, Drama</t>
  </si>
  <si>
    <t>Rise And Fall</t>
  </si>
  <si>
    <t>Almost Fit</t>
  </si>
  <si>
    <t>Do You Wanna Partner</t>
  </si>
  <si>
    <t>Animated</t>
  </si>
  <si>
    <t>Comedy,Reality-Tv</t>
  </si>
  <si>
    <t>Jurassic World: Rebirth</t>
  </si>
  <si>
    <t>The Morning Show S3</t>
  </si>
  <si>
    <t>Slow horses</t>
  </si>
  <si>
    <t>Sattamum Needhiyum</t>
  </si>
  <si>
    <t>Spider-Man: Homecoming</t>
  </si>
  <si>
    <t>Drama,Family Drama</t>
  </si>
  <si>
    <t>Crime,Detective,Drama</t>
  </si>
  <si>
    <t>Drama,Political</t>
  </si>
  <si>
    <t>Family Drama,Sci- Fi</t>
  </si>
  <si>
    <t>Social Drama,Suspense,Thriller</t>
  </si>
  <si>
    <t>Drama,Social Drama</t>
  </si>
  <si>
    <t>Family Drama,Social Drama</t>
  </si>
  <si>
    <t>Crime,Thriller,Violence</t>
  </si>
  <si>
    <t>Action,Drama,Mystery,Romance,Violence</t>
  </si>
  <si>
    <t>Crime,Mystery,Suspense,Thriller</t>
  </si>
  <si>
    <t>Action,Comedy,Drama,Violence</t>
  </si>
  <si>
    <t>Drama,Suspense,Thriller</t>
  </si>
  <si>
    <t>Comedy,Drama,Suspense</t>
  </si>
  <si>
    <t>Horror,Mystery,Suspense,Thriller</t>
  </si>
  <si>
    <t>Action,Drama,Suspense</t>
  </si>
  <si>
    <t>Horror,Suspense</t>
  </si>
  <si>
    <t>Romantic Comedy</t>
  </si>
  <si>
    <t>Action,Fantasy,Shonen</t>
  </si>
  <si>
    <t>Action,Drama,Romance,Shonen,Supernatural</t>
  </si>
  <si>
    <t>Action,Sci-Fi,Shonen</t>
  </si>
  <si>
    <t>Action,Adventure,Comedy,Drama,Sci-Fi,Shonen</t>
  </si>
  <si>
    <t>Action,Adventure,Fantasy,Shonen</t>
  </si>
  <si>
    <t>Action,Adventure,Drama,Fantasy</t>
  </si>
  <si>
    <t>Romance,Slice of Life</t>
  </si>
  <si>
    <t>Animated,Kids</t>
  </si>
  <si>
    <t>Biopic,Civilizations,History</t>
  </si>
  <si>
    <t>Adventure,Survival</t>
  </si>
  <si>
    <t>History,Mystery,Science</t>
  </si>
  <si>
    <t>Fantasy,Fiction,Mythology</t>
  </si>
  <si>
    <t>Drama,Fiction</t>
  </si>
  <si>
    <t>Devotionals</t>
  </si>
  <si>
    <t>Action,Patriotic,crime</t>
  </si>
  <si>
    <t>Romance,Romantic Comedy</t>
  </si>
  <si>
    <t>Events</t>
  </si>
  <si>
    <t>Comedy,Coming of Age,Drama</t>
  </si>
  <si>
    <t>Music,Talent Search</t>
  </si>
  <si>
    <t>Talent Search</t>
  </si>
  <si>
    <t>Thriler</t>
  </si>
  <si>
    <t>Comedy,Detective</t>
  </si>
  <si>
    <t>Social Drama</t>
  </si>
  <si>
    <t>Courtroom,Drama</t>
  </si>
  <si>
    <t>Political,Thriller</t>
  </si>
  <si>
    <t>Detective</t>
  </si>
  <si>
    <t>Action,Drama,Survival</t>
  </si>
  <si>
    <t>Detective,Mystery</t>
  </si>
  <si>
    <t>Coming of Age,Drama,Teen</t>
  </si>
  <si>
    <t>Action,Dystopian,Neo-Noir,Thriller</t>
  </si>
  <si>
    <t>Action,Adventure,Super Heroes</t>
  </si>
  <si>
    <t>Adventure,Comedy,Science Fiction</t>
  </si>
  <si>
    <t>Comedy,Conspiracy,Inventigative</t>
  </si>
  <si>
    <t>Drama,Historical,Period Drama,Tragedy</t>
  </si>
  <si>
    <t>Drama,Family,Thriller,War</t>
  </si>
  <si>
    <t>Erotica,Romance</t>
  </si>
  <si>
    <t>Action,Covert Agencies,Spy,Thriller</t>
  </si>
  <si>
    <t>Couples,Drama,Family Friendly</t>
  </si>
  <si>
    <t>Action,Political,Spy,Thriller</t>
  </si>
  <si>
    <t>Crime,Drama,Invenstigative,Mystery</t>
  </si>
  <si>
    <t>Alien,Drama,Sci-Fi,Thriller</t>
  </si>
  <si>
    <t>Animals,Animation,Kids</t>
  </si>
  <si>
    <t>Adventure,Animation,Devotional &amp; Spiritual,Mythology</t>
  </si>
  <si>
    <t>Action,Dark Humor,Satire,Superheroes</t>
  </si>
  <si>
    <t>Comedy,Crime,Drama,Mystery</t>
  </si>
  <si>
    <t>Dark Comedy</t>
  </si>
  <si>
    <t>Detective,Thriller</t>
  </si>
  <si>
    <t>Crime,Detective,Thriller</t>
  </si>
  <si>
    <t>Suspense,Thriller</t>
  </si>
  <si>
    <t>Award Show</t>
  </si>
  <si>
    <t>Comedy,Entertainment</t>
  </si>
  <si>
    <t>Entertainment</t>
  </si>
  <si>
    <t>Biopic,Thriller</t>
  </si>
  <si>
    <t>Complex Drama,Crime</t>
  </si>
  <si>
    <t>Romance,Social Drama</t>
  </si>
  <si>
    <t>Comedy,Family Drama</t>
  </si>
  <si>
    <t>Action,Family Drama</t>
  </si>
  <si>
    <t>Crime Drama</t>
  </si>
  <si>
    <t>Family Drama,Romance</t>
  </si>
  <si>
    <t>Supernatural,Thriller</t>
  </si>
  <si>
    <t>Crime,Romance,Suspense</t>
  </si>
  <si>
    <t>Family Drama,Mythology</t>
  </si>
  <si>
    <t>Religious Documentary</t>
  </si>
  <si>
    <t>Serial</t>
  </si>
  <si>
    <t>Devotional,Spiritual</t>
  </si>
  <si>
    <t>Specials</t>
  </si>
  <si>
    <t>Family Drama,Serial</t>
  </si>
  <si>
    <t>Cooking</t>
  </si>
  <si>
    <t>Spiritual</t>
  </si>
  <si>
    <t>Youth Drama</t>
  </si>
  <si>
    <t>Crime,Suspense,Thriller</t>
  </si>
  <si>
    <t>Action,Crime,Drama,Thriller</t>
  </si>
  <si>
    <t>Action,Suspense,Thriller</t>
  </si>
  <si>
    <t>Action,Political,Thriller</t>
  </si>
  <si>
    <t>Mystery,Suspense,Thriller</t>
  </si>
  <si>
    <t>Action,Adventure,Sci-Fi,Thriler</t>
  </si>
  <si>
    <t>Action,Adventure,Comedy,Drama</t>
  </si>
  <si>
    <t>Bengali,Hindi,Kannada,Malayalam,Marathi,Tamil,Telugu</t>
  </si>
  <si>
    <t>English,Hindi,Tamil</t>
  </si>
  <si>
    <t>English,Hindi,Telugu</t>
  </si>
  <si>
    <t>Sena - Guardians Of The Nation</t>
  </si>
  <si>
    <t>Bindiya Ke Bahubali</t>
  </si>
  <si>
    <t>Half CA Season 2</t>
  </si>
  <si>
    <t>Gutar Gu S3</t>
  </si>
  <si>
    <t>Amazon MX Player</t>
  </si>
  <si>
    <t>Alt Balaji</t>
  </si>
  <si>
    <t>Sun NXT</t>
  </si>
  <si>
    <t>Other OTT (Non Regional)</t>
  </si>
  <si>
    <t>Other OTT (Regional)</t>
  </si>
  <si>
    <t>Demographic Profile</t>
  </si>
  <si>
    <t>M &lt;18</t>
  </si>
  <si>
    <t>M 18 - 24</t>
  </si>
  <si>
    <t>M 25 - 35</t>
  </si>
  <si>
    <t>M 35 +</t>
  </si>
  <si>
    <t>F &lt;18</t>
  </si>
  <si>
    <t>F 18 - 24</t>
  </si>
  <si>
    <t>F 25 - 35</t>
  </si>
  <si>
    <t>F 35 +</t>
  </si>
  <si>
    <t>Randbetween to change % Every time</t>
  </si>
  <si>
    <t>Location</t>
  </si>
  <si>
    <t>North - Metro &amp; T1</t>
  </si>
  <si>
    <t>North - T2 &amp; beyond</t>
  </si>
  <si>
    <t>South - Metro &amp; T1</t>
  </si>
  <si>
    <t>South - T2 &amp; beyond</t>
  </si>
  <si>
    <t>West - Metro &amp; T1</t>
  </si>
  <si>
    <t>West - T2 &amp; beyond</t>
  </si>
  <si>
    <t>East - Metro &amp; T1</t>
  </si>
  <si>
    <t>East - T2 &amp; beyond</t>
  </si>
  <si>
    <t>The Treasure Hunters</t>
  </si>
  <si>
    <t>The Ba***ds of Bollywood</t>
  </si>
  <si>
    <t>Mahavatar Narsimha</t>
  </si>
  <si>
    <t>Comedy,Drama,Music</t>
  </si>
  <si>
    <t>Animation,Comedy,Horror</t>
  </si>
  <si>
    <t>Action,Animation,Drama</t>
  </si>
  <si>
    <t>Documentary,Reality Tv</t>
  </si>
  <si>
    <t>Gen V</t>
  </si>
  <si>
    <t>Astroverse With Jai Madaan</t>
  </si>
  <si>
    <t>Game Of Greed</t>
  </si>
  <si>
    <t>Indian Game Adda</t>
  </si>
  <si>
    <t>Insider With Faisu</t>
  </si>
  <si>
    <t>Loventure Pyaar Ka Vanvas</t>
  </si>
  <si>
    <t>The Society Kaun Banega Asli Baazigar</t>
  </si>
  <si>
    <t>Fifty Shades Of Grey</t>
  </si>
  <si>
    <t>Political Drama</t>
  </si>
  <si>
    <t>Social,Thriller</t>
  </si>
  <si>
    <t>Detective,Myster</t>
  </si>
  <si>
    <t>Drama,Social</t>
  </si>
  <si>
    <t>Biopic,Common-Man-Struggles,Underdog</t>
  </si>
  <si>
    <t>Action,Mystery,Supernatural,Thriller</t>
  </si>
  <si>
    <t>Adventure,Comdey,Family,Sci-Fi</t>
  </si>
  <si>
    <t>Horror,Mystery,Psychological,Thriller</t>
  </si>
  <si>
    <t>Comedy,Conspiracy,Investigative</t>
  </si>
  <si>
    <t>Drama,Investigative,Consipracy</t>
  </si>
  <si>
    <t>Adventure,Fantasy,Horror,Mystery</t>
  </si>
  <si>
    <t>Action,Drama,Survival,Thriller</t>
  </si>
  <si>
    <t>Comedy,Kids</t>
  </si>
  <si>
    <t>Drama,Friendship,Medical</t>
  </si>
  <si>
    <t>Animation,Comedy,Kids</t>
  </si>
  <si>
    <t>Comedy,Drama,Investigative</t>
  </si>
  <si>
    <t>Drama,Historic</t>
  </si>
  <si>
    <t>Action,Fantasy,Horror,Thriller</t>
  </si>
  <si>
    <t>Biography,Drama,Sports</t>
  </si>
  <si>
    <t>Pati Patni aur Panga</t>
  </si>
  <si>
    <t>Bhog: The Offering</t>
  </si>
  <si>
    <t>All of You</t>
  </si>
  <si>
    <t>Sumathi Valavu</t>
  </si>
  <si>
    <t>Crime,Reality-Tv</t>
  </si>
  <si>
    <t>Music,Romance</t>
  </si>
  <si>
    <t>Romance,Horror</t>
  </si>
  <si>
    <t>Drama,Mystery,Suspense,Thriller</t>
  </si>
  <si>
    <t>Horror,Suspense,Thriller</t>
  </si>
  <si>
    <t>Talk Show,Unscripted</t>
  </si>
  <si>
    <t>Adventure,Reality,Survival</t>
  </si>
  <si>
    <t>Corruption,Crime,Drama</t>
  </si>
  <si>
    <t>Mystery,Psychological,Romance,Thriller</t>
  </si>
  <si>
    <t>Consipracy,Drama,Investigative</t>
  </si>
  <si>
    <t>Biopic,Drama,Historical,Thriller</t>
  </si>
  <si>
    <t>Devotional,Kids</t>
  </si>
  <si>
    <t>Comdedy,Drama,Horror</t>
  </si>
  <si>
    <t>Two Much with Kajol &amp; Twinkle</t>
  </si>
  <si>
    <t>Superman</t>
  </si>
  <si>
    <t>Hunter 2</t>
  </si>
  <si>
    <t>Little Hearts</t>
  </si>
  <si>
    <t>Nobody 2</t>
  </si>
  <si>
    <t>Sarbala Ji</t>
  </si>
  <si>
    <t>The Lost Bus</t>
  </si>
  <si>
    <t>Animation,Fantasy</t>
  </si>
  <si>
    <t>Music,Reality-Tv</t>
  </si>
  <si>
    <t>India's Got Talent</t>
  </si>
  <si>
    <t>Documentary,Horror</t>
  </si>
  <si>
    <t>Travel</t>
  </si>
  <si>
    <t>Comedy,Drama,Family,RomCom</t>
  </si>
  <si>
    <t>Action,Gritty,Slashy,Thriller</t>
  </si>
  <si>
    <t>Biopic</t>
  </si>
  <si>
    <t>Crime,Psychological,Thriller</t>
  </si>
  <si>
    <t>Coming of Age,Drama,Romance</t>
  </si>
  <si>
    <t>Action,Crime,Drama,Suspense</t>
  </si>
  <si>
    <t>Game Of Glory</t>
  </si>
  <si>
    <t>Shaadi Ke Side Effects</t>
  </si>
  <si>
    <t>Param Sundari</t>
  </si>
  <si>
    <t>Rambo</t>
  </si>
  <si>
    <t>Sahasam</t>
  </si>
  <si>
    <t>The Last Frontier</t>
  </si>
  <si>
    <t>Alaap</t>
  </si>
  <si>
    <t>Kaberi Antardhan</t>
  </si>
  <si>
    <t>Sagardwipey Jawker Dhan</t>
  </si>
  <si>
    <t>Doctor Bakshi</t>
  </si>
  <si>
    <t>Ardhangini</t>
  </si>
  <si>
    <t>Tenida and Company</t>
  </si>
  <si>
    <t>Mitin Mashi</t>
  </si>
  <si>
    <t>Jyeshthoputro</t>
  </si>
  <si>
    <t>Borunbabur Bondhu</t>
  </si>
  <si>
    <t>Alo</t>
  </si>
  <si>
    <t>Feluda Ferot Jawto Kanto Kathmandute</t>
  </si>
  <si>
    <t>Tomake Bujhina Priyo</t>
  </si>
  <si>
    <t>Dekhechhi Tomake Shrabone</t>
  </si>
  <si>
    <t>Sin Whispers of Guilt</t>
  </si>
  <si>
    <t>Tribhanadhari Barbarik</t>
  </si>
  <si>
    <t>Sister Midnight</t>
  </si>
  <si>
    <t>Kuriyan Jawan Bapu Preshaan 2</t>
  </si>
  <si>
    <t>Daaru Na Peenda Hove</t>
  </si>
  <si>
    <t>84 Toh Baad</t>
  </si>
  <si>
    <t>Shikaari S2</t>
  </si>
  <si>
    <t>Mittra Da Challeya Truck Ni</t>
  </si>
  <si>
    <t>Chal Mera Putt 2</t>
  </si>
  <si>
    <t>Gachiakuta</t>
  </si>
  <si>
    <t>Dan Da Dan</t>
  </si>
  <si>
    <t>Oggy and the Cockroaches</t>
  </si>
  <si>
    <t>Dragon Ball Z Kai</t>
  </si>
  <si>
    <t>Grizzy and The Lemmings</t>
  </si>
  <si>
    <t>Little Singham</t>
  </si>
  <si>
    <t>Gold Rush</t>
  </si>
  <si>
    <t>Fukrey Boyzzz</t>
  </si>
  <si>
    <t>BLUETICK</t>
  </si>
  <si>
    <t>Family Table</t>
  </si>
  <si>
    <t>Laal Banarasi</t>
  </si>
  <si>
    <t>Mata Ki Mahima</t>
  </si>
  <si>
    <t>Paapnaashini Ganga</t>
  </si>
  <si>
    <t>Constable Kanakam</t>
  </si>
  <si>
    <t>AIR- All India Rankers</t>
  </si>
  <si>
    <t>Anaganaga</t>
  </si>
  <si>
    <t>Indu S3</t>
  </si>
  <si>
    <t>Trade up</t>
  </si>
  <si>
    <t>Neel Akasher Chadni</t>
  </si>
  <si>
    <t>Ebhabei Golpo Hok</t>
  </si>
  <si>
    <t>Kadambari Aajo</t>
  </si>
  <si>
    <t>Borfi</t>
  </si>
  <si>
    <t>Bhalobasar Galpo</t>
  </si>
  <si>
    <t>Sheser Golpo</t>
  </si>
  <si>
    <t>Bohomaan</t>
  </si>
  <si>
    <t>Olpo Holeo Sotti</t>
  </si>
  <si>
    <t>Bijoya Dashami</t>
  </si>
  <si>
    <t>Aparajitaa - An Unspoken Relationship</t>
  </si>
  <si>
    <t>Olokkhis In Goa</t>
  </si>
  <si>
    <t>Chick Flick</t>
  </si>
  <si>
    <t>Detective Charulata</t>
  </si>
  <si>
    <t>Inspector Nalinikanta</t>
  </si>
  <si>
    <t>Katakuti</t>
  </si>
  <si>
    <t>Sarkeet</t>
  </si>
  <si>
    <t>Kalaratri</t>
  </si>
  <si>
    <t>Vyasanasametham Bandhumithradhikal</t>
  </si>
  <si>
    <t>ID: The Fake</t>
  </si>
  <si>
    <t>Perumani</t>
  </si>
  <si>
    <t>Meesha</t>
  </si>
  <si>
    <t>Raveendra Nee Evide?</t>
  </si>
  <si>
    <t>Sthanarthi Sreekuttan</t>
  </si>
  <si>
    <t>Jholachhap</t>
  </si>
  <si>
    <t>Jaanleva Ishq</t>
  </si>
  <si>
    <t>Pyar Ke Parwane</t>
  </si>
  <si>
    <t>Dildaar Se Dil Lagaal</t>
  </si>
  <si>
    <t>Saanwari</t>
  </si>
  <si>
    <t>Vanvas</t>
  </si>
  <si>
    <t>Batta</t>
  </si>
  <si>
    <t>Hukum Ka Ikka</t>
  </si>
  <si>
    <t>Operation Mewat</t>
  </si>
  <si>
    <t>Fatta</t>
  </si>
  <si>
    <t>Gavri</t>
  </si>
  <si>
    <t>Kheenchtan</t>
  </si>
  <si>
    <t>Beendani Ko Rolo</t>
  </si>
  <si>
    <t>Kalabazari</t>
  </si>
  <si>
    <t>A Mother's Special Love</t>
  </si>
  <si>
    <t>River Of Blood</t>
  </si>
  <si>
    <t>Dominique</t>
  </si>
  <si>
    <t>Deliver Us</t>
  </si>
  <si>
    <t>The Goldsmith</t>
  </si>
  <si>
    <t>Sugar Baby</t>
  </si>
  <si>
    <t>Skins S7</t>
  </si>
  <si>
    <t>The Ex Wife</t>
  </si>
  <si>
    <t>Victor Lessard S3</t>
  </si>
  <si>
    <t>Detective,Suspense,Thriller</t>
  </si>
  <si>
    <t>Suspense</t>
  </si>
  <si>
    <t>Action,Fantasy</t>
  </si>
  <si>
    <t>Action,Adventure,Comedy,Drama,Sci-Fi</t>
  </si>
  <si>
    <t>Action,Adventure,Comedy,Fantasy</t>
  </si>
  <si>
    <t>Comedy,Event</t>
  </si>
  <si>
    <t>Event</t>
  </si>
  <si>
    <t>Food,Reality-Tv</t>
  </si>
  <si>
    <t>Action,Animation,Fantasy,Kids</t>
  </si>
  <si>
    <t>Chat Show</t>
  </si>
  <si>
    <t>Game Show, Reality Show</t>
  </si>
  <si>
    <t>Entertainment, Game Show</t>
  </si>
  <si>
    <t>Crime,Drama,Mystery,Romance</t>
  </si>
  <si>
    <t>Comedy,Family,Drama</t>
  </si>
  <si>
    <t>Family,Drama,Mythology</t>
  </si>
  <si>
    <t>Entertainment,Event</t>
  </si>
  <si>
    <t>Family,Drama</t>
  </si>
  <si>
    <t>Devotionals,Kids</t>
  </si>
  <si>
    <t>English,Hindi,Kannada,Malayalam,Tamil,Telugu</t>
  </si>
  <si>
    <t>Aabhyanthara Kuttavaali</t>
  </si>
  <si>
    <t>Baaghi 4</t>
  </si>
  <si>
    <t>Imbam</t>
  </si>
  <si>
    <t>Kishkindhapuri</t>
  </si>
  <si>
    <t>Nishir Daak</t>
  </si>
  <si>
    <t>Drama,Fantasy,Romance</t>
  </si>
  <si>
    <t>Crime,Drama,Horror</t>
  </si>
  <si>
    <t>Crime,Documentary,Thriller</t>
  </si>
  <si>
    <t>Mirzapur</t>
  </si>
  <si>
    <t>One Piece</t>
  </si>
  <si>
    <t>The Water Magician</t>
  </si>
  <si>
    <t>Battle Of Saragarhi</t>
  </si>
  <si>
    <t>Baghin</t>
  </si>
  <si>
    <t>Bhagwat Chapter One - Raakshas</t>
  </si>
  <si>
    <t>Romance,Young Adult Audience,Dark</t>
  </si>
  <si>
    <t>Horror,Haunting,Dark</t>
  </si>
  <si>
    <t>Comedy,Drama,Family,Romance</t>
  </si>
  <si>
    <t>Malayalam,Tamil</t>
  </si>
  <si>
    <t>Station 5</t>
  </si>
  <si>
    <t>Mirage</t>
  </si>
  <si>
    <t>Guru Nanak Jahaz</t>
  </si>
  <si>
    <t>They Call Him OG</t>
  </si>
  <si>
    <t>Grihapravesh</t>
  </si>
  <si>
    <t>Kurukshetra Season 1: Part 2</t>
  </si>
  <si>
    <t>Julie</t>
  </si>
  <si>
    <t>The Conjuring 4: Last Rites</t>
  </si>
  <si>
    <t>Kajju No.8</t>
  </si>
  <si>
    <t>My Hero Academia</t>
  </si>
  <si>
    <t>Mahabharat: Ek Dharmayudh</t>
  </si>
  <si>
    <t>BHAGAR</t>
  </si>
  <si>
    <t>Scam 1992</t>
  </si>
  <si>
    <t>Mokhan Vahini 2</t>
  </si>
  <si>
    <t>Dark,Romance,Young Adult</t>
  </si>
  <si>
    <t>Adventure,Suspence</t>
  </si>
  <si>
    <t>Dark,Hunting,Intense</t>
  </si>
  <si>
    <t>Action,Sci-fi,Shonen</t>
  </si>
  <si>
    <t>Adventure,Extreme Jobs</t>
  </si>
  <si>
    <t>Horror,Mythological</t>
  </si>
  <si>
    <t>Adventure,Mythology</t>
  </si>
  <si>
    <t>Game Show,Reality Show</t>
  </si>
  <si>
    <t>Entertainment,Game Show</t>
  </si>
  <si>
    <t>Drama,Family,Mythology</t>
  </si>
  <si>
    <t>Cookery</t>
  </si>
  <si>
    <t>Action,Adventure,Sci-Fi,Thriller</t>
  </si>
  <si>
    <t>Hindi,Tamil,Telugu,Kannada,Malayalam,Bengali,Marathi</t>
  </si>
  <si>
    <t>Down Cemetery Road</t>
  </si>
  <si>
    <t>Idli Kadai</t>
  </si>
  <si>
    <t>Blackmail</t>
  </si>
  <si>
    <t>The Witcher Season 4</t>
  </si>
  <si>
    <t>Ganoshotru</t>
  </si>
  <si>
    <t>Lokah Chapter 1: Chandra</t>
  </si>
  <si>
    <t>Maarigallu</t>
  </si>
  <si>
    <t>Nishaanchi</t>
  </si>
  <si>
    <t>Rangbaaz: The Bihar Chapter</t>
  </si>
  <si>
    <t>Horror,Sport</t>
  </si>
  <si>
    <t>The Family Man S2</t>
  </si>
  <si>
    <t>Kantara A Legend Chapter - 1</t>
  </si>
  <si>
    <t>Clevatess</t>
  </si>
  <si>
    <t>Dr. STONE</t>
  </si>
  <si>
    <t>Naked and Afraid</t>
  </si>
  <si>
    <t>Ek Doctor Ki Maut</t>
  </si>
  <si>
    <t>Antormahal</t>
  </si>
  <si>
    <t>Bishohori</t>
  </si>
  <si>
    <t>Durgo Rawhoshyo</t>
  </si>
  <si>
    <t>Feludar Goyendagiri</t>
  </si>
  <si>
    <t>Indubala Bhaater Hotel</t>
  </si>
  <si>
    <t>Kaalratri</t>
  </si>
  <si>
    <t>Mohanagar S2</t>
  </si>
  <si>
    <t>Aynabaji</t>
  </si>
  <si>
    <t>Baishe Srabon</t>
  </si>
  <si>
    <t>Belashuru</t>
  </si>
  <si>
    <t>Byomkesh Hotyamancha</t>
  </si>
  <si>
    <t>Datta</t>
  </si>
  <si>
    <t>Ei Raat Tomar Amaar</t>
  </si>
  <si>
    <t>Goynar Baksho</t>
  </si>
  <si>
    <t>Habji Gabji</t>
  </si>
  <si>
    <t>Shotyi Bole Shotyi Kichhu Nei</t>
  </si>
  <si>
    <t>Laughter Chefs S2</t>
  </si>
  <si>
    <t>Mr and Mrs Bachelor</t>
  </si>
  <si>
    <t>Stranger Things</t>
  </si>
  <si>
    <t>Kolaambi</t>
  </si>
  <si>
    <t>Sahsam</t>
  </si>
  <si>
    <t>Indian Idol S16</t>
  </si>
  <si>
    <t>Kaun Banega Crorepati 2025</t>
  </si>
  <si>
    <t>Baai Tujhyapayi</t>
  </si>
  <si>
    <t>Janaawar - The Beast Within</t>
  </si>
  <si>
    <t>Veduvan</t>
  </si>
  <si>
    <t>Bengali,Hindi,Kannada,Malayalam,Malayalam,Marathi,Tamil,Telugu</t>
  </si>
  <si>
    <t>Action,Animation,Kids</t>
  </si>
  <si>
    <t>Documentary,Biography</t>
  </si>
  <si>
    <t>Drama,Period</t>
  </si>
  <si>
    <t>History,Mystery,Investigation,Science</t>
  </si>
  <si>
    <t>Adventur,Survival</t>
  </si>
  <si>
    <t xml:space="preserve">Biography,Social Issues,Drama </t>
  </si>
  <si>
    <t>Biography,History,Drama</t>
  </si>
  <si>
    <t>Sci- Fi,Drama,Fantasy</t>
  </si>
  <si>
    <t>Drama,Politics</t>
  </si>
  <si>
    <t>Action,Horror,Fantasy</t>
  </si>
  <si>
    <t>Crime,Thriller,Documentary</t>
  </si>
  <si>
    <t>Madhuram Jeevamruthabindu</t>
  </si>
  <si>
    <t>Bambi: The Reckoning</t>
  </si>
  <si>
    <t>The Fantastic 4: First Steps</t>
  </si>
  <si>
    <t>Mithra Mandali</t>
  </si>
  <si>
    <t>As You Stood By</t>
  </si>
  <si>
    <t>Baramulla</t>
  </si>
  <si>
    <t>Ek Chatur Naar</t>
  </si>
  <si>
    <t>Frankenstein</t>
  </si>
  <si>
    <t>Karam</t>
  </si>
  <si>
    <t>Kiss</t>
  </si>
  <si>
    <t>Pluribus</t>
  </si>
  <si>
    <t>Game,Reality-Tv</t>
  </si>
  <si>
    <t>Jio hotstar</t>
  </si>
  <si>
    <t>Hindi,Tamil,Telugu,Turkish</t>
  </si>
  <si>
    <t>Marathi,Telugu</t>
  </si>
  <si>
    <t>Adventure,Suspense</t>
  </si>
  <si>
    <t>Biography,Drama,Social Issues</t>
  </si>
  <si>
    <t>Biography,Drama,History</t>
  </si>
  <si>
    <t>Action,Drama,Political</t>
  </si>
  <si>
    <t>Action,Crime,Mystery,Thriller</t>
  </si>
  <si>
    <t>Action,Adventure,Animation,Fantasy</t>
  </si>
  <si>
    <t>Ghoshbabur Retirement Plan</t>
  </si>
  <si>
    <t>Weapons</t>
  </si>
  <si>
    <t>Maxton Hall S2</t>
  </si>
  <si>
    <t>The Summer I Turned Pretty S3</t>
  </si>
  <si>
    <t>Srikanto</t>
  </si>
  <si>
    <t>Mirai</t>
  </si>
  <si>
    <t>Robinhood</t>
  </si>
  <si>
    <t>Bond Ravi</t>
  </si>
  <si>
    <t>Off Script</t>
  </si>
  <si>
    <t>WWE Smackdown</t>
  </si>
  <si>
    <t>Bad Boyz</t>
  </si>
  <si>
    <t>Maharani S4</t>
  </si>
  <si>
    <t>Bramayugam</t>
  </si>
  <si>
    <t>Bhoothakaalam</t>
  </si>
  <si>
    <t>Mahapunarjanam - Janmon ki Mahagatha</t>
  </si>
  <si>
    <t>Loan</t>
  </si>
  <si>
    <t>Love Season</t>
  </si>
  <si>
    <t>The Devil Conspiracy</t>
  </si>
  <si>
    <t>Baptiste S2</t>
  </si>
  <si>
    <t>Ana All In</t>
  </si>
  <si>
    <t>Agatha Christies Hjerson</t>
  </si>
  <si>
    <t>Bring Her Back</t>
  </si>
  <si>
    <t>Jerry Maguire</t>
  </si>
  <si>
    <t>How to Train Your Dragon 2</t>
  </si>
  <si>
    <t>Jurassic World: Rebirth (Rent)</t>
  </si>
  <si>
    <t>Jarann</t>
  </si>
  <si>
    <t>WK-45'2025</t>
  </si>
  <si>
    <t>Stumble</t>
  </si>
  <si>
    <t>Thayyal Machine</t>
  </si>
  <si>
    <t>Andhadhun</t>
  </si>
  <si>
    <t>Everything’s Going to Be Great</t>
  </si>
  <si>
    <t>Happy’s Place Season 2</t>
  </si>
  <si>
    <t>Caroline Flack: Search for the Truth</t>
  </si>
  <si>
    <t>MARINES</t>
  </si>
  <si>
    <t>Frankenstein: The Anatomy Lesson</t>
  </si>
  <si>
    <t>Premachi Goshta 2</t>
  </si>
  <si>
    <t>35-Chinna Katha Kaadu</t>
  </si>
  <si>
    <t>A Merry Little Ex-Mas</t>
  </si>
  <si>
    <t>Chidiya</t>
  </si>
  <si>
    <t>Eloá the Hostage: Live on TV</t>
  </si>
  <si>
    <t>Freakier Friday</t>
  </si>
  <si>
    <t>Garudan</t>
  </si>
  <si>
    <t>Moppala</t>
  </si>
  <si>
    <t>Mrs Playmen</t>
  </si>
  <si>
    <t>Palm Royale Season 2</t>
  </si>
  <si>
    <t>Playdate</t>
  </si>
  <si>
    <t>Scissor Seven Season 5</t>
  </si>
  <si>
    <t>Selling The OC Season 4</t>
  </si>
  <si>
    <t>Sound of Silence</t>
  </si>
  <si>
    <t>The Roundup: Punishment</t>
  </si>
  <si>
    <t>50 Seconds: The Fernando Báez Sosa Case</t>
  </si>
  <si>
    <t>Auntypreneur</t>
  </si>
  <si>
    <t>Delhi Crime Season 3</t>
  </si>
  <si>
    <t>Duchess</t>
  </si>
  <si>
    <t>Dynamite Kiss</t>
  </si>
  <si>
    <t>Ekka</t>
  </si>
  <si>
    <t>Had I Not Seen the Sun</t>
  </si>
  <si>
    <t>Kuttram Pudhithu</t>
  </si>
  <si>
    <t>Last Samurai Standing</t>
  </si>
  <si>
    <t>Never Say Never</t>
  </si>
  <si>
    <t>Tee Yai: Born to Be Bad</t>
  </si>
  <si>
    <t>The Beast in Me</t>
  </si>
  <si>
    <t>The Draft!</t>
  </si>
  <si>
    <t>Yadang: The Snitch</t>
  </si>
  <si>
    <t>A Very Jonas Christmas Movie</t>
  </si>
  <si>
    <t>Avihitham</t>
  </si>
  <si>
    <t>Belén</t>
  </si>
  <si>
    <t>Bhoghee</t>
  </si>
  <si>
    <t>Colorphool</t>
  </si>
  <si>
    <t>Come See Me in the Good Light</t>
  </si>
  <si>
    <t>Coupling</t>
  </si>
  <si>
    <t>Dude</t>
  </si>
  <si>
    <t>How to Win the Lottery</t>
  </si>
  <si>
    <t>In Your Dreams</t>
  </si>
  <si>
    <t>Inspection Bunglow</t>
  </si>
  <si>
    <t>Jolly LLB 3</t>
  </si>
  <si>
    <t>Jurassic World Rebirth</t>
  </si>
  <si>
    <t>K-Ramp</t>
  </si>
  <si>
    <t>Lefter: The Story of the Ordinarius</t>
  </si>
  <si>
    <t>Malice</t>
  </si>
  <si>
    <t>Marutham</t>
  </si>
  <si>
    <t>Nishaanchi 2</t>
  </si>
  <si>
    <t>One Battle After Another</t>
  </si>
  <si>
    <t>Panda Plan</t>
  </si>
  <si>
    <t>Phaphey Kuttniyan</t>
  </si>
  <si>
    <t>Son of Muthanna</t>
  </si>
  <si>
    <t>Sri Asih</t>
  </si>
  <si>
    <t>Telusu Kada</t>
  </si>
  <si>
    <t>Thandakaaranyam</t>
  </si>
  <si>
    <t>Sangarsha Ghadana - Art of Warfare</t>
  </si>
  <si>
    <t>The Crystal Cuckoo</t>
  </si>
  <si>
    <t>Putulnacher Itikatha</t>
  </si>
  <si>
    <t>Vala</t>
  </si>
  <si>
    <t>Vikkatakavi: The Movie</t>
  </si>
  <si>
    <t>Horror,Sci-FI,Thriller</t>
  </si>
  <si>
    <t>Hindi,English,Tamil,Telugu,Marathi</t>
  </si>
  <si>
    <t>Chiranjeeva</t>
  </si>
  <si>
    <t>Telugu Indian Idol Season 4</t>
  </si>
  <si>
    <t>Anandalahari</t>
  </si>
  <si>
    <t>Junior</t>
  </si>
  <si>
    <t>Sshhh S2</t>
  </si>
  <si>
    <t>Kothapallilo Okappudu</t>
  </si>
  <si>
    <t>Vere Level Office S2</t>
  </si>
  <si>
    <t>SARKAAR</t>
  </si>
  <si>
    <t>Kalinga</t>
  </si>
  <si>
    <t>Vala - Story of a Bangle</t>
  </si>
  <si>
    <t>Premachi Gosht 2</t>
  </si>
  <si>
    <t>The Wolf of Wall Street</t>
  </si>
  <si>
    <t>A Charlie Brown Thanksgiving</t>
  </si>
  <si>
    <t>A Charlie Brown Christmas</t>
  </si>
  <si>
    <t>Stiller &amp; Meara: Nothing is Lost</t>
  </si>
  <si>
    <t>Palm Royale S2</t>
  </si>
  <si>
    <t>Loot S3</t>
  </si>
  <si>
    <t>Rasmalai</t>
  </si>
  <si>
    <t>Campfire Cooking in Another World with My Absurd Skill</t>
  </si>
  <si>
    <t>TOUGEN ANKI</t>
  </si>
  <si>
    <t>BADE GHAR KI CHOTI BAHU</t>
  </si>
  <si>
    <t>NAARI KA VANVAAS</t>
  </si>
  <si>
    <t>PATI BHRAMACHARI</t>
  </si>
  <si>
    <t>SAAS BAHU KI HERA PHERI</t>
  </si>
  <si>
    <t>JHOOTHA SAATH</t>
  </si>
  <si>
    <t>SAAS SARKAR BAHU CHOWKIDAR</t>
  </si>
  <si>
    <t>HANIKARAK MEHRARU</t>
  </si>
  <si>
    <t>MANN ATISUNDAR</t>
  </si>
  <si>
    <t>MOBILEWALI BAHU</t>
  </si>
  <si>
    <t>CHACHI NO.1</t>
  </si>
  <si>
    <t>Reality Ranis of the Jungle S2</t>
  </si>
  <si>
    <t>Man vs. Wild</t>
  </si>
  <si>
    <t>Ancient Aliens S19</t>
  </si>
  <si>
    <t>Provoked- Hindi</t>
  </si>
  <si>
    <t>The Attacks of 26/11 </t>
  </si>
  <si>
    <t>Love Aaj Kal</t>
  </si>
  <si>
    <t>Ram Leela</t>
  </si>
  <si>
    <t>Enuguthondam Ghatikachalam</t>
  </si>
  <si>
    <t>Oka Manchi Prema Katha</t>
  </si>
  <si>
    <t>ETV 30 Years</t>
  </si>
  <si>
    <t>Pithapuram Committee Kurrollu</t>
  </si>
  <si>
    <t>Om Ganesha</t>
  </si>
  <si>
    <t>Padutha Theeyaga</t>
  </si>
  <si>
    <t>Erotic Stories</t>
  </si>
  <si>
    <t>Generation Um...</t>
  </si>
  <si>
    <t>The Girlfriend Experience</t>
  </si>
  <si>
    <t>Tornado</t>
  </si>
  <si>
    <t>Pretty Thing</t>
  </si>
  <si>
    <t>Charlie Chaplin - The Gold Rush</t>
  </si>
  <si>
    <t>Freelance</t>
  </si>
  <si>
    <t>Arjun Chakravarthy</t>
  </si>
  <si>
    <t>Sherlock</t>
  </si>
  <si>
    <t>Antharam</t>
  </si>
  <si>
    <t>Nerariyum Nerathu</t>
  </si>
  <si>
    <t>Othiri Othiri Swapnangal</t>
  </si>
  <si>
    <t>Oru Chiri Iru Chiri Bumper Chiri 2</t>
  </si>
  <si>
    <t>Marimayam</t>
  </si>
  <si>
    <t>Super Kanmani</t>
  </si>
  <si>
    <t>Ottashikharam</t>
  </si>
  <si>
    <t>Nayika Nayakan Returns |</t>
  </si>
  <si>
    <t>Archana Chechi LLB</t>
  </si>
  <si>
    <t>Unnikkannan</t>
  </si>
  <si>
    <t>Vala Story of a Bangle</t>
  </si>
  <si>
    <t>Jai Mata Ji Lets Rock</t>
  </si>
  <si>
    <t>Mithada Maheman</t>
  </si>
  <si>
    <t>Sanghavi &amp; Sons</t>
  </si>
  <si>
    <t>Mom Tane Nai Samjay</t>
  </si>
  <si>
    <t>All The Best Pandya</t>
  </si>
  <si>
    <t>Umbarro</t>
  </si>
  <si>
    <t>Aum Mangalam Singlem</t>
  </si>
  <si>
    <t>Udan Chhoo</t>
  </si>
  <si>
    <t>Sweat Aur Secrets</t>
  </si>
  <si>
    <t>Line Cross</t>
  </si>
  <si>
    <t>Pyaar Yaa Paap</t>
  </si>
  <si>
    <t>Red Sin</t>
  </si>
  <si>
    <t>Maatli Chirani</t>
  </si>
  <si>
    <t>ARRANGED with LOVE</t>
  </si>
  <si>
    <t>Santakukdi Season 2</t>
  </si>
  <si>
    <t>Goti Soda Season 5</t>
  </si>
  <si>
    <t>Chalaak</t>
  </si>
  <si>
    <t>Dimensions</t>
  </si>
  <si>
    <t>Asia Cup Highlights: IND VS PAK</t>
  </si>
  <si>
    <t>Laadli Chhathi Mai Ke</t>
  </si>
  <si>
    <t>Videshi Bahu</t>
  </si>
  <si>
    <t>Samaaj Mein Parivartan</t>
  </si>
  <si>
    <t>Mai Sehra Bandh Ke Aaunga</t>
  </si>
  <si>
    <t>Paali Ka Pilla</t>
  </si>
  <si>
    <t>Mewat</t>
  </si>
  <si>
    <t>Bad Boys Bhiwani</t>
  </si>
  <si>
    <t>Aakhri Mulakat</t>
  </si>
  <si>
    <t>Nasibpura</t>
  </si>
  <si>
    <t>Totaa</t>
  </si>
  <si>
    <t>Awakara</t>
  </si>
  <si>
    <t>Auto Chalak</t>
  </si>
  <si>
    <t>Kamaro 2</t>
  </si>
  <si>
    <t>Sangarsha Ghadana - Art of Warfar</t>
  </si>
  <si>
    <t>Dashavatar</t>
  </si>
  <si>
    <t>Vikkatakavi- The Movie</t>
  </si>
  <si>
    <t>Inspection Bungalow</t>
  </si>
  <si>
    <t>Fantasy,Horror</t>
  </si>
  <si>
    <t>Animation,Holiday</t>
  </si>
  <si>
    <t>Biography,Documentary</t>
  </si>
  <si>
    <t>Action,Supernatural</t>
  </si>
  <si>
    <t>Adventure,Comedy,Drama,Romance</t>
  </si>
  <si>
    <t>Biography,Drama,Romance,Sports</t>
  </si>
  <si>
    <t>Bengali,English,Hindi,Kannada,Malayalam,Marathi,Tamil,Telugu</t>
  </si>
  <si>
    <t>Hindi,Malayalam,Tamil,Telugu</t>
  </si>
  <si>
    <t>WK-45, 2025 (  08 Nov 2025-14 Nov 2025 )</t>
  </si>
  <si>
    <t>English,Hindi,Kannada,Tamil,Telugu</t>
  </si>
  <si>
    <t>Romantic,Family,Drama</t>
  </si>
  <si>
    <t>Musical,Drama</t>
  </si>
  <si>
    <t>Fantasy,Mythological</t>
  </si>
  <si>
    <t>Mythological,Drama</t>
  </si>
  <si>
    <t>Hindi,Telugu</t>
  </si>
  <si>
    <t>Punjabi,Haryanvi</t>
  </si>
  <si>
    <t>Hindi,Kannada,Tamil</t>
  </si>
  <si>
    <t>Bengali,Hindi,Malayalam,Marathi,Tamil,Telugu</t>
  </si>
  <si>
    <t>Hindi,English,Malayalam,Tamil,Telugu</t>
  </si>
  <si>
    <t>English,Hindi,Kannada,Malayala,Marathi,Tamil,Telugu</t>
  </si>
  <si>
    <t>Animation,Fantasy,Romance,Suspense</t>
  </si>
  <si>
    <t>Action,Fantasy,Thriller</t>
  </si>
  <si>
    <t>Action,Adventure,Comedy,Thriller</t>
  </si>
  <si>
    <t>Anime,Psychological,Drama</t>
  </si>
  <si>
    <t>Mythological,devotional</t>
  </si>
  <si>
    <t>Sports,Live Cricket</t>
  </si>
  <si>
    <t>Crime,Thriller, Neo-Noir</t>
  </si>
  <si>
    <t>ss</t>
  </si>
  <si>
    <t>Spy,Thriller</t>
  </si>
  <si>
    <t>Action,Adventure,Comedy,Suspense</t>
  </si>
  <si>
    <t>Family, Drama</t>
  </si>
  <si>
    <t>Action,Comedy,Crime,Drama,Fantasy</t>
  </si>
  <si>
    <t>Romance,Comedy,Crime</t>
  </si>
  <si>
    <t>Cott Data Servey</t>
  </si>
  <si>
    <t>Youth,Drama</t>
  </si>
  <si>
    <t>Indian Premier League 2026</t>
  </si>
  <si>
    <t>F1: The Movie</t>
  </si>
  <si>
    <t>Eternity</t>
  </si>
  <si>
    <t>Fountain of Youth</t>
  </si>
  <si>
    <t>The Family Plan 2</t>
  </si>
  <si>
    <t>Shrinking S3</t>
  </si>
  <si>
    <t>Imperfect Women</t>
  </si>
  <si>
    <t>Ted Lasso S3</t>
  </si>
  <si>
    <t>Chiraiya</t>
  </si>
  <si>
    <t>Doraemon S20</t>
  </si>
  <si>
    <t>Scam 1992 The Harshad Mehta Story</t>
  </si>
  <si>
    <t>Bhabhiji Ghar Par Hain! Fun On The Run</t>
  </si>
  <si>
    <t>The Kerala Story</t>
  </si>
  <si>
    <t>Uri: The Surgical Strike</t>
  </si>
  <si>
    <t>Andha Pyaar 2.0</t>
  </si>
  <si>
    <t>Honeymoon Se Hatya</t>
  </si>
  <si>
    <t>Murshid</t>
  </si>
  <si>
    <t>Anupama</t>
  </si>
  <si>
    <t>Dr. Aarambhi</t>
  </si>
  <si>
    <t>Kyunki Saas Bhi Kabhi Bahu Thi</t>
  </si>
  <si>
    <t>Neeya Naana</t>
  </si>
  <si>
    <t>Tharala Tar Mag</t>
  </si>
  <si>
    <t>Vikram On Duty</t>
  </si>
  <si>
    <t>Yeh Rishta Kya Kehlata Hai</t>
  </si>
  <si>
    <t>Everybody Loves Sohrab Handa</t>
  </si>
  <si>
    <t>Outcome</t>
  </si>
  <si>
    <t>Your Friends &amp; Neighbors S2</t>
  </si>
  <si>
    <t>Chote Tara ka Bada Gadar S2</t>
  </si>
  <si>
    <t>Resort</t>
  </si>
  <si>
    <t>Sanai Choughade</t>
  </si>
  <si>
    <t>Odia</t>
  </si>
  <si>
    <t>English, Hindi</t>
  </si>
  <si>
    <t>English, Hindi, Telugu</t>
  </si>
  <si>
    <t>Tamil, Telugu</t>
  </si>
  <si>
    <t>Kannada, Malayalam, Tamil, Telugu</t>
  </si>
  <si>
    <t>English, Hindi, Tamil, Telugu</t>
  </si>
  <si>
    <t>Hindi, Kannada, Malayalam, Tamil, Telugu</t>
  </si>
  <si>
    <t>Bengali, Hindi, Kannada, Marathi, Tamil, Telugu</t>
  </si>
  <si>
    <t>Bengali, Hindi, Kannada, Malayalam, Marathi, Tamil, Telugu</t>
  </si>
  <si>
    <t>Bengali, Hindi, Marathi, Tamil, Telugu</t>
  </si>
  <si>
    <t>Kannada, Malayalam, Telugu</t>
  </si>
  <si>
    <t>Bangla, Bhojpuri, English, Haryanvi, Hindi, Kannada, Tamil, Telugu</t>
  </si>
  <si>
    <t>Bangali, Hindi, Kannada, Malayalam, Marathi, Tamil, Telugu</t>
  </si>
  <si>
    <t>Bengali, English, Hindi, Kannada, Marathi, Tamil, Telugu</t>
  </si>
  <si>
    <t>Bengali, English, Hindi, Kannada, Malayalam, Tamil, Telugu</t>
  </si>
  <si>
    <t>Hindi, Tamil, Telugu</t>
  </si>
  <si>
    <t>Hindi, Malayalam, Tamil, Telugu</t>
  </si>
  <si>
    <t>English, Hindi, Marathi, Tamil, Telugu</t>
  </si>
  <si>
    <t>English, Hindi, Kannada, Malayalam, Tamil, Telugu</t>
  </si>
  <si>
    <t>English, Tamil, Telugu</t>
  </si>
  <si>
    <t>Hindi, Marathi</t>
  </si>
  <si>
    <t>Hindi, Tamil</t>
  </si>
  <si>
    <t>Kannada, Malayalam, Tamil, Telugu, Telugu</t>
  </si>
  <si>
    <t>English, Hindi, Kannada, Tamil, Telugu</t>
  </si>
  <si>
    <t>English, Gujarati, Hindi, Kannada, Malayalam, Marathi, Tamil, Telugu</t>
  </si>
  <si>
    <t>English, Telugu</t>
  </si>
  <si>
    <t>English, Hindi, Tamil</t>
  </si>
  <si>
    <t>Bengali, Bhojpuri, English, Hindi, Kannada, Marathi, Odia, Punjabi, Tamil, Telugu</t>
  </si>
  <si>
    <t>Hindi, Kannada, Tamil, Telugu</t>
  </si>
  <si>
    <t>English, Hindi, Malayalam</t>
  </si>
  <si>
    <t>Bengali, Bhojpuri, English, Haryanvi, Hindi, Kannada, Malayalam, Marathi, Tamil, Telugu</t>
  </si>
  <si>
    <t>Bengali, Hindi, Kannada, Punjabi, Tamil, Telugu</t>
  </si>
  <si>
    <t>Bengali, Hindi, Kannada, Malayalam, Tamil, Telugu</t>
  </si>
  <si>
    <t>English, Hindi, Punjabi</t>
  </si>
  <si>
    <t>Bengali, Bhojpuri, Gujarati, Haryanvi, Hindi, Kannada, Malayalam, Marathi, Odia, Rajasthani, Tamil, Telugu</t>
  </si>
  <si>
    <t>Matka King</t>
  </si>
  <si>
    <t>The Boys S5</t>
  </si>
  <si>
    <t>Margo's Got Money Troubles</t>
  </si>
  <si>
    <t>Hui Gumm Yaadein Ek Doctor,Do Zindagiyaan</t>
  </si>
  <si>
    <t>Gyaarah Gyaarah</t>
  </si>
  <si>
    <t>Cook With Comali S6</t>
  </si>
  <si>
    <t>Lagnanantar Hoilach Prem</t>
  </si>
  <si>
    <t>Mannat</t>
  </si>
  <si>
    <t>Mass Jathara</t>
  </si>
  <si>
    <t>Money Heist</t>
  </si>
  <si>
    <t>Shiddat</t>
  </si>
  <si>
    <t>Laughter Chefs S3</t>
  </si>
  <si>
    <t>Absolute Value of Romance</t>
  </si>
  <si>
    <t>Sold Out on You</t>
  </si>
  <si>
    <t>Reality Tv</t>
  </si>
  <si>
    <t>O'Romeo</t>
  </si>
  <si>
    <t>Monarch: Legacy of Monsters Season 2</t>
  </si>
  <si>
    <t>WK-16 Reach</t>
  </si>
  <si>
    <t>AVOD Originals Shows</t>
  </si>
  <si>
    <t>My Royal Nemesis</t>
  </si>
  <si>
    <t>Kaalidas 2</t>
  </si>
  <si>
    <t>Off Campus</t>
  </si>
  <si>
    <t>Nemesis</t>
  </si>
  <si>
    <t>Aquaman and the Lost Kingdom</t>
  </si>
  <si>
    <t>Bad Boy Karthik</t>
  </si>
  <si>
    <t>Berlin and the Lady with an Ermine</t>
  </si>
  <si>
    <t>Blue Beetle</t>
  </si>
  <si>
    <t>Breathe</t>
  </si>
  <si>
    <t>Exam</t>
  </si>
  <si>
    <t>Inspector Avinash Season 2</t>
  </si>
  <si>
    <t>Kartavya?</t>
  </si>
  <si>
    <t>The WONDERfools</t>
  </si>
  <si>
    <t>Hindi,Tamil,Telugu,Malayalam,Kannada,Marathi,Bengali</t>
  </si>
  <si>
    <t>Battleground S2</t>
  </si>
  <si>
    <t>Campus Beats Season 6</t>
  </si>
  <si>
    <t>Kaptaan</t>
  </si>
  <si>
    <t>Famously Fit With Sophie</t>
  </si>
  <si>
    <t>Sankalp</t>
  </si>
  <si>
    <t>Bindiya Ke Bahubali Season 2</t>
  </si>
  <si>
    <t>Bhay: The Gaurav Tiwari Mystery</t>
  </si>
  <si>
    <t>Aukaat Ke Bahar</t>
  </si>
  <si>
    <t>Love Insurance Kompany</t>
  </si>
  <si>
    <t>Dacoit: A Love Story</t>
  </si>
  <si>
    <t>Happy Raj</t>
  </si>
  <si>
    <t>Sapne VS Everyone</t>
  </si>
  <si>
    <t>Lukkhe</t>
  </si>
  <si>
    <t>Citadel S2</t>
  </si>
  <si>
    <t>From S4</t>
  </si>
  <si>
    <t>Apple Music Live Lady Gaga Mayhem Requiem</t>
  </si>
  <si>
    <t>Widow's Bay</t>
  </si>
  <si>
    <t>For All Mankind S5</t>
  </si>
  <si>
    <t>Criminal Record S2</t>
  </si>
  <si>
    <t>Vaazha II</t>
  </si>
  <si>
    <t>Salaar: Part 1 - Ceasefire</t>
  </si>
  <si>
    <t>Swapped</t>
  </si>
  <si>
    <t>Dhurandhar</t>
  </si>
  <si>
    <t>Youth</t>
  </si>
  <si>
    <t>Glory</t>
  </si>
  <si>
    <t>If Wishes Could Kill</t>
  </si>
  <si>
    <t>Maamla Legal Hai Season 2</t>
  </si>
  <si>
    <t>Undekhi S4</t>
  </si>
  <si>
    <t>Tum Ho Naa - Ghar Ki Superstar</t>
  </si>
  <si>
    <t>Gullak S4</t>
  </si>
  <si>
    <t>Maharashtrachi Hasya Jatra Hasnya Cha Common Reason</t>
  </si>
  <si>
    <t>The Kerala Story 2</t>
  </si>
  <si>
    <t>Assi</t>
  </si>
  <si>
    <t>The Bengal Files</t>
  </si>
  <si>
    <t>The Kashmir Files</t>
  </si>
  <si>
    <t>Aadu 3</t>
  </si>
  <si>
    <t>Hathras 16 days</t>
  </si>
  <si>
    <t>Fab5</t>
  </si>
  <si>
    <t>Mithya S2</t>
  </si>
  <si>
    <t>Devkhel</t>
  </si>
  <si>
    <t>Action,Romance,Suspense</t>
  </si>
  <si>
    <t>English,Hindi</t>
  </si>
  <si>
    <t>Drama,Horrror</t>
  </si>
  <si>
    <t>Bengali,Bhojpuri,Gujarati,Haryanvi,Hindi,Kannada,Malayalam,Marathi,Oriya,Rajasthani,Tamil,Telugu</t>
  </si>
  <si>
    <t>Adeventure,Animation,Comedy</t>
  </si>
  <si>
    <t>Hindi,English,Telugu</t>
  </si>
  <si>
    <t>English,Hindi,Punjabi</t>
  </si>
  <si>
    <t>Crime,Documentary,Mystery</t>
  </si>
  <si>
    <t>Comedy,Reality</t>
  </si>
  <si>
    <t>Arafta</t>
  </si>
  <si>
    <t>Don'T Look Up</t>
  </si>
  <si>
    <t>Gustaakh Ishq</t>
  </si>
  <si>
    <t>Mansion House Mallesh</t>
  </si>
  <si>
    <t>Mardaani 3</t>
  </si>
  <si>
    <t>Matsya Kaand</t>
  </si>
  <si>
    <t>Oh Humnava Tum Dena Saath Mera</t>
  </si>
  <si>
    <t>Pandian Stores 2</t>
  </si>
  <si>
    <t>Ronth</t>
  </si>
  <si>
    <t>Shadow And Bone</t>
  </si>
  <si>
    <t>Sound Of Metal</t>
  </si>
  <si>
    <t>The Umbrella Academy</t>
  </si>
  <si>
    <t>Tula Japnar Aahe</t>
  </si>
  <si>
    <t>WK-20, 2026 ( 16 May 2026 - 22 May 2026 )</t>
  </si>
  <si>
    <t>WK-20,2026</t>
  </si>
  <si>
    <t>Dutton Ranch</t>
  </si>
  <si>
    <t>Marty Supreme</t>
  </si>
  <si>
    <t>Rivals Season 2</t>
  </si>
  <si>
    <t>Ronda Rousey vs. Gina Carano</t>
  </si>
  <si>
    <t>Welcome to Wrexham Season 5</t>
  </si>
  <si>
    <t>My Sesame Street Friends: My Cookie Monster</t>
  </si>
  <si>
    <t>Paisawala</t>
  </si>
  <si>
    <t>Untold UK: Liverpool’s? Miracle? of? lstanbul</t>
  </si>
  <si>
    <t>Wanda Sykes: Legacy</t>
  </si>
  <si>
    <t>Carizzma</t>
  </si>
  <si>
    <t>Chillar Party</t>
  </si>
  <si>
    <t>Desi Bling</t>
  </si>
  <si>
    <t>Disforia</t>
  </si>
  <si>
    <t>Fear Below</t>
  </si>
  <si>
    <t>Kylie</t>
  </si>
  <si>
    <t>Married To The Game Season 2</t>
  </si>
  <si>
    <t>Maximum Pleasure Guaranteed</t>
  </si>
  <si>
    <t>Satan – The Dark</t>
  </si>
  <si>
    <t>Sathi Leelavathi</t>
  </si>
  <si>
    <t>The Nightmare Upstairs: What Happened to Ty and Bryn?</t>
  </si>
  <si>
    <t>The Super Mario Galaxy Movie</t>
  </si>
  <si>
    <t>Tom Clancy’s Jack Ryan: Ghost War</t>
  </si>
  <si>
    <t>Arthur</t>
  </si>
  <si>
    <t>Cutting</t>
  </si>
  <si>
    <t>James.</t>
  </si>
  <si>
    <t>Madhuvidhu</t>
  </si>
  <si>
    <t>One Tree Hill</t>
  </si>
  <si>
    <t>Sureshanteyum Sumalathayudeyum Hrudayahariyaya Pranayakadha</t>
  </si>
  <si>
    <t>The Boroughs</t>
  </si>
  <si>
    <t>Uthutha Herolu</t>
  </si>
  <si>
    <t>Amoz Alexander</t>
  </si>
  <si>
    <t>Beinteha – Ek Anokhi Dastaan</t>
  </si>
  <si>
    <t>Bhishmar</t>
  </si>
  <si>
    <t>Cricket Darbar</t>
  </si>
  <si>
    <t>Dhurandhar (Raw &amp; Undekha)</t>
  </si>
  <si>
    <t>Gaayapadda Simham</t>
  </si>
  <si>
    <t>Hayagrriva</t>
  </si>
  <si>
    <t>Ladies First</t>
  </si>
  <si>
    <t>Mating Season</t>
  </si>
  <si>
    <t>Memu Copulam</t>
  </si>
  <si>
    <t>Mension House Mallesh</t>
  </si>
  <si>
    <t>Oh Butterfly!</t>
  </si>
  <si>
    <t>Out of Syllabus</t>
  </si>
  <si>
    <t>Panda Plan: The Magical Tribe</t>
  </si>
  <si>
    <t>Postcards from the Edge</t>
  </si>
  <si>
    <t>Red Label</t>
  </si>
  <si>
    <t>Salbardi</t>
  </si>
  <si>
    <t>Satrangi: Badle Ka Khel</t>
  </si>
  <si>
    <t>Shesha 2016</t>
  </si>
  <si>
    <t>SkyMed Season 4</t>
  </si>
  <si>
    <t>System</t>
  </si>
  <si>
    <t>Warrant</t>
  </si>
  <si>
    <t>Who’s Your Gynac Season 2</t>
  </si>
  <si>
    <t>Hindi,Tamil,Telugu,Marathi</t>
  </si>
  <si>
    <t>Tamil,Telugu,Malayalam,Kannada</t>
  </si>
  <si>
    <t>Action,Adevnture,Horror</t>
  </si>
  <si>
    <t>Adevnture,Animation,Comedy</t>
  </si>
  <si>
    <t>WK-20'2026</t>
  </si>
  <si>
    <t>Vimal Khanna</t>
  </si>
  <si>
    <t>Tom Clancy's Jack Ryan: Ghost War</t>
  </si>
  <si>
    <t>Dahaad</t>
  </si>
  <si>
    <t>Made In Korea</t>
  </si>
  <si>
    <t>Por Thozil</t>
  </si>
  <si>
    <t>13 Reasons Why</t>
  </si>
  <si>
    <t>A Thursday</t>
  </si>
  <si>
    <t>Annagraa Vostaru</t>
  </si>
  <si>
    <t>Tv CatchUp</t>
  </si>
  <si>
    <t>Annamalai Kudumbam</t>
  </si>
  <si>
    <t>Azhagae Azhagu</t>
  </si>
  <si>
    <t>Bell Bottom</t>
  </si>
  <si>
    <t>Bluey</t>
  </si>
  <si>
    <t>Cadaver</t>
  </si>
  <si>
    <t>Cartel</t>
  </si>
  <si>
    <t>Chinna Marumagal</t>
  </si>
  <si>
    <t>City Of Dreams</t>
  </si>
  <si>
    <t>Cooku With Jathirathnalu</t>
  </si>
  <si>
    <t>Half Marriage</t>
  </si>
  <si>
    <t>Invincible S4</t>
  </si>
  <si>
    <t>Kakuda</t>
  </si>
  <si>
    <t>Karthigai Deepam</t>
  </si>
  <si>
    <t>Laapataa Ladies</t>
  </si>
  <si>
    <t>Laxmi Niwas</t>
  </si>
  <si>
    <t>Lighter &amp; Princess</t>
  </si>
  <si>
    <t>Maa Ka Sum</t>
  </si>
  <si>
    <t>Mann</t>
  </si>
  <si>
    <t>Me Savitribai Jyotirao Phule</t>
  </si>
  <si>
    <t>Modern Love Mumbai</t>
  </si>
  <si>
    <t>Mohiniyattam</t>
  </si>
  <si>
    <t>Montu Pilot</t>
  </si>
  <si>
    <t>Mrs</t>
  </si>
  <si>
    <t>My Deskmate</t>
  </si>
  <si>
    <t>Naagin s7</t>
  </si>
  <si>
    <t>Nikita Roy</t>
  </si>
  <si>
    <t>Operation Valentine</t>
  </si>
  <si>
    <t>Prathi Chaya</t>
  </si>
  <si>
    <t>Saath Nibhaana Saathiya 2</t>
  </si>
  <si>
    <t>Sarkaar 6</t>
  </si>
  <si>
    <t>Sarvam Maya</t>
  </si>
  <si>
    <t>Savalyachi Janu Savali</t>
  </si>
  <si>
    <t>Siragadikka Aasai</t>
  </si>
  <si>
    <t>Sisu</t>
  </si>
  <si>
    <t>Snow White</t>
  </si>
  <si>
    <t>Suyodhana</t>
  </si>
  <si>
    <t>Tarini</t>
  </si>
  <si>
    <t>Thai Maaman</t>
  </si>
  <si>
    <t>The Crown</t>
  </si>
  <si>
    <t>The Door</t>
  </si>
  <si>
    <t>The Falcon And The Winter Soldier</t>
  </si>
  <si>
    <t>The Family Star</t>
  </si>
  <si>
    <t>The Housemaid</t>
  </si>
  <si>
    <t>The Great Indian Kapil Show S4</t>
  </si>
  <si>
    <t>The Lion King</t>
  </si>
  <si>
    <t>Thimmarajupalli Tv</t>
  </si>
  <si>
    <t>True Beauty</t>
  </si>
  <si>
    <t>Trial By Fire</t>
  </si>
  <si>
    <t>Vaazha: Biopic Of A Billion Boys</t>
  </si>
  <si>
    <t>Wandavision</t>
  </si>
  <si>
    <t xml:space="preserve">Tamil </t>
  </si>
  <si>
    <t>English;Hindi</t>
  </si>
  <si>
    <t>Teen Drama, Mystery</t>
  </si>
  <si>
    <t>Spy Thriller, Action</t>
  </si>
  <si>
    <t>Dance, Drama</t>
  </si>
  <si>
    <t>Animation, Family</t>
  </si>
  <si>
    <t>Thriller, Mystery</t>
  </si>
  <si>
    <t>Political Thriller</t>
  </si>
  <si>
    <t>Reality, Comedy</t>
  </si>
  <si>
    <t>Reality, Cooking</t>
  </si>
  <si>
    <t>Sci‑Fi, Comedy</t>
  </si>
  <si>
    <t>Crime, Action</t>
  </si>
  <si>
    <t>Animation, Superhero</t>
  </si>
  <si>
    <t>Romance, Youth Drama</t>
  </si>
  <si>
    <t>Romance, Anthology</t>
  </si>
  <si>
    <t>Fantasy, Supernatural</t>
  </si>
  <si>
    <t>Reality, Talk Show</t>
  </si>
  <si>
    <t>Action, War</t>
  </si>
  <si>
    <t>Family, Comedy</t>
  </si>
  <si>
    <t>Reality, Game Show</t>
  </si>
  <si>
    <t>Fantasy, Adventure</t>
  </si>
  <si>
    <t>Drama, Music</t>
  </si>
  <si>
    <t>Mythology, Drama</t>
  </si>
  <si>
    <t>Historical Drama</t>
  </si>
  <si>
    <t>Superhero, Action</t>
  </si>
  <si>
    <t>Comedy, Talk Show</t>
  </si>
  <si>
    <t>Animation, Adventure</t>
  </si>
  <si>
    <t>Superhero, Fantasy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</si>
</sst>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0000%"/>
    <numFmt numFmtId="166" formatCode="[$-409]d\-mmm\-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262626"/>
      <name val="Calibri"/>
      <family val="2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0" fontId="2" fillId="0" borderId="0" xfId="0" applyFont="1"/>
    <xf numFmtId="9" fontId="3" fillId="2" borderId="1" xfId="1" applyFont="1" applyFill="1" applyBorder="1" applyAlignment="1">
      <alignment horizontal="center" vertical="center" wrapText="1"/>
    </xf>
    <xf numFmtId="9" fontId="3" fillId="2" borderId="2" xfId="1" applyFont="1" applyFill="1" applyBorder="1" applyAlignment="1">
      <alignment horizontal="center" vertical="center" wrapText="1"/>
    </xf>
    <xf numFmtId="9" fontId="3" fillId="2" borderId="3" xfId="1" applyFont="1" applyFill="1" applyBorder="1" applyAlignment="1">
      <alignment horizontal="center" vertical="center" wrapText="1"/>
    </xf>
    <xf numFmtId="0" fontId="4" fillId="0" borderId="0" xfId="0" applyFont="1"/>
    <xf numFmtId="9" fontId="4" fillId="0" borderId="0" xfId="0" applyNumberFormat="1" applyFont="1"/>
    <xf numFmtId="0" fontId="0" fillId="0" borderId="4" xfId="0" applyBorder="1"/>
    <xf numFmtId="0" fontId="0" fillId="0" borderId="0" xfId="0" applyAlignment="1">
      <alignment horizontal="center"/>
    </xf>
    <xf numFmtId="10" fontId="0" fillId="0" borderId="0" xfId="1" applyNumberFormat="1" applyFont="1" applyBorder="1"/>
    <xf numFmtId="10" fontId="0" fillId="0" borderId="5" xfId="1" applyNumberFormat="1" applyFont="1" applyBorder="1"/>
    <xf numFmtId="0" fontId="0" fillId="0" borderId="6" xfId="0" applyBorder="1" applyAlignment="1">
      <alignment horizontal="center"/>
    </xf>
    <xf numFmtId="9" fontId="0" fillId="0" borderId="7" xfId="0" applyNumberFormat="1" applyBorder="1" applyAlignment="1">
      <alignment horizontal="center"/>
    </xf>
    <xf numFmtId="9" fontId="0" fillId="0" borderId="0" xfId="1" applyFont="1" applyBorder="1"/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 wrapText="1"/>
    </xf>
    <xf numFmtId="9" fontId="0" fillId="0" borderId="0" xfId="1" applyFont="1" applyBorder="1" applyAlignment="1">
      <alignment horizontal="center"/>
    </xf>
    <xf numFmtId="9" fontId="1" fillId="0" borderId="0" xfId="1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0" fillId="0" borderId="10" xfId="0" applyBorder="1"/>
    <xf numFmtId="0" fontId="0" fillId="0" borderId="11" xfId="0" applyBorder="1"/>
    <xf numFmtId="10" fontId="0" fillId="0" borderId="11" xfId="1" applyNumberFormat="1" applyFont="1" applyBorder="1"/>
    <xf numFmtId="10" fontId="0" fillId="0" borderId="12" xfId="1" applyNumberFormat="1" applyFont="1" applyBorder="1"/>
    <xf numFmtId="9" fontId="3" fillId="2" borderId="0" xfId="1" applyFont="1" applyFill="1" applyBorder="1" applyAlignment="1">
      <alignment horizontal="center" vertical="center" wrapText="1"/>
    </xf>
    <xf numFmtId="0" fontId="0" fillId="3" borderId="0" xfId="0" applyFill="1"/>
    <xf numFmtId="9" fontId="0" fillId="0" borderId="0" xfId="0" applyNumberFormat="1"/>
    <xf numFmtId="9" fontId="0" fillId="0" borderId="0" xfId="1" applyFont="1"/>
    <xf numFmtId="0" fontId="5" fillId="0" borderId="13" xfId="0" applyFont="1" applyBorder="1" applyAlignment="1">
      <alignment horizontal="center"/>
    </xf>
    <xf numFmtId="9" fontId="5" fillId="0" borderId="13" xfId="0" applyNumberFormat="1" applyFont="1" applyBorder="1" applyAlignment="1">
      <alignment horizontal="center"/>
    </xf>
    <xf numFmtId="9" fontId="5" fillId="3" borderId="13" xfId="0" applyNumberFormat="1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2" fontId="5" fillId="0" borderId="13" xfId="0" applyNumberFormat="1" applyFont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7" fillId="3" borderId="13" xfId="0" applyFont="1" applyFill="1" applyBorder="1"/>
    <xf numFmtId="0" fontId="8" fillId="3" borderId="13" xfId="0" applyFont="1" applyFill="1" applyBorder="1" applyAlignment="1">
      <alignment horizontal="center" wrapText="1"/>
    </xf>
    <xf numFmtId="0" fontId="8" fillId="3" borderId="13" xfId="0" applyFont="1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3" xfId="0" applyFont="1" applyBorder="1"/>
    <xf numFmtId="0" fontId="11" fillId="3" borderId="0" xfId="0" applyFont="1" applyFill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13" xfId="0" applyBorder="1" applyAlignment="1">
      <alignment horizontal="center"/>
    </xf>
    <xf numFmtId="0" fontId="2" fillId="4" borderId="13" xfId="0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 vertical="center" wrapText="1"/>
    </xf>
    <xf numFmtId="10" fontId="0" fillId="0" borderId="0" xfId="0" applyNumberFormat="1"/>
    <xf numFmtId="0" fontId="0" fillId="0" borderId="13" xfId="0" applyBorder="1"/>
    <xf numFmtId="0" fontId="2" fillId="0" borderId="0" xfId="0" applyFont="1" applyAlignment="1">
      <alignment horizontal="center"/>
    </xf>
    <xf numFmtId="15" fontId="0" fillId="0" borderId="13" xfId="0" applyNumberFormat="1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2" fillId="0" borderId="1" xfId="0" applyFont="1" applyBorder="1"/>
    <xf numFmtId="0" fontId="2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0" fillId="0" borderId="13" xfId="1" applyNumberFormat="1" applyFont="1" applyBorder="1" applyAlignment="1">
      <alignment horizontal="center"/>
    </xf>
    <xf numFmtId="49" fontId="2" fillId="5" borderId="2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9" fontId="0" fillId="0" borderId="15" xfId="1" applyFont="1" applyBorder="1"/>
    <xf numFmtId="9" fontId="0" fillId="0" borderId="9" xfId="1" applyFont="1" applyBorder="1"/>
    <xf numFmtId="9" fontId="0" fillId="0" borderId="7" xfId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9" fontId="0" fillId="0" borderId="6" xfId="1" applyFont="1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15" fontId="2" fillId="0" borderId="0" xfId="0" applyNumberFormat="1" applyFont="1" applyAlignment="1">
      <alignment horizontal="center"/>
    </xf>
    <xf numFmtId="0" fontId="2" fillId="6" borderId="13" xfId="0" applyFont="1" applyFill="1" applyBorder="1" applyAlignment="1">
      <alignment horizontal="center"/>
    </xf>
    <xf numFmtId="165" fontId="0" fillId="0" borderId="0" xfId="0" applyNumberFormat="1"/>
    <xf numFmtId="0" fontId="5" fillId="0" borderId="0" xfId="0" applyFont="1" applyAlignment="1">
      <alignment horizontal="center"/>
    </xf>
    <xf numFmtId="0" fontId="7" fillId="0" borderId="13" xfId="0" applyFont="1" applyBorder="1"/>
    <xf numFmtId="0" fontId="8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9" fontId="6" fillId="0" borderId="13" xfId="0" applyNumberFormat="1" applyFont="1" applyBorder="1" applyAlignment="1">
      <alignment horizontal="center"/>
    </xf>
    <xf numFmtId="2" fontId="6" fillId="0" borderId="13" xfId="0" applyNumberFormat="1" applyFont="1" applyBorder="1" applyAlignment="1">
      <alignment horizontal="center"/>
    </xf>
    <xf numFmtId="9" fontId="0" fillId="0" borderId="0" xfId="1" applyFont="1" applyAlignment="1">
      <alignment horizontal="center"/>
    </xf>
    <xf numFmtId="0" fontId="0" fillId="3" borderId="13" xfId="0" applyFill="1" applyBorder="1"/>
    <xf numFmtId="9" fontId="0" fillId="3" borderId="13" xfId="1" applyFont="1" applyFill="1" applyBorder="1" applyAlignment="1">
      <alignment horizontal="center"/>
    </xf>
    <xf numFmtId="0" fontId="12" fillId="8" borderId="19" xfId="0" applyFont="1" applyFill="1" applyBorder="1" applyAlignment="1">
      <alignment horizontal="left"/>
    </xf>
    <xf numFmtId="0" fontId="13" fillId="9" borderId="20" xfId="0" applyFont="1" applyFill="1" applyBorder="1" applyAlignment="1">
      <alignment horizontal="left"/>
    </xf>
    <xf numFmtId="9" fontId="13" fillId="0" borderId="21" xfId="0" applyNumberFormat="1" applyFont="1" applyBorder="1" applyAlignment="1">
      <alignment horizontal="center"/>
    </xf>
    <xf numFmtId="9" fontId="13" fillId="0" borderId="22" xfId="0" applyNumberFormat="1" applyFont="1" applyBorder="1" applyAlignment="1">
      <alignment horizontal="center"/>
    </xf>
    <xf numFmtId="0" fontId="13" fillId="9" borderId="23" xfId="0" applyFont="1" applyFill="1" applyBorder="1" applyAlignment="1">
      <alignment horizontal="left"/>
    </xf>
    <xf numFmtId="9" fontId="13" fillId="0" borderId="24" xfId="0" applyNumberFormat="1" applyFont="1" applyBorder="1" applyAlignment="1">
      <alignment horizontal="center"/>
    </xf>
    <xf numFmtId="9" fontId="13" fillId="0" borderId="25" xfId="0" applyNumberFormat="1" applyFont="1" applyBorder="1" applyAlignment="1">
      <alignment horizontal="center"/>
    </xf>
    <xf numFmtId="0" fontId="13" fillId="9" borderId="26" xfId="0" applyFont="1" applyFill="1" applyBorder="1" applyAlignment="1">
      <alignment horizontal="left"/>
    </xf>
    <xf numFmtId="9" fontId="13" fillId="0" borderId="27" xfId="0" applyNumberFormat="1" applyFont="1" applyBorder="1" applyAlignment="1">
      <alignment horizontal="center"/>
    </xf>
    <xf numFmtId="9" fontId="13" fillId="0" borderId="28" xfId="0" applyNumberFormat="1" applyFont="1" applyBorder="1" applyAlignment="1">
      <alignment horizontal="center"/>
    </xf>
    <xf numFmtId="10" fontId="0" fillId="3" borderId="13" xfId="1" applyNumberFormat="1" applyFont="1" applyFill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9" fontId="0" fillId="0" borderId="0" xfId="0" applyNumberFormat="1" applyAlignment="1">
      <alignment vertical="center"/>
    </xf>
    <xf numFmtId="0" fontId="0" fillId="0" borderId="13" xfId="0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2" fontId="0" fillId="0" borderId="13" xfId="0" applyNumberFormat="1" applyBorder="1" applyAlignment="1">
      <alignment horizontal="center"/>
    </xf>
    <xf numFmtId="9" fontId="1" fillId="0" borderId="13" xfId="1" applyFont="1" applyFill="1" applyBorder="1" applyAlignment="1">
      <alignment horizontal="center"/>
    </xf>
    <xf numFmtId="9" fontId="1" fillId="0" borderId="13" xfId="1" applyFont="1" applyFill="1" applyBorder="1" applyAlignment="1">
      <alignment horizontal="center" wrapText="1"/>
    </xf>
    <xf numFmtId="9" fontId="1" fillId="0" borderId="13" xfId="1" applyFont="1" applyBorder="1" applyAlignment="1">
      <alignment horizontal="center"/>
    </xf>
    <xf numFmtId="0" fontId="2" fillId="7" borderId="13" xfId="0" applyFont="1" applyFill="1" applyBorder="1" applyAlignment="1">
      <alignment horizontal="center" vertical="center" wrapText="1"/>
    </xf>
    <xf numFmtId="15" fontId="0" fillId="0" borderId="13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/>
    </xf>
    <xf numFmtId="0" fontId="0" fillId="0" borderId="13" xfId="0" applyBorder="1" applyAlignment="1">
      <alignment vertical="center" wrapText="1"/>
    </xf>
    <xf numFmtId="9" fontId="3" fillId="2" borderId="0" xfId="1" applyFont="1" applyFill="1" applyBorder="1" applyAlignment="1">
      <alignment vertical="center" wrapText="1"/>
    </xf>
    <xf numFmtId="9" fontId="0" fillId="0" borderId="0" xfId="1" applyFont="1" applyAlignment="1"/>
    <xf numFmtId="9" fontId="0" fillId="0" borderId="0" xfId="1" applyFont="1" applyBorder="1" applyAlignment="1"/>
    <xf numFmtId="9" fontId="0" fillId="0" borderId="0" xfId="1" applyFont="1" applyFill="1" applyBorder="1" applyAlignment="1"/>
    <xf numFmtId="15" fontId="0" fillId="0" borderId="0" xfId="0" applyNumberFormat="1"/>
    <xf numFmtId="0" fontId="0" fillId="0" borderId="0" xfId="0" applyAlignment="1">
      <alignment wrapText="1"/>
    </xf>
    <xf numFmtId="0" fontId="0" fillId="0" borderId="13" xfId="0" applyBorder="1" applyAlignment="1">
      <alignment vertical="center"/>
    </xf>
    <xf numFmtId="9" fontId="0" fillId="0" borderId="13" xfId="1" applyFont="1" applyBorder="1" applyAlignment="1"/>
    <xf numFmtId="0" fontId="0" fillId="0" borderId="0" xfId="0" applyAlignment="1">
      <alignment horizontal="center" vertical="center"/>
    </xf>
    <xf numFmtId="2" fontId="0" fillId="0" borderId="0" xfId="0" applyNumberFormat="1"/>
    <xf numFmtId="0" fontId="0" fillId="0" borderId="13" xfId="1" applyNumberFormat="1" applyFont="1" applyBorder="1" applyAlignment="1">
      <alignment horizontal="center" vertical="center"/>
    </xf>
    <xf numFmtId="0" fontId="0" fillId="0" borderId="13" xfId="1" applyNumberFormat="1" applyFont="1" applyFill="1" applyBorder="1" applyAlignment="1">
      <alignment horizontal="center" vertical="center"/>
    </xf>
    <xf numFmtId="15" fontId="0" fillId="0" borderId="13" xfId="1" applyNumberFormat="1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wrapText="1"/>
    </xf>
    <xf numFmtId="2" fontId="0" fillId="0" borderId="13" xfId="0" applyNumberFormat="1" applyBorder="1" applyAlignment="1">
      <alignment horizontal="center" vertical="center"/>
    </xf>
    <xf numFmtId="9" fontId="1" fillId="0" borderId="13" xfId="1" applyFont="1" applyFill="1" applyBorder="1" applyAlignment="1">
      <alignment horizontal="center" vertical="center"/>
    </xf>
    <xf numFmtId="9" fontId="1" fillId="0" borderId="13" xfId="1" applyFont="1" applyBorder="1" applyAlignment="1">
      <alignment horizontal="center" vertical="center"/>
    </xf>
    <xf numFmtId="2" fontId="0" fillId="0" borderId="13" xfId="1" applyNumberFormat="1" applyFont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left" vertical="center" wrapText="1"/>
    </xf>
    <xf numFmtId="14" fontId="0" fillId="0" borderId="13" xfId="0" applyNumberForma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30" xfId="1" applyNumberFormat="1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1" applyNumberFormat="1" applyFont="1" applyFill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4" fontId="0" fillId="0" borderId="13" xfId="1" applyNumberFormat="1" applyFont="1" applyFill="1" applyBorder="1" applyAlignment="1">
      <alignment horizontal="center" vertical="center"/>
    </xf>
    <xf numFmtId="14" fontId="0" fillId="0" borderId="13" xfId="1" applyNumberFormat="1" applyFont="1" applyBorder="1" applyAlignment="1">
      <alignment horizontal="center" vertical="center"/>
    </xf>
    <xf numFmtId="14" fontId="0" fillId="0" borderId="13" xfId="0" applyNumberFormat="1" applyBorder="1" applyAlignment="1">
      <alignment horizontal="center" wrapText="1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4" borderId="0" xfId="0" applyFont="1" applyFill="1" applyAlignment="1">
      <alignment horizontal="center" vertical="center" wrapText="1"/>
    </xf>
    <xf numFmtId="0" fontId="0" fillId="0" borderId="14" xfId="1" applyNumberFormat="1" applyFont="1" applyBorder="1" applyAlignment="1">
      <alignment horizontal="center" vertical="center"/>
    </xf>
    <xf numFmtId="15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0" fillId="0" borderId="0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21166</xdr:rowOff>
    </xdr:from>
    <xdr:to>
      <xdr:col>1</xdr:col>
      <xdr:colOff>357910</xdr:colOff>
      <xdr:row>3</xdr:row>
      <xdr:rowOff>173491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634031-1409-458B-9908-E9F4A5E61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166"/>
          <a:ext cx="1151660" cy="7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400243</xdr:colOff>
      <xdr:row>2</xdr:row>
      <xdr:rowOff>342825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F83475-3DAA-42AF-B4FB-8D7BC3A4F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51660" cy="723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97</xdr:row>
      <xdr:rowOff>0</xdr:rowOff>
    </xdr:from>
    <xdr:to>
      <xdr:col>6</xdr:col>
      <xdr:colOff>9525</xdr:colOff>
      <xdr:row>97</xdr:row>
      <xdr:rowOff>0</xdr:rowOff>
    </xdr:to>
    <xdr:pic>
      <xdr:nvPicPr>
        <xdr:cNvPr id="3" name="Picture 2" descr="Margo’s Got Money Troubles">
          <a:extLst>
            <a:ext uri="{FF2B5EF4-FFF2-40B4-BE49-F238E27FC236}">
              <a16:creationId xmlns:a16="http://schemas.microsoft.com/office/drawing/2014/main" id="{78083136-3373-41F8-88A2-9532F1A13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2000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97</xdr:row>
      <xdr:rowOff>0</xdr:rowOff>
    </xdr:from>
    <xdr:to>
      <xdr:col>6</xdr:col>
      <xdr:colOff>9525</xdr:colOff>
      <xdr:row>97</xdr:row>
      <xdr:rowOff>0</xdr:rowOff>
    </xdr:to>
    <xdr:pic>
      <xdr:nvPicPr>
        <xdr:cNvPr id="4" name="Picture 3" descr="Margo’s Got Money Troubles">
          <a:extLst>
            <a:ext uri="{FF2B5EF4-FFF2-40B4-BE49-F238E27FC236}">
              <a16:creationId xmlns:a16="http://schemas.microsoft.com/office/drawing/2014/main" id="{644E62BB-A100-48F7-902E-CF405F86D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0" y="1238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97</xdr:row>
      <xdr:rowOff>0</xdr:rowOff>
    </xdr:from>
    <xdr:to>
      <xdr:col>6</xdr:col>
      <xdr:colOff>9525</xdr:colOff>
      <xdr:row>97</xdr:row>
      <xdr:rowOff>0</xdr:rowOff>
    </xdr:to>
    <xdr:pic>
      <xdr:nvPicPr>
        <xdr:cNvPr id="5" name="Picture 4" descr="Margo’s Got Money Troubles">
          <a:extLst>
            <a:ext uri="{FF2B5EF4-FFF2-40B4-BE49-F238E27FC236}">
              <a16:creationId xmlns:a16="http://schemas.microsoft.com/office/drawing/2014/main" id="{1E9D8049-6BF4-4C30-BEB1-4576D873C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609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97</xdr:row>
      <xdr:rowOff>0</xdr:rowOff>
    </xdr:from>
    <xdr:to>
      <xdr:col>6</xdr:col>
      <xdr:colOff>9525</xdr:colOff>
      <xdr:row>97</xdr:row>
      <xdr:rowOff>0</xdr:rowOff>
    </xdr:to>
    <xdr:pic>
      <xdr:nvPicPr>
        <xdr:cNvPr id="6" name="Picture 5" descr="Margo’s Got Money Troubles">
          <a:extLst>
            <a:ext uri="{FF2B5EF4-FFF2-40B4-BE49-F238E27FC236}">
              <a16:creationId xmlns:a16="http://schemas.microsoft.com/office/drawing/2014/main" id="{5D2FB964-F037-4135-9B63-52CB8500D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676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188</xdr:row>
      <xdr:rowOff>0</xdr:rowOff>
    </xdr:from>
    <xdr:to>
      <xdr:col>6</xdr:col>
      <xdr:colOff>9525</xdr:colOff>
      <xdr:row>188</xdr:row>
      <xdr:rowOff>0</xdr:rowOff>
    </xdr:to>
    <xdr:pic>
      <xdr:nvPicPr>
        <xdr:cNvPr id="7" name="Picture 6" descr="Margo’s Got Money Troubles">
          <a:extLst>
            <a:ext uri="{FF2B5EF4-FFF2-40B4-BE49-F238E27FC236}">
              <a16:creationId xmlns:a16="http://schemas.microsoft.com/office/drawing/2014/main" id="{20052DF3-AC11-4163-9E1D-F08F25100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20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9525</xdr:colOff>
      <xdr:row>5</xdr:row>
      <xdr:rowOff>0</xdr:rowOff>
    </xdr:to>
    <xdr:pic>
      <xdr:nvPicPr>
        <xdr:cNvPr id="8" name="Picture 7" descr="Margo’s Got Money Troubles">
          <a:extLst>
            <a:ext uri="{FF2B5EF4-FFF2-40B4-BE49-F238E27FC236}">
              <a16:creationId xmlns:a16="http://schemas.microsoft.com/office/drawing/2014/main" id="{CA7C99A0-7254-4FD4-8B5D-F96ABC035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895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234</xdr:row>
      <xdr:rowOff>0</xdr:rowOff>
    </xdr:from>
    <xdr:to>
      <xdr:col>6</xdr:col>
      <xdr:colOff>9525</xdr:colOff>
      <xdr:row>234</xdr:row>
      <xdr:rowOff>0</xdr:rowOff>
    </xdr:to>
    <xdr:pic>
      <xdr:nvPicPr>
        <xdr:cNvPr id="9" name="Picture 8" descr="Margo’s Got Money Troubles">
          <a:extLst>
            <a:ext uri="{FF2B5EF4-FFF2-40B4-BE49-F238E27FC236}">
              <a16:creationId xmlns:a16="http://schemas.microsoft.com/office/drawing/2014/main" id="{05688C86-403B-4C9F-B992-DCA638A23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1752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400243</xdr:colOff>
      <xdr:row>3</xdr:row>
      <xdr:rowOff>159945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CF4B00-9720-41F4-A79D-7B2ED88F6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7483" cy="708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9D77-D343-4F54-B586-23FE787EB415}">
  <dimension ref="A1:L66"/>
  <sheetViews>
    <sheetView showGridLines="0" tabSelected="1" topLeftCell="A4" zoomScale="90" zoomScaleNormal="90" workbookViewId="0">
      <selection activeCell="A6" sqref="A6"/>
    </sheetView>
  </sheetViews>
  <sheetFormatPr defaultRowHeight="15" x14ac:dyDescent="0.25"/>
  <cols>
    <col min="1" max="1" width="11.85546875" bestFit="1" customWidth="1"/>
    <col min="2" max="2" width="9.5703125" bestFit="1" customWidth="1"/>
    <col min="3" max="3" width="19.85546875" bestFit="1" customWidth="1"/>
    <col min="4" max="4" width="21.7109375" bestFit="1" customWidth="1"/>
    <col min="5" max="5" width="10.28515625" bestFit="1" customWidth="1"/>
    <col min="6" max="6" width="12.85546875" bestFit="1" customWidth="1"/>
    <col min="7" max="7" width="36.85546875" bestFit="1" customWidth="1"/>
    <col min="8" max="8" width="36.85546875" customWidth="1"/>
    <col min="9" max="9" width="28.7109375" bestFit="1" customWidth="1"/>
    <col min="10" max="10" width="12.5703125" bestFit="1" customWidth="1"/>
    <col min="11" max="11" width="5.28515625" bestFit="1" customWidth="1"/>
    <col min="12" max="12" width="7.140625" bestFit="1" customWidth="1"/>
  </cols>
  <sheetData>
    <row r="1" spans="1:12" x14ac:dyDescent="0.25">
      <c r="F1" s="72" t="s">
        <v>1943</v>
      </c>
    </row>
    <row r="2" spans="1:12" x14ac:dyDescent="0.25">
      <c r="F2" s="52"/>
    </row>
    <row r="3" spans="1:12" x14ac:dyDescent="0.25">
      <c r="F3" s="52"/>
    </row>
    <row r="6" spans="1:12" s="1" customFormat="1" x14ac:dyDescent="0.25">
      <c r="A6" s="122" t="s">
        <v>205</v>
      </c>
      <c r="B6" s="122" t="s">
        <v>257</v>
      </c>
      <c r="C6" s="122" t="s">
        <v>204</v>
      </c>
      <c r="D6" s="122" t="s">
        <v>430</v>
      </c>
      <c r="E6" s="122" t="s">
        <v>210</v>
      </c>
      <c r="F6" s="122" t="s">
        <v>206</v>
      </c>
      <c r="G6" s="122" t="s">
        <v>207</v>
      </c>
      <c r="H6" s="122" t="s">
        <v>13</v>
      </c>
      <c r="I6" s="122" t="s">
        <v>209</v>
      </c>
      <c r="J6" s="122" t="s">
        <v>208</v>
      </c>
      <c r="K6" s="122" t="s">
        <v>253</v>
      </c>
      <c r="L6" s="122" t="s">
        <v>857</v>
      </c>
    </row>
    <row r="7" spans="1:12" x14ac:dyDescent="0.25">
      <c r="A7" s="46" t="s">
        <v>1944</v>
      </c>
      <c r="B7" s="46" t="s">
        <v>85</v>
      </c>
      <c r="C7" s="46" t="s">
        <v>906</v>
      </c>
      <c r="D7" s="46" t="s">
        <v>437</v>
      </c>
      <c r="E7" s="46" t="s">
        <v>211</v>
      </c>
      <c r="F7" s="46" t="s">
        <v>451</v>
      </c>
      <c r="G7" s="46" t="s">
        <v>1783</v>
      </c>
      <c r="H7" s="46" t="s">
        <v>19</v>
      </c>
      <c r="I7" s="46" t="s">
        <v>451</v>
      </c>
      <c r="J7" s="107">
        <v>46109</v>
      </c>
      <c r="K7" s="46">
        <v>1</v>
      </c>
      <c r="L7" s="123">
        <v>125.43264874627351</v>
      </c>
    </row>
    <row r="8" spans="1:12" x14ac:dyDescent="0.25">
      <c r="A8" s="46" t="s">
        <v>1944</v>
      </c>
      <c r="B8" s="46" t="s">
        <v>85</v>
      </c>
      <c r="C8" s="46" t="s">
        <v>906</v>
      </c>
      <c r="D8" s="46" t="s">
        <v>1012</v>
      </c>
      <c r="E8" s="46" t="s">
        <v>211</v>
      </c>
      <c r="F8" s="46" t="s">
        <v>215</v>
      </c>
      <c r="G8" s="46" t="s">
        <v>1877</v>
      </c>
      <c r="H8" s="46" t="s">
        <v>1880</v>
      </c>
      <c r="I8" s="46" t="s">
        <v>90</v>
      </c>
      <c r="J8" s="53">
        <v>46157</v>
      </c>
      <c r="K8" s="46">
        <f>+K7+1</f>
        <v>2</v>
      </c>
      <c r="L8" s="123">
        <v>15.847808531460002</v>
      </c>
    </row>
    <row r="9" spans="1:12" x14ac:dyDescent="0.25">
      <c r="A9" s="46" t="s">
        <v>1944</v>
      </c>
      <c r="B9" s="46" t="s">
        <v>85</v>
      </c>
      <c r="C9" s="98" t="s">
        <v>64</v>
      </c>
      <c r="D9" s="98" t="s">
        <v>1012</v>
      </c>
      <c r="E9" s="98" t="s">
        <v>211</v>
      </c>
      <c r="F9" s="46" t="s">
        <v>215</v>
      </c>
      <c r="G9" s="120" t="s">
        <v>1869</v>
      </c>
      <c r="H9" s="119" t="s">
        <v>1432</v>
      </c>
      <c r="I9" s="98" t="s">
        <v>172</v>
      </c>
      <c r="J9" s="106">
        <v>46155</v>
      </c>
      <c r="K9" s="46">
        <f>+K8+1</f>
        <v>3</v>
      </c>
      <c r="L9" s="101">
        <v>13.858320578312307</v>
      </c>
    </row>
    <row r="10" spans="1:12" x14ac:dyDescent="0.25">
      <c r="A10" s="46" t="s">
        <v>1944</v>
      </c>
      <c r="B10" s="46" t="s">
        <v>85</v>
      </c>
      <c r="C10" s="98" t="s">
        <v>64</v>
      </c>
      <c r="D10" s="98" t="s">
        <v>1012</v>
      </c>
      <c r="E10" s="98" t="s">
        <v>211</v>
      </c>
      <c r="F10" s="46" t="s">
        <v>215</v>
      </c>
      <c r="G10" s="98" t="s">
        <v>1849</v>
      </c>
      <c r="H10" s="98" t="s">
        <v>1432</v>
      </c>
      <c r="I10" s="98" t="s">
        <v>78</v>
      </c>
      <c r="J10" s="106">
        <v>46120</v>
      </c>
      <c r="K10" s="46">
        <f>+K9+1</f>
        <v>4</v>
      </c>
      <c r="L10" s="123">
        <v>13.084929314016399</v>
      </c>
    </row>
    <row r="11" spans="1:12" x14ac:dyDescent="0.25">
      <c r="A11" s="46" t="s">
        <v>1944</v>
      </c>
      <c r="B11" s="46" t="s">
        <v>85</v>
      </c>
      <c r="C11" s="98" t="s">
        <v>879</v>
      </c>
      <c r="D11" s="98" t="s">
        <v>1866</v>
      </c>
      <c r="E11" s="98" t="s">
        <v>219</v>
      </c>
      <c r="F11" s="46" t="s">
        <v>215</v>
      </c>
      <c r="G11" s="98" t="s">
        <v>2003</v>
      </c>
      <c r="H11" s="119" t="s">
        <v>19</v>
      </c>
      <c r="I11" s="98" t="s">
        <v>176</v>
      </c>
      <c r="J11" s="106">
        <v>46157</v>
      </c>
      <c r="K11" s="46">
        <f>+K10+1</f>
        <v>5</v>
      </c>
      <c r="L11" s="123">
        <v>12.922505897952</v>
      </c>
    </row>
    <row r="12" spans="1:12" x14ac:dyDescent="0.25">
      <c r="A12" s="46" t="s">
        <v>1944</v>
      </c>
      <c r="B12" s="46" t="s">
        <v>85</v>
      </c>
      <c r="C12" s="46" t="s">
        <v>879</v>
      </c>
      <c r="D12" s="98" t="s">
        <v>1866</v>
      </c>
      <c r="E12" s="46" t="s">
        <v>219</v>
      </c>
      <c r="F12" s="46" t="s">
        <v>215</v>
      </c>
      <c r="G12" s="46" t="s">
        <v>1881</v>
      </c>
      <c r="H12" s="46" t="s">
        <v>19</v>
      </c>
      <c r="I12" s="46" t="s">
        <v>448</v>
      </c>
      <c r="J12" s="107">
        <v>46129</v>
      </c>
      <c r="K12" s="46">
        <f>+K11+1</f>
        <v>6</v>
      </c>
      <c r="L12" s="123">
        <v>10.539931055905567</v>
      </c>
    </row>
    <row r="13" spans="1:12" x14ac:dyDescent="0.25">
      <c r="A13" s="46" t="s">
        <v>1944</v>
      </c>
      <c r="B13" s="46" t="s">
        <v>85</v>
      </c>
      <c r="C13" s="46" t="s">
        <v>64</v>
      </c>
      <c r="D13" s="46" t="s">
        <v>1012</v>
      </c>
      <c r="E13" s="46" t="s">
        <v>211</v>
      </c>
      <c r="F13" s="46" t="s">
        <v>215</v>
      </c>
      <c r="G13" s="46" t="s">
        <v>1895</v>
      </c>
      <c r="H13" s="46" t="s">
        <v>1922</v>
      </c>
      <c r="I13" s="46" t="s">
        <v>1923</v>
      </c>
      <c r="J13" s="53">
        <v>46131</v>
      </c>
      <c r="K13" s="46">
        <f>+K12+1</f>
        <v>7</v>
      </c>
      <c r="L13" s="123">
        <v>8.2264014336412128</v>
      </c>
    </row>
    <row r="14" spans="1:12" x14ac:dyDescent="0.25">
      <c r="A14" s="46" t="s">
        <v>1944</v>
      </c>
      <c r="B14" s="46" t="s">
        <v>85</v>
      </c>
      <c r="C14" s="46" t="s">
        <v>879</v>
      </c>
      <c r="D14" s="46" t="s">
        <v>1866</v>
      </c>
      <c r="E14" s="46" t="s">
        <v>219</v>
      </c>
      <c r="F14" s="46" t="s">
        <v>215</v>
      </c>
      <c r="G14" s="46" t="s">
        <v>1930</v>
      </c>
      <c r="H14" s="46" t="s">
        <v>19</v>
      </c>
      <c r="I14" s="46" t="s">
        <v>216</v>
      </c>
      <c r="J14" s="53">
        <v>46140</v>
      </c>
      <c r="K14" s="46">
        <f>+K13+1</f>
        <v>8</v>
      </c>
      <c r="L14" s="123">
        <v>7.9758281479999997</v>
      </c>
    </row>
    <row r="15" spans="1:12" x14ac:dyDescent="0.25">
      <c r="A15" s="46" t="s">
        <v>1944</v>
      </c>
      <c r="B15" s="46" t="s">
        <v>85</v>
      </c>
      <c r="C15" s="46" t="s">
        <v>906</v>
      </c>
      <c r="D15" s="46" t="s">
        <v>434</v>
      </c>
      <c r="E15" s="46" t="s">
        <v>211</v>
      </c>
      <c r="F15" s="46" t="s">
        <v>213</v>
      </c>
      <c r="G15" s="46" t="s">
        <v>1979</v>
      </c>
      <c r="H15" s="46" t="s">
        <v>40</v>
      </c>
      <c r="I15" s="46" t="s">
        <v>87</v>
      </c>
      <c r="J15" s="107">
        <v>46164</v>
      </c>
      <c r="K15" s="46">
        <f>+K14+1</f>
        <v>9</v>
      </c>
      <c r="L15" s="123">
        <v>7.0130970410240003</v>
      </c>
    </row>
    <row r="16" spans="1:12" x14ac:dyDescent="0.25">
      <c r="A16" s="46" t="s">
        <v>1944</v>
      </c>
      <c r="B16" s="46" t="s">
        <v>85</v>
      </c>
      <c r="C16" s="98" t="s">
        <v>123</v>
      </c>
      <c r="D16" s="98" t="s">
        <v>1013</v>
      </c>
      <c r="E16" s="98" t="s">
        <v>211</v>
      </c>
      <c r="F16" s="46" t="s">
        <v>213</v>
      </c>
      <c r="G16" s="98" t="s">
        <v>1878</v>
      </c>
      <c r="H16" s="98" t="s">
        <v>28</v>
      </c>
      <c r="I16" s="98" t="s">
        <v>28</v>
      </c>
      <c r="J16" s="106">
        <v>46157</v>
      </c>
      <c r="K16" s="46">
        <f>+K15+1</f>
        <v>10</v>
      </c>
      <c r="L16" s="123">
        <v>6.7544142073230704</v>
      </c>
    </row>
    <row r="17" spans="1:12" x14ac:dyDescent="0.25">
      <c r="A17" s="46" t="s">
        <v>1944</v>
      </c>
      <c r="B17" s="46" t="s">
        <v>85</v>
      </c>
      <c r="C17" s="98" t="s">
        <v>906</v>
      </c>
      <c r="D17" s="98" t="s">
        <v>456</v>
      </c>
      <c r="E17" s="119" t="s">
        <v>211</v>
      </c>
      <c r="F17" s="46" t="s">
        <v>2011</v>
      </c>
      <c r="G17" s="98" t="s">
        <v>1859</v>
      </c>
      <c r="H17" s="98" t="s">
        <v>19</v>
      </c>
      <c r="I17" s="98" t="s">
        <v>2070</v>
      </c>
      <c r="J17" s="106">
        <v>45983</v>
      </c>
      <c r="K17" s="46">
        <f>+K16+1</f>
        <v>11</v>
      </c>
      <c r="L17" s="123">
        <v>6.249546715972623</v>
      </c>
    </row>
    <row r="18" spans="1:12" x14ac:dyDescent="0.25">
      <c r="A18" s="46" t="s">
        <v>1944</v>
      </c>
      <c r="B18" s="46" t="s">
        <v>85</v>
      </c>
      <c r="C18" s="46" t="s">
        <v>123</v>
      </c>
      <c r="D18" s="98" t="s">
        <v>1012</v>
      </c>
      <c r="E18" s="46" t="s">
        <v>211</v>
      </c>
      <c r="F18" s="46" t="s">
        <v>215</v>
      </c>
      <c r="G18" s="46" t="s">
        <v>1906</v>
      </c>
      <c r="H18" s="46" t="s">
        <v>1926</v>
      </c>
      <c r="I18" s="46" t="s">
        <v>286</v>
      </c>
      <c r="J18" s="53">
        <v>46136</v>
      </c>
      <c r="K18" s="46">
        <f>+K17+1</f>
        <v>12</v>
      </c>
      <c r="L18" s="123">
        <v>6.1856998682141269</v>
      </c>
    </row>
    <row r="19" spans="1:12" x14ac:dyDescent="0.25">
      <c r="A19" s="46" t="s">
        <v>1944</v>
      </c>
      <c r="B19" s="46" t="s">
        <v>85</v>
      </c>
      <c r="C19" s="98" t="s">
        <v>132</v>
      </c>
      <c r="D19" s="98" t="s">
        <v>456</v>
      </c>
      <c r="E19" s="98" t="s">
        <v>219</v>
      </c>
      <c r="F19" s="46" t="s">
        <v>2011</v>
      </c>
      <c r="G19" s="119" t="s">
        <v>1515</v>
      </c>
      <c r="H19" s="119" t="s">
        <v>19</v>
      </c>
      <c r="I19" s="119" t="s">
        <v>1862</v>
      </c>
      <c r="J19" s="121">
        <v>45948</v>
      </c>
      <c r="K19" s="46">
        <f>+K18+1</f>
        <v>13</v>
      </c>
      <c r="L19" s="123">
        <v>5.9158771551426641</v>
      </c>
    </row>
    <row r="20" spans="1:12" x14ac:dyDescent="0.25">
      <c r="A20" s="46" t="s">
        <v>1944</v>
      </c>
      <c r="B20" s="46" t="s">
        <v>85</v>
      </c>
      <c r="C20" s="46" t="s">
        <v>150</v>
      </c>
      <c r="D20" s="46" t="s">
        <v>1866</v>
      </c>
      <c r="E20" s="46" t="s">
        <v>219</v>
      </c>
      <c r="F20" s="46" t="s">
        <v>215</v>
      </c>
      <c r="G20" s="46" t="s">
        <v>1917</v>
      </c>
      <c r="H20" s="46" t="s">
        <v>19</v>
      </c>
      <c r="I20" s="46" t="s">
        <v>171</v>
      </c>
      <c r="J20" s="53">
        <v>46157</v>
      </c>
      <c r="K20" s="46">
        <f>+K19+1</f>
        <v>14</v>
      </c>
      <c r="L20" s="123">
        <v>5.7446913272217914</v>
      </c>
    </row>
    <row r="21" spans="1:12" x14ac:dyDescent="0.25">
      <c r="A21" s="46" t="s">
        <v>1944</v>
      </c>
      <c r="B21" s="46" t="s">
        <v>85</v>
      </c>
      <c r="C21" s="46" t="s">
        <v>123</v>
      </c>
      <c r="D21" s="98" t="s">
        <v>434</v>
      </c>
      <c r="E21" s="46" t="s">
        <v>211</v>
      </c>
      <c r="F21" s="46" t="s">
        <v>213</v>
      </c>
      <c r="G21" s="46" t="s">
        <v>725</v>
      </c>
      <c r="H21" s="46" t="s">
        <v>26</v>
      </c>
      <c r="I21" s="46" t="s">
        <v>138</v>
      </c>
      <c r="J21" s="53">
        <v>46164</v>
      </c>
      <c r="K21" s="46">
        <f>+K20+1</f>
        <v>15</v>
      </c>
      <c r="L21" s="123">
        <v>5.713201808</v>
      </c>
    </row>
    <row r="22" spans="1:12" x14ac:dyDescent="0.25">
      <c r="A22" s="46" t="s">
        <v>1944</v>
      </c>
      <c r="B22" s="46" t="s">
        <v>85</v>
      </c>
      <c r="C22" s="98" t="s">
        <v>123</v>
      </c>
      <c r="D22" s="119" t="s">
        <v>434</v>
      </c>
      <c r="E22" s="119" t="s">
        <v>211</v>
      </c>
      <c r="F22" s="46" t="s">
        <v>213</v>
      </c>
      <c r="G22" s="119" t="s">
        <v>1979</v>
      </c>
      <c r="H22" s="119" t="s">
        <v>40</v>
      </c>
      <c r="I22" s="119" t="s">
        <v>87</v>
      </c>
      <c r="J22" s="121">
        <v>46164</v>
      </c>
      <c r="K22" s="46">
        <f>+K21+1</f>
        <v>16</v>
      </c>
      <c r="L22" s="123">
        <v>5.6291491456123897</v>
      </c>
    </row>
    <row r="23" spans="1:12" x14ac:dyDescent="0.25">
      <c r="A23" s="46" t="s">
        <v>1944</v>
      </c>
      <c r="B23" s="46" t="s">
        <v>85</v>
      </c>
      <c r="C23" s="46" t="s">
        <v>123</v>
      </c>
      <c r="D23" s="46" t="s">
        <v>1012</v>
      </c>
      <c r="E23" s="46" t="s">
        <v>211</v>
      </c>
      <c r="F23" s="46" t="s">
        <v>215</v>
      </c>
      <c r="G23" s="53" t="s">
        <v>1905</v>
      </c>
      <c r="H23" s="46" t="s">
        <v>40</v>
      </c>
      <c r="I23" s="46" t="s">
        <v>97</v>
      </c>
      <c r="J23" s="53">
        <v>46143</v>
      </c>
      <c r="K23" s="46">
        <f>+K22+1</f>
        <v>17</v>
      </c>
      <c r="L23" s="123">
        <v>5.3423214715365717</v>
      </c>
    </row>
    <row r="24" spans="1:12" x14ac:dyDescent="0.25">
      <c r="A24" s="46" t="s">
        <v>1944</v>
      </c>
      <c r="B24" s="46" t="s">
        <v>85</v>
      </c>
      <c r="C24" s="46" t="s">
        <v>150</v>
      </c>
      <c r="D24" s="46" t="s">
        <v>1012</v>
      </c>
      <c r="E24" s="46" t="s">
        <v>211</v>
      </c>
      <c r="F24" s="46" t="s">
        <v>215</v>
      </c>
      <c r="G24" s="46" t="s">
        <v>1978</v>
      </c>
      <c r="H24" s="46" t="s">
        <v>19</v>
      </c>
      <c r="I24" s="46" t="s">
        <v>216</v>
      </c>
      <c r="J24" s="53">
        <v>46164</v>
      </c>
      <c r="K24" s="46">
        <f>+K23+1</f>
        <v>18</v>
      </c>
      <c r="L24" s="123">
        <v>5.0802343720343108</v>
      </c>
    </row>
    <row r="25" spans="1:12" x14ac:dyDescent="0.25">
      <c r="A25" s="46" t="s">
        <v>1944</v>
      </c>
      <c r="B25" s="46" t="s">
        <v>85</v>
      </c>
      <c r="C25" s="46" t="s">
        <v>123</v>
      </c>
      <c r="D25" s="46" t="s">
        <v>1013</v>
      </c>
      <c r="E25" s="46" t="s">
        <v>211</v>
      </c>
      <c r="F25" s="46" t="s">
        <v>213</v>
      </c>
      <c r="G25" s="46" t="s">
        <v>1902</v>
      </c>
      <c r="H25" s="46" t="s">
        <v>28</v>
      </c>
      <c r="I25" s="46" t="s">
        <v>1925</v>
      </c>
      <c r="J25" s="53">
        <v>46143</v>
      </c>
      <c r="K25" s="46">
        <f>+K24+1</f>
        <v>19</v>
      </c>
      <c r="L25" s="123">
        <v>4.9706402405760004</v>
      </c>
    </row>
    <row r="26" spans="1:12" x14ac:dyDescent="0.25">
      <c r="A26" s="46" t="s">
        <v>1944</v>
      </c>
      <c r="B26" s="46" t="s">
        <v>85</v>
      </c>
      <c r="C26" s="98" t="s">
        <v>64</v>
      </c>
      <c r="D26" s="46" t="s">
        <v>1012</v>
      </c>
      <c r="E26" s="98" t="s">
        <v>211</v>
      </c>
      <c r="F26" s="46" t="s">
        <v>215</v>
      </c>
      <c r="G26" s="98" t="s">
        <v>2022</v>
      </c>
      <c r="H26" s="98" t="s">
        <v>19</v>
      </c>
      <c r="I26" s="98" t="s">
        <v>2074</v>
      </c>
      <c r="J26" s="106">
        <v>46099</v>
      </c>
      <c r="K26" s="46">
        <f>+K25+1</f>
        <v>20</v>
      </c>
      <c r="L26" s="123">
        <v>4.8524993711799871</v>
      </c>
    </row>
    <row r="27" spans="1:12" x14ac:dyDescent="0.25">
      <c r="A27" s="46" t="s">
        <v>1944</v>
      </c>
      <c r="B27" s="46" t="s">
        <v>85</v>
      </c>
      <c r="C27" s="98" t="s">
        <v>64</v>
      </c>
      <c r="D27" s="46" t="s">
        <v>434</v>
      </c>
      <c r="E27" s="98" t="s">
        <v>211</v>
      </c>
      <c r="F27" s="46" t="s">
        <v>213</v>
      </c>
      <c r="G27" s="98" t="s">
        <v>1891</v>
      </c>
      <c r="H27" s="119" t="s">
        <v>1059</v>
      </c>
      <c r="I27" s="119" t="s">
        <v>145</v>
      </c>
      <c r="J27" s="106">
        <v>46136</v>
      </c>
      <c r="K27" s="46">
        <f>+K26+1</f>
        <v>21</v>
      </c>
      <c r="L27" s="123">
        <v>4.7828033939023555</v>
      </c>
    </row>
    <row r="28" spans="1:12" x14ac:dyDescent="0.25">
      <c r="A28" s="46" t="s">
        <v>1944</v>
      </c>
      <c r="B28" s="46" t="s">
        <v>85</v>
      </c>
      <c r="C28" s="46" t="s">
        <v>64</v>
      </c>
      <c r="D28" s="46" t="s">
        <v>434</v>
      </c>
      <c r="E28" s="46" t="s">
        <v>211</v>
      </c>
      <c r="F28" s="46" t="s">
        <v>213</v>
      </c>
      <c r="G28" s="46" t="s">
        <v>1890</v>
      </c>
      <c r="H28" s="46" t="s">
        <v>1059</v>
      </c>
      <c r="I28" s="46" t="s">
        <v>1142</v>
      </c>
      <c r="J28" s="107">
        <v>46150</v>
      </c>
      <c r="K28" s="46">
        <f>+K27+1</f>
        <v>22</v>
      </c>
      <c r="L28" s="123">
        <v>4.3325261747755199</v>
      </c>
    </row>
    <row r="29" spans="1:12" x14ac:dyDescent="0.25">
      <c r="A29" s="46" t="s">
        <v>1944</v>
      </c>
      <c r="B29" s="46" t="s">
        <v>85</v>
      </c>
      <c r="C29" s="46" t="s">
        <v>132</v>
      </c>
      <c r="D29" s="46" t="s">
        <v>456</v>
      </c>
      <c r="E29" s="46" t="s">
        <v>219</v>
      </c>
      <c r="F29" s="46" t="s">
        <v>2011</v>
      </c>
      <c r="G29" s="46" t="s">
        <v>369</v>
      </c>
      <c r="H29" s="46" t="s">
        <v>19</v>
      </c>
      <c r="I29" s="46" t="s">
        <v>124</v>
      </c>
      <c r="J29" s="53" t="s">
        <v>254</v>
      </c>
      <c r="K29" s="46">
        <f>+K28+1</f>
        <v>23</v>
      </c>
      <c r="L29" s="123">
        <v>4.2599627103370201</v>
      </c>
    </row>
    <row r="30" spans="1:12" x14ac:dyDescent="0.25">
      <c r="A30" s="46" t="s">
        <v>1944</v>
      </c>
      <c r="B30" s="46" t="s">
        <v>85</v>
      </c>
      <c r="C30" s="98" t="s">
        <v>879</v>
      </c>
      <c r="D30" s="98" t="s">
        <v>1866</v>
      </c>
      <c r="E30" s="98" t="s">
        <v>219</v>
      </c>
      <c r="F30" s="46" t="s">
        <v>215</v>
      </c>
      <c r="G30" s="98" t="s">
        <v>1882</v>
      </c>
      <c r="H30" s="98" t="s">
        <v>19</v>
      </c>
      <c r="I30" s="98" t="s">
        <v>154</v>
      </c>
      <c r="J30" s="106">
        <v>46141</v>
      </c>
      <c r="K30" s="46">
        <f>+K29+1</f>
        <v>24</v>
      </c>
      <c r="L30" s="123">
        <v>4.2142150787053403</v>
      </c>
    </row>
    <row r="31" spans="1:12" x14ac:dyDescent="0.25">
      <c r="A31" s="46" t="s">
        <v>1944</v>
      </c>
      <c r="B31" s="46" t="s">
        <v>85</v>
      </c>
      <c r="C31" s="46" t="s">
        <v>150</v>
      </c>
      <c r="D31" s="98" t="s">
        <v>1012</v>
      </c>
      <c r="E31" s="46" t="s">
        <v>211</v>
      </c>
      <c r="F31" s="46" t="s">
        <v>215</v>
      </c>
      <c r="G31" s="46" t="s">
        <v>1996</v>
      </c>
      <c r="H31" s="46" t="s">
        <v>22</v>
      </c>
      <c r="I31" s="46" t="s">
        <v>202</v>
      </c>
      <c r="J31" s="107">
        <v>46164</v>
      </c>
      <c r="K31" s="46">
        <f>+K30+1</f>
        <v>25</v>
      </c>
      <c r="L31" s="123">
        <v>4.0474936820748804</v>
      </c>
    </row>
    <row r="32" spans="1:12" x14ac:dyDescent="0.25">
      <c r="A32" s="46" t="s">
        <v>1944</v>
      </c>
      <c r="B32" s="46" t="s">
        <v>85</v>
      </c>
      <c r="C32" s="98" t="s">
        <v>123</v>
      </c>
      <c r="D32" s="46" t="s">
        <v>1012</v>
      </c>
      <c r="E32" s="98" t="s">
        <v>211</v>
      </c>
      <c r="F32" s="46" t="s">
        <v>215</v>
      </c>
      <c r="G32" s="98" t="s">
        <v>2055</v>
      </c>
      <c r="H32" s="98" t="s">
        <v>19</v>
      </c>
      <c r="I32" s="98" t="s">
        <v>2087</v>
      </c>
      <c r="J32" s="106">
        <v>46012</v>
      </c>
      <c r="K32" s="46">
        <f>+K31+1</f>
        <v>26</v>
      </c>
      <c r="L32" s="123">
        <v>4.0368456990667996</v>
      </c>
    </row>
    <row r="33" spans="1:12" x14ac:dyDescent="0.25">
      <c r="A33" s="46" t="s">
        <v>1944</v>
      </c>
      <c r="B33" s="46" t="s">
        <v>85</v>
      </c>
      <c r="C33" s="46" t="s">
        <v>906</v>
      </c>
      <c r="D33" s="46" t="s">
        <v>1012</v>
      </c>
      <c r="E33" s="46" t="s">
        <v>211</v>
      </c>
      <c r="F33" s="46" t="s">
        <v>215</v>
      </c>
      <c r="G33" s="46" t="s">
        <v>1947</v>
      </c>
      <c r="H33" s="46" t="s">
        <v>20</v>
      </c>
      <c r="I33" s="46" t="s">
        <v>216</v>
      </c>
      <c r="J33" s="107">
        <v>46158</v>
      </c>
      <c r="K33" s="46">
        <f>+K32+1</f>
        <v>27</v>
      </c>
      <c r="L33" s="123">
        <v>4.030968549631714</v>
      </c>
    </row>
    <row r="34" spans="1:12" x14ac:dyDescent="0.25">
      <c r="A34" s="46" t="s">
        <v>1944</v>
      </c>
      <c r="B34" s="46" t="s">
        <v>85</v>
      </c>
      <c r="C34" s="98" t="s">
        <v>150</v>
      </c>
      <c r="D34" s="46" t="s">
        <v>1012</v>
      </c>
      <c r="E34" s="98" t="s">
        <v>211</v>
      </c>
      <c r="F34" s="46" t="s">
        <v>215</v>
      </c>
      <c r="G34" s="119" t="s">
        <v>1984</v>
      </c>
      <c r="H34" s="119" t="s">
        <v>23</v>
      </c>
      <c r="I34" s="119" t="s">
        <v>449</v>
      </c>
      <c r="J34" s="121">
        <v>46164</v>
      </c>
      <c r="K34" s="46">
        <f>+K33+1</f>
        <v>28</v>
      </c>
      <c r="L34" s="123">
        <v>3.9770861345009663</v>
      </c>
    </row>
    <row r="35" spans="1:12" x14ac:dyDescent="0.25">
      <c r="A35" s="46" t="s">
        <v>1944</v>
      </c>
      <c r="B35" s="46" t="s">
        <v>85</v>
      </c>
      <c r="C35" s="46" t="s">
        <v>123</v>
      </c>
      <c r="D35" s="46" t="s">
        <v>434</v>
      </c>
      <c r="E35" s="46" t="s">
        <v>211</v>
      </c>
      <c r="F35" s="46" t="s">
        <v>213</v>
      </c>
      <c r="G35" s="46" t="s">
        <v>1989</v>
      </c>
      <c r="H35" s="46" t="s">
        <v>21</v>
      </c>
      <c r="I35" s="46" t="s">
        <v>138</v>
      </c>
      <c r="J35" s="53">
        <v>46164</v>
      </c>
      <c r="K35" s="46">
        <f>+K34+1</f>
        <v>29</v>
      </c>
      <c r="L35" s="123">
        <v>3.9408519860079401</v>
      </c>
    </row>
    <row r="36" spans="1:12" x14ac:dyDescent="0.25">
      <c r="A36" s="46" t="s">
        <v>1944</v>
      </c>
      <c r="B36" s="46" t="s">
        <v>85</v>
      </c>
      <c r="C36" s="46" t="s">
        <v>123</v>
      </c>
      <c r="D36" s="46" t="s">
        <v>1012</v>
      </c>
      <c r="E36" s="46" t="s">
        <v>211</v>
      </c>
      <c r="F36" s="46" t="s">
        <v>215</v>
      </c>
      <c r="G36" s="53" t="s">
        <v>1954</v>
      </c>
      <c r="H36" s="46" t="s">
        <v>20</v>
      </c>
      <c r="I36" s="46" t="s">
        <v>216</v>
      </c>
      <c r="J36" s="53">
        <v>46162</v>
      </c>
      <c r="K36" s="46">
        <f>+K35+1</f>
        <v>30</v>
      </c>
      <c r="L36" s="123">
        <v>3.90976178477792</v>
      </c>
    </row>
    <row r="37" spans="1:12" x14ac:dyDescent="0.25">
      <c r="A37" s="46" t="s">
        <v>1944</v>
      </c>
      <c r="B37" s="46" t="s">
        <v>85</v>
      </c>
      <c r="C37" s="46" t="s">
        <v>123</v>
      </c>
      <c r="D37" s="98" t="s">
        <v>1012</v>
      </c>
      <c r="E37" s="46" t="s">
        <v>211</v>
      </c>
      <c r="F37" s="46" t="s">
        <v>215</v>
      </c>
      <c r="G37" s="46" t="s">
        <v>1956</v>
      </c>
      <c r="H37" s="46" t="s">
        <v>28</v>
      </c>
      <c r="I37" s="46" t="s">
        <v>1862</v>
      </c>
      <c r="J37" s="53">
        <v>46162</v>
      </c>
      <c r="K37" s="46">
        <f>+K36+1</f>
        <v>31</v>
      </c>
      <c r="L37" s="123">
        <v>3.8858112293787652</v>
      </c>
    </row>
    <row r="38" spans="1:12" x14ac:dyDescent="0.25">
      <c r="A38" s="46" t="s">
        <v>1944</v>
      </c>
      <c r="B38" s="46" t="s">
        <v>85</v>
      </c>
      <c r="C38" s="98" t="s">
        <v>64</v>
      </c>
      <c r="D38" s="98" t="s">
        <v>434</v>
      </c>
      <c r="E38" s="98" t="s">
        <v>211</v>
      </c>
      <c r="F38" s="46" t="s">
        <v>213</v>
      </c>
      <c r="G38" s="98" t="s">
        <v>1946</v>
      </c>
      <c r="H38" s="98" t="s">
        <v>1998</v>
      </c>
      <c r="I38" s="98" t="s">
        <v>216</v>
      </c>
      <c r="J38" s="106">
        <v>46158</v>
      </c>
      <c r="K38" s="46">
        <f>+K37+1</f>
        <v>32</v>
      </c>
      <c r="L38" s="123">
        <v>3.8505974673999996</v>
      </c>
    </row>
    <row r="39" spans="1:12" x14ac:dyDescent="0.25">
      <c r="A39" s="46" t="s">
        <v>1944</v>
      </c>
      <c r="B39" s="46" t="s">
        <v>85</v>
      </c>
      <c r="C39" s="46" t="s">
        <v>906</v>
      </c>
      <c r="D39" s="46" t="s">
        <v>1012</v>
      </c>
      <c r="E39" s="46" t="s">
        <v>211</v>
      </c>
      <c r="F39" s="46" t="s">
        <v>215</v>
      </c>
      <c r="G39" s="53" t="s">
        <v>1964</v>
      </c>
      <c r="H39" s="46" t="s">
        <v>20</v>
      </c>
      <c r="I39" s="46" t="s">
        <v>158</v>
      </c>
      <c r="J39" s="53">
        <v>46162</v>
      </c>
      <c r="K39" s="46">
        <f>+K38+1</f>
        <v>33</v>
      </c>
      <c r="L39" s="123">
        <v>3.8324785477671601</v>
      </c>
    </row>
    <row r="40" spans="1:12" x14ac:dyDescent="0.25">
      <c r="A40" s="46" t="s">
        <v>1944</v>
      </c>
      <c r="B40" s="46" t="s">
        <v>85</v>
      </c>
      <c r="C40" s="46" t="s">
        <v>64</v>
      </c>
      <c r="D40" s="98" t="s">
        <v>434</v>
      </c>
      <c r="E40" s="46" t="s">
        <v>211</v>
      </c>
      <c r="F40" s="46" t="s">
        <v>213</v>
      </c>
      <c r="G40" s="46" t="s">
        <v>1955</v>
      </c>
      <c r="H40" s="46" t="s">
        <v>19</v>
      </c>
      <c r="I40" s="46" t="s">
        <v>138</v>
      </c>
      <c r="J40" s="53">
        <v>46162</v>
      </c>
      <c r="K40" s="46">
        <f>+K39+1</f>
        <v>34</v>
      </c>
      <c r="L40" s="123">
        <v>3.7108039884999999</v>
      </c>
    </row>
    <row r="41" spans="1:12" x14ac:dyDescent="0.25">
      <c r="A41" s="46" t="s">
        <v>1944</v>
      </c>
      <c r="B41" s="46" t="s">
        <v>85</v>
      </c>
      <c r="C41" s="46" t="s">
        <v>123</v>
      </c>
      <c r="D41" s="46" t="s">
        <v>434</v>
      </c>
      <c r="E41" s="46" t="s">
        <v>211</v>
      </c>
      <c r="F41" s="46" t="s">
        <v>213</v>
      </c>
      <c r="G41" s="98" t="s">
        <v>1871</v>
      </c>
      <c r="H41" s="98" t="s">
        <v>21</v>
      </c>
      <c r="I41" s="98" t="s">
        <v>381</v>
      </c>
      <c r="J41" s="53">
        <v>46157</v>
      </c>
      <c r="K41" s="46">
        <f>+K40+1</f>
        <v>35</v>
      </c>
      <c r="L41" s="123">
        <v>3.6981362840657921</v>
      </c>
    </row>
    <row r="42" spans="1:12" x14ac:dyDescent="0.25">
      <c r="A42" s="46" t="s">
        <v>1944</v>
      </c>
      <c r="B42" s="46" t="s">
        <v>85</v>
      </c>
      <c r="C42" s="46" t="s">
        <v>127</v>
      </c>
      <c r="D42" s="98" t="s">
        <v>434</v>
      </c>
      <c r="E42" s="46" t="s">
        <v>211</v>
      </c>
      <c r="F42" s="46" t="s">
        <v>213</v>
      </c>
      <c r="G42" s="46" t="s">
        <v>1976</v>
      </c>
      <c r="H42" s="46" t="s">
        <v>19</v>
      </c>
      <c r="I42" s="46" t="s">
        <v>216</v>
      </c>
      <c r="J42" s="53">
        <v>46164</v>
      </c>
      <c r="K42" s="46">
        <f>+K41+1</f>
        <v>36</v>
      </c>
      <c r="L42" s="123">
        <v>3.6807982424736001</v>
      </c>
    </row>
    <row r="43" spans="1:12" x14ac:dyDescent="0.25">
      <c r="A43" s="46" t="s">
        <v>1944</v>
      </c>
      <c r="B43" s="46" t="s">
        <v>85</v>
      </c>
      <c r="C43" s="46" t="s">
        <v>150</v>
      </c>
      <c r="D43" s="98" t="s">
        <v>1012</v>
      </c>
      <c r="E43" s="46" t="s">
        <v>211</v>
      </c>
      <c r="F43" s="46" t="s">
        <v>215</v>
      </c>
      <c r="G43" s="46" t="s">
        <v>1797</v>
      </c>
      <c r="H43" s="46" t="s">
        <v>19</v>
      </c>
      <c r="I43" s="46" t="s">
        <v>1929</v>
      </c>
      <c r="J43" s="107">
        <v>46095</v>
      </c>
      <c r="K43" s="46">
        <f>+K42+1</f>
        <v>37</v>
      </c>
      <c r="L43" s="123">
        <v>3.6789046390777704</v>
      </c>
    </row>
    <row r="44" spans="1:12" x14ac:dyDescent="0.25">
      <c r="A44" s="46" t="s">
        <v>1944</v>
      </c>
      <c r="B44" s="46" t="s">
        <v>85</v>
      </c>
      <c r="C44" s="46" t="s">
        <v>64</v>
      </c>
      <c r="D44" s="98" t="s">
        <v>434</v>
      </c>
      <c r="E44" s="46" t="s">
        <v>211</v>
      </c>
      <c r="F44" s="46" t="s">
        <v>213</v>
      </c>
      <c r="G44" s="46" t="s">
        <v>1991</v>
      </c>
      <c r="H44" s="46" t="s">
        <v>29</v>
      </c>
      <c r="I44" s="46" t="s">
        <v>216</v>
      </c>
      <c r="J44" s="53">
        <v>46164</v>
      </c>
      <c r="K44" s="46">
        <f>+K43+1</f>
        <v>38</v>
      </c>
      <c r="L44" s="123">
        <v>3.6709679852543999</v>
      </c>
    </row>
    <row r="45" spans="1:12" x14ac:dyDescent="0.25">
      <c r="A45" s="46" t="s">
        <v>1944</v>
      </c>
      <c r="B45" s="46" t="s">
        <v>85</v>
      </c>
      <c r="C45" s="46" t="s">
        <v>64</v>
      </c>
      <c r="D45" s="46" t="s">
        <v>434</v>
      </c>
      <c r="E45" s="46" t="s">
        <v>211</v>
      </c>
      <c r="F45" s="46" t="s">
        <v>213</v>
      </c>
      <c r="G45" s="46" t="s">
        <v>1872</v>
      </c>
      <c r="H45" s="46" t="s">
        <v>23</v>
      </c>
      <c r="I45" s="46" t="s">
        <v>78</v>
      </c>
      <c r="J45" s="53">
        <v>46157</v>
      </c>
      <c r="K45" s="46">
        <f>+K44+1</f>
        <v>39</v>
      </c>
      <c r="L45" s="123">
        <v>3.661773354333389</v>
      </c>
    </row>
    <row r="46" spans="1:12" x14ac:dyDescent="0.25">
      <c r="A46" s="46" t="s">
        <v>1944</v>
      </c>
      <c r="B46" s="46" t="s">
        <v>85</v>
      </c>
      <c r="C46" s="46" t="s">
        <v>123</v>
      </c>
      <c r="D46" s="98" t="s">
        <v>1013</v>
      </c>
      <c r="E46" s="46" t="s">
        <v>211</v>
      </c>
      <c r="F46" s="46" t="s">
        <v>213</v>
      </c>
      <c r="G46" s="46" t="s">
        <v>1953</v>
      </c>
      <c r="H46" s="46" t="s">
        <v>20</v>
      </c>
      <c r="I46" s="46" t="s">
        <v>158</v>
      </c>
      <c r="J46" s="107">
        <v>46161</v>
      </c>
      <c r="K46" s="46">
        <f>+K45+1</f>
        <v>40</v>
      </c>
      <c r="L46" s="123">
        <v>3.6310503863440382</v>
      </c>
    </row>
    <row r="47" spans="1:12" x14ac:dyDescent="0.25">
      <c r="A47" s="46" t="s">
        <v>1944</v>
      </c>
      <c r="B47" s="46" t="s">
        <v>85</v>
      </c>
      <c r="C47" s="46" t="s">
        <v>64</v>
      </c>
      <c r="D47" s="98" t="s">
        <v>434</v>
      </c>
      <c r="E47" s="46" t="s">
        <v>211</v>
      </c>
      <c r="F47" s="46" t="s">
        <v>213</v>
      </c>
      <c r="G47" s="53" t="s">
        <v>1990</v>
      </c>
      <c r="H47" s="46" t="s">
        <v>22</v>
      </c>
      <c r="I47" s="46" t="s">
        <v>216</v>
      </c>
      <c r="J47" s="53">
        <v>46164</v>
      </c>
      <c r="K47" s="46">
        <f>+K46+1</f>
        <v>41</v>
      </c>
      <c r="L47" s="123">
        <v>3.6132418995903999</v>
      </c>
    </row>
    <row r="48" spans="1:12" x14ac:dyDescent="0.25">
      <c r="A48" s="46" t="s">
        <v>1944</v>
      </c>
      <c r="B48" s="46" t="s">
        <v>85</v>
      </c>
      <c r="C48" s="46" t="s">
        <v>123</v>
      </c>
      <c r="D48" s="46" t="s">
        <v>1013</v>
      </c>
      <c r="E48" s="46" t="s">
        <v>211</v>
      </c>
      <c r="F48" s="46" t="s">
        <v>213</v>
      </c>
      <c r="G48" s="46" t="s">
        <v>1982</v>
      </c>
      <c r="H48" s="46" t="s">
        <v>28</v>
      </c>
      <c r="I48" s="46" t="s">
        <v>124</v>
      </c>
      <c r="J48" s="53">
        <v>46164</v>
      </c>
      <c r="K48" s="46">
        <f>+K47+1</f>
        <v>42</v>
      </c>
      <c r="L48" s="123">
        <v>3.6103423115008</v>
      </c>
    </row>
    <row r="49" spans="1:12" x14ac:dyDescent="0.25">
      <c r="A49" s="46" t="s">
        <v>1944</v>
      </c>
      <c r="B49" s="46" t="s">
        <v>85</v>
      </c>
      <c r="C49" s="98" t="s">
        <v>125</v>
      </c>
      <c r="D49" s="98" t="s">
        <v>434</v>
      </c>
      <c r="E49" s="98" t="s">
        <v>211</v>
      </c>
      <c r="F49" s="46" t="s">
        <v>213</v>
      </c>
      <c r="G49" s="106" t="s">
        <v>1972</v>
      </c>
      <c r="H49" s="98" t="s">
        <v>26</v>
      </c>
      <c r="I49" s="98" t="s">
        <v>145</v>
      </c>
      <c r="J49" s="106">
        <v>46163</v>
      </c>
      <c r="K49" s="46">
        <f>+K48+1</f>
        <v>43</v>
      </c>
      <c r="L49" s="123">
        <v>3.5947332509347074</v>
      </c>
    </row>
    <row r="50" spans="1:12" x14ac:dyDescent="0.25">
      <c r="A50" s="46" t="s">
        <v>1944</v>
      </c>
      <c r="B50" s="46" t="s">
        <v>85</v>
      </c>
      <c r="C50" s="46" t="s">
        <v>123</v>
      </c>
      <c r="D50" s="46" t="s">
        <v>437</v>
      </c>
      <c r="E50" s="46" t="s">
        <v>211</v>
      </c>
      <c r="F50" s="46" t="s">
        <v>451</v>
      </c>
      <c r="G50" s="53" t="s">
        <v>1948</v>
      </c>
      <c r="H50" s="46" t="s">
        <v>20</v>
      </c>
      <c r="I50" s="46" t="s">
        <v>902</v>
      </c>
      <c r="J50" s="53">
        <v>46158</v>
      </c>
      <c r="K50" s="46">
        <f>+K49+1</f>
        <v>44</v>
      </c>
      <c r="L50" s="123">
        <v>3.5899738767974401</v>
      </c>
    </row>
    <row r="51" spans="1:12" x14ac:dyDescent="0.25">
      <c r="A51" s="46" t="s">
        <v>1944</v>
      </c>
      <c r="B51" s="46" t="s">
        <v>85</v>
      </c>
      <c r="C51" s="46" t="s">
        <v>123</v>
      </c>
      <c r="D51" s="46" t="s">
        <v>1013</v>
      </c>
      <c r="E51" s="46" t="s">
        <v>211</v>
      </c>
      <c r="F51" s="46" t="s">
        <v>213</v>
      </c>
      <c r="G51" s="46" t="s">
        <v>1952</v>
      </c>
      <c r="H51" s="46" t="s">
        <v>28</v>
      </c>
      <c r="I51" s="46" t="s">
        <v>158</v>
      </c>
      <c r="J51" s="53">
        <v>46161</v>
      </c>
      <c r="K51" s="46">
        <f>+K50+1</f>
        <v>45</v>
      </c>
      <c r="L51" s="123">
        <v>3.5887430499145676</v>
      </c>
    </row>
    <row r="52" spans="1:12" x14ac:dyDescent="0.25">
      <c r="A52" s="46" t="s">
        <v>1944</v>
      </c>
      <c r="B52" s="46" t="s">
        <v>85</v>
      </c>
      <c r="C52" s="46" t="s">
        <v>64</v>
      </c>
      <c r="D52" s="46" t="s">
        <v>434</v>
      </c>
      <c r="E52" s="46" t="s">
        <v>211</v>
      </c>
      <c r="F52" s="46" t="s">
        <v>213</v>
      </c>
      <c r="G52" s="46" t="s">
        <v>1957</v>
      </c>
      <c r="H52" s="46" t="s">
        <v>20</v>
      </c>
      <c r="I52" s="46" t="s">
        <v>167</v>
      </c>
      <c r="J52" s="53">
        <v>46162</v>
      </c>
      <c r="K52" s="46">
        <f>+K51+1</f>
        <v>46</v>
      </c>
      <c r="L52" s="123">
        <v>3.5872546637427436</v>
      </c>
    </row>
    <row r="53" spans="1:12" x14ac:dyDescent="0.25">
      <c r="A53" s="46" t="s">
        <v>1944</v>
      </c>
      <c r="B53" s="46" t="s">
        <v>85</v>
      </c>
      <c r="C53" s="46" t="s">
        <v>150</v>
      </c>
      <c r="D53" s="46" t="s">
        <v>434</v>
      </c>
      <c r="E53" s="46" t="s">
        <v>211</v>
      </c>
      <c r="F53" s="46" t="s">
        <v>213</v>
      </c>
      <c r="G53" s="46" t="s">
        <v>1987</v>
      </c>
      <c r="H53" s="46" t="s">
        <v>25</v>
      </c>
      <c r="I53" s="46" t="s">
        <v>216</v>
      </c>
      <c r="J53" s="53">
        <v>46164</v>
      </c>
      <c r="K53" s="46">
        <f>+K52+1</f>
        <v>47</v>
      </c>
      <c r="L53" s="123">
        <v>3.5792515361075878</v>
      </c>
    </row>
    <row r="54" spans="1:12" x14ac:dyDescent="0.25">
      <c r="A54" s="46" t="s">
        <v>1944</v>
      </c>
      <c r="B54" s="46" t="s">
        <v>85</v>
      </c>
      <c r="C54" s="46" t="s">
        <v>906</v>
      </c>
      <c r="D54" s="46" t="s">
        <v>1012</v>
      </c>
      <c r="E54" s="46" t="s">
        <v>211</v>
      </c>
      <c r="F54" s="46" t="s">
        <v>215</v>
      </c>
      <c r="G54" s="46" t="s">
        <v>1949</v>
      </c>
      <c r="H54" s="46" t="s">
        <v>20</v>
      </c>
      <c r="I54" s="46" t="s">
        <v>1259</v>
      </c>
      <c r="J54" s="53">
        <v>46158</v>
      </c>
      <c r="K54" s="46">
        <f>+K53+1</f>
        <v>48</v>
      </c>
      <c r="L54" s="123">
        <v>3.5776998225041003</v>
      </c>
    </row>
    <row r="55" spans="1:12" x14ac:dyDescent="0.25">
      <c r="A55" s="46" t="s">
        <v>1944</v>
      </c>
      <c r="B55" s="46" t="s">
        <v>85</v>
      </c>
      <c r="C55" s="46" t="s">
        <v>114</v>
      </c>
      <c r="D55" s="98" t="s">
        <v>434</v>
      </c>
      <c r="E55" s="46" t="s">
        <v>211</v>
      </c>
      <c r="F55" s="46" t="s">
        <v>213</v>
      </c>
      <c r="G55" s="46" t="s">
        <v>1988</v>
      </c>
      <c r="H55" s="46" t="s">
        <v>28</v>
      </c>
      <c r="I55" s="46" t="s">
        <v>262</v>
      </c>
      <c r="J55" s="106">
        <v>46164</v>
      </c>
      <c r="K55" s="46">
        <f>+K54+1</f>
        <v>49</v>
      </c>
      <c r="L55" s="123">
        <v>3.5769133889144831</v>
      </c>
    </row>
    <row r="56" spans="1:12" x14ac:dyDescent="0.25">
      <c r="A56" s="46" t="s">
        <v>1944</v>
      </c>
      <c r="B56" s="46" t="s">
        <v>85</v>
      </c>
      <c r="C56" s="98" t="s">
        <v>64</v>
      </c>
      <c r="D56" s="46" t="s">
        <v>434</v>
      </c>
      <c r="E56" s="98" t="s">
        <v>233</v>
      </c>
      <c r="F56" s="46" t="s">
        <v>213</v>
      </c>
      <c r="G56" s="98" t="s">
        <v>1965</v>
      </c>
      <c r="H56" s="98" t="s">
        <v>21</v>
      </c>
      <c r="I56" s="98" t="s">
        <v>2001</v>
      </c>
      <c r="J56" s="106">
        <v>46162</v>
      </c>
      <c r="K56" s="46">
        <f>+K55+1</f>
        <v>50</v>
      </c>
      <c r="L56" s="123">
        <v>3.5709958989360242</v>
      </c>
    </row>
    <row r="57" spans="1:12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66"/>
    </row>
    <row r="58" spans="1:12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66"/>
    </row>
    <row r="59" spans="1:12" ht="15.75" thickBot="1" x14ac:dyDescent="0.3"/>
    <row r="60" spans="1:12" ht="15.75" thickBot="1" x14ac:dyDescent="0.3">
      <c r="C60" s="140" t="s">
        <v>878</v>
      </c>
      <c r="D60" s="141"/>
    </row>
    <row r="61" spans="1:12" ht="30" x14ac:dyDescent="0.25">
      <c r="A61" s="128" t="s">
        <v>385</v>
      </c>
      <c r="B61" s="47" t="s">
        <v>384</v>
      </c>
      <c r="C61" s="127" t="s">
        <v>1</v>
      </c>
      <c r="D61" s="57" t="s">
        <v>2</v>
      </c>
    </row>
    <row r="62" spans="1:12" x14ac:dyDescent="0.25">
      <c r="A62" s="54" t="s">
        <v>906</v>
      </c>
      <c r="B62" s="67">
        <v>231.19809659843261</v>
      </c>
      <c r="C62" s="69">
        <f>VLOOKUP(A:A,'Updated SES'!B:J,8,0)</f>
        <v>0.625</v>
      </c>
      <c r="D62" s="65">
        <f>VLOOKUP(A:A,'Updated SES'!B:J,9,0)</f>
        <v>0.375</v>
      </c>
      <c r="E62" s="118"/>
    </row>
    <row r="63" spans="1:12" x14ac:dyDescent="0.25">
      <c r="A63" s="54" t="s">
        <v>64</v>
      </c>
      <c r="B63" s="67">
        <v>140.47262493984829</v>
      </c>
      <c r="C63" s="69">
        <f>VLOOKUP(A:A,'Updated SES'!B:J,8,0)</f>
        <v>0.52</v>
      </c>
      <c r="D63" s="65">
        <f>VLOOKUP(A:A,'Updated SES'!B:J,9,0)</f>
        <v>0.48</v>
      </c>
    </row>
    <row r="64" spans="1:12" x14ac:dyDescent="0.25">
      <c r="A64" s="54" t="s">
        <v>123</v>
      </c>
      <c r="B64" s="67">
        <v>128.89026909072771</v>
      </c>
      <c r="C64" s="69">
        <f>VLOOKUP(A:A,'Updated SES'!B:J,8,0)</f>
        <v>0.49</v>
      </c>
      <c r="D64" s="65">
        <f>VLOOKUP(A:A,'Updated SES'!B:J,9,0)</f>
        <v>0.51</v>
      </c>
    </row>
    <row r="65" spans="1:4" x14ac:dyDescent="0.25">
      <c r="A65" s="54" t="s">
        <v>879</v>
      </c>
      <c r="B65" s="67">
        <v>61.035916949317368</v>
      </c>
      <c r="C65" s="69">
        <f>VLOOKUP(A:A,'Updated SES'!B:J,8,0)</f>
        <v>0.8</v>
      </c>
      <c r="D65" s="65">
        <f>VLOOKUP(A:A,'Updated SES'!B:J,9,0)</f>
        <v>0.2</v>
      </c>
    </row>
    <row r="66" spans="1:4" ht="15.75" thickBot="1" x14ac:dyDescent="0.3">
      <c r="A66" s="55" t="s">
        <v>150</v>
      </c>
      <c r="B66" s="68">
        <v>53.823293667319852</v>
      </c>
      <c r="C66" s="70">
        <f>VLOOKUP(A:A,'Updated SES'!B:J,8,0)</f>
        <v>0.65</v>
      </c>
      <c r="D66" s="71">
        <f>VLOOKUP(A:A,'Updated SES'!B:J,9,0)</f>
        <v>0.35</v>
      </c>
    </row>
  </sheetData>
  <autoFilter ref="A6:L56" xr:uid="{B07D9D77-D343-4F54-B586-23FE787EB415}">
    <sortState xmlns:xlrd2="http://schemas.microsoft.com/office/spreadsheetml/2017/richdata2" ref="A7:L56">
      <sortCondition descending="1" ref="L6:L56"/>
    </sortState>
  </autoFilter>
  <mergeCells count="1">
    <mergeCell ref="C60:D60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C5F7-E04E-4CA0-8007-A188E93E8878}">
  <sheetPr codeName="Sheet6">
    <tabColor rgb="FFFFC000"/>
  </sheetPr>
  <dimension ref="A1:T243"/>
  <sheetViews>
    <sheetView showGridLines="0" zoomScale="80" zoomScaleNormal="80" workbookViewId="0">
      <selection activeCell="A4" sqref="A4"/>
    </sheetView>
  </sheetViews>
  <sheetFormatPr defaultColWidth="8.85546875" defaultRowHeight="15" x14ac:dyDescent="0.25"/>
  <cols>
    <col min="1" max="1" width="11.28515625" bestFit="1" customWidth="1"/>
    <col min="2" max="2" width="15.7109375" bestFit="1" customWidth="1"/>
    <col min="3" max="3" width="15.42578125" bestFit="1" customWidth="1"/>
    <col min="4" max="4" width="20.5703125" customWidth="1"/>
    <col min="5" max="5" width="11.85546875" customWidth="1"/>
    <col min="6" max="6" width="10.42578125" customWidth="1"/>
    <col min="7" max="7" width="49.28515625" bestFit="1" customWidth="1"/>
    <col min="8" max="8" width="27.42578125" style="8" customWidth="1"/>
    <col min="9" max="9" width="17.42578125" customWidth="1"/>
    <col min="10" max="10" width="12.42578125" customWidth="1"/>
    <col min="11" max="11" width="15.28515625" customWidth="1"/>
    <col min="12" max="12" width="12.85546875" bestFit="1" customWidth="1"/>
    <col min="13" max="13" width="12.85546875" customWidth="1"/>
    <col min="14" max="14" width="13.85546875" customWidth="1"/>
    <col min="15" max="15" width="11.42578125" customWidth="1"/>
    <col min="16" max="16" width="11.7109375" style="8" customWidth="1"/>
    <col min="17" max="17" width="10.28515625" style="8" customWidth="1"/>
    <col min="18" max="18" width="9.5703125" style="8" customWidth="1"/>
    <col min="19" max="19" width="6.5703125" style="8" hidden="1" customWidth="1"/>
  </cols>
  <sheetData>
    <row r="1" spans="1:20" x14ac:dyDescent="0.25">
      <c r="G1" s="72" t="s">
        <v>1943</v>
      </c>
    </row>
    <row r="3" spans="1:20" ht="30" customHeight="1" x14ac:dyDescent="0.25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42" t="s">
        <v>222</v>
      </c>
      <c r="N3" s="142"/>
      <c r="O3" s="117"/>
      <c r="P3" s="117"/>
      <c r="Q3" s="117"/>
      <c r="R3" s="117"/>
      <c r="S3" s="117"/>
      <c r="T3" s="117"/>
    </row>
    <row r="4" spans="1:20" s="8" customFormat="1" ht="45" x14ac:dyDescent="0.25">
      <c r="A4" s="47" t="s">
        <v>205</v>
      </c>
      <c r="B4" s="47" t="s">
        <v>257</v>
      </c>
      <c r="C4" s="47" t="s">
        <v>204</v>
      </c>
      <c r="D4" s="47" t="s">
        <v>437</v>
      </c>
      <c r="E4" s="47" t="s">
        <v>210</v>
      </c>
      <c r="F4" s="47" t="s">
        <v>15</v>
      </c>
      <c r="G4" s="47" t="s">
        <v>207</v>
      </c>
      <c r="H4" s="47" t="s">
        <v>13</v>
      </c>
      <c r="I4" s="47" t="s">
        <v>208</v>
      </c>
      <c r="J4" s="47" t="s">
        <v>934</v>
      </c>
      <c r="K4" s="47" t="s">
        <v>209</v>
      </c>
      <c r="L4" s="105" t="s">
        <v>234</v>
      </c>
      <c r="M4" s="105" t="s">
        <v>1</v>
      </c>
      <c r="N4" s="105" t="s">
        <v>2</v>
      </c>
      <c r="O4" s="105" t="s">
        <v>223</v>
      </c>
      <c r="P4" s="105" t="s">
        <v>269</v>
      </c>
      <c r="Q4" s="105" t="s">
        <v>857</v>
      </c>
      <c r="R4" s="105" t="s">
        <v>858</v>
      </c>
      <c r="S4" s="105" t="s">
        <v>882</v>
      </c>
      <c r="T4" s="105" t="s">
        <v>1865</v>
      </c>
    </row>
    <row r="5" spans="1:20" x14ac:dyDescent="0.25">
      <c r="A5" s="98" t="s">
        <v>1781</v>
      </c>
      <c r="B5" s="98" t="s">
        <v>85</v>
      </c>
      <c r="C5" s="46" t="s">
        <v>906</v>
      </c>
      <c r="D5" s="46" t="s">
        <v>437</v>
      </c>
      <c r="E5" s="119" t="s">
        <v>211</v>
      </c>
      <c r="F5" s="46" t="s">
        <v>451</v>
      </c>
      <c r="G5" s="98" t="s">
        <v>1783</v>
      </c>
      <c r="H5" s="46" t="s">
        <v>19</v>
      </c>
      <c r="I5" s="129">
        <v>46109</v>
      </c>
      <c r="J5" s="46"/>
      <c r="K5" s="46" t="s">
        <v>451</v>
      </c>
      <c r="L5" s="123">
        <f>VLOOKUP($C5&amp;$E5,'Updated SES'!A:N,14,0)</f>
        <v>127.11702000000001</v>
      </c>
      <c r="M5" s="124">
        <f>VLOOKUP($K5,'Genre Penetration'!A:B,2,0)*VLOOKUP($C5&amp;$E5,'Updated SES'!A:I,9,0)</f>
        <v>0.50249999999999995</v>
      </c>
      <c r="N5" s="124">
        <f>VLOOKUP(K:K,'Genre Penetration'!A:C,3,0)*VLOOKUP($C5&amp;$E5,'Updated SES'!A:J,10,0)</f>
        <v>8.249999999999999E-2</v>
      </c>
      <c r="O5" s="124">
        <f>VLOOKUP($B5,'Language Penetration'!$B$1:$BE$14,MATCH('Compile data Working'!$H191,'Language Penetration'!$B$1:$BE$1,0),0)</f>
        <v>0.6</v>
      </c>
      <c r="P5" s="124" t="str">
        <f ca="1">IF(ISBLANK(J5),RANDBETWEEN(1,2)&amp;"%",IF(J5=1,RANDBETWEEN(35,40)&amp;"%",IF(J5=2,RANDBETWEEN(30,35)&amp;"%",IF(J5=3,RANDBETWEEN(25,30)&amp;"%",IF(J5=4,RANDBETWEEN(20,25)&amp;"%",IF(J5=5,RANDBETWEEN(15,20)&amp;"%",IF(J5=6,RANDBETWEEN(10,15)&amp;"%",IF(J5=7,RANDBETWEEN(8,10)&amp;"%",IF(J5=8,RANDBETWEEN(6,8)&amp;"%",IF(J5=9,RANDBETWEEN(4,6)&amp;"%",IF(J5=10,RANDBETWEEN(2,4)&amp;"%","")))))))))))</f>
        <v>1%</v>
      </c>
      <c r="Q5" s="123">
        <f ca="1">IFERROR(L5*(M5+N5)*O5*P5,RANDBETWEEN(1,2)%*L5*(M5+N5)*O5)</f>
        <v>0.44618074020000004</v>
      </c>
      <c r="R5" s="125">
        <f>VLOOKUP(D:D,ranking!W:X,2,0)</f>
        <v>0.1</v>
      </c>
      <c r="S5" s="126">
        <f ca="1">R5*Q5</f>
        <v>4.4618074020000009E-2</v>
      </c>
      <c r="T5" s="123">
        <v>125.43264874627351</v>
      </c>
    </row>
    <row r="6" spans="1:20" x14ac:dyDescent="0.25">
      <c r="A6" s="98" t="s">
        <v>1057</v>
      </c>
      <c r="B6" s="98" t="s">
        <v>85</v>
      </c>
      <c r="C6" s="46" t="s">
        <v>906</v>
      </c>
      <c r="D6" s="46" t="s">
        <v>1012</v>
      </c>
      <c r="E6" s="46" t="s">
        <v>211</v>
      </c>
      <c r="F6" s="46" t="s">
        <v>215</v>
      </c>
      <c r="G6" s="46" t="s">
        <v>1877</v>
      </c>
      <c r="H6" s="46" t="s">
        <v>1880</v>
      </c>
      <c r="I6" s="129">
        <v>46157</v>
      </c>
      <c r="J6" s="119">
        <v>1</v>
      </c>
      <c r="K6" s="46" t="s">
        <v>90</v>
      </c>
      <c r="L6" s="123">
        <f>VLOOKUP($C6&amp;$E6,'Updated SES'!A:N,14,0)</f>
        <v>127.11702000000001</v>
      </c>
      <c r="M6" s="124">
        <f>VLOOKUP($K6,'Genre Penetration'!A:B,2,0)*VLOOKUP($C6&amp;$E6,'Updated SES'!A:I,9,0)</f>
        <v>0.48239999999999994</v>
      </c>
      <c r="N6" s="124">
        <f>VLOOKUP(K:K,'Genre Penetration'!A:C,3,0)*VLOOKUP($C6&amp;$E6,'Updated SES'!A:J,10,0)</f>
        <v>9.2399999999999996E-2</v>
      </c>
      <c r="O6" s="124" t="e">
        <f>VLOOKUP($B6,'Language Penetration'!$B$1:$BE$14,MATCH('Compile data Working'!#REF!,'Language Penetration'!$B$1:$BE$1,0),0)</f>
        <v>#REF!</v>
      </c>
      <c r="P6" s="124" t="str">
        <f ca="1">IF(ISBLANK(J6),RANDBETWEEN(1,2)&amp;"%",IF(J6=1,RANDBETWEEN(35,40)&amp;"%",IF(J6=2,RANDBETWEEN(30,35)&amp;"%",IF(J6=3,RANDBETWEEN(25,30)&amp;"%",IF(J6=4,RANDBETWEEN(20,25)&amp;"%",IF(J6=5,RANDBETWEEN(15,20)&amp;"%",IF(J6=6,RANDBETWEEN(10,15)&amp;"%",IF(J6=7,RANDBETWEEN(8,10)&amp;"%",IF(J6=8,RANDBETWEEN(6,8)&amp;"%",IF(J6=9,RANDBETWEEN(4,6)&amp;"%",IF(J6=10,RANDBETWEEN(2,4)&amp;"%","")))))))))))</f>
        <v>36%</v>
      </c>
      <c r="Q6" s="123" t="e">
        <f ca="1">IFERROR(L6*(M6+N6)*O6*P6,RANDBETWEEN(1,2)%*L6*(M6+N6)*O6)</f>
        <v>#REF!</v>
      </c>
      <c r="R6" s="125">
        <f>VLOOKUP(D:D,ranking!W:X,2,0)</f>
        <v>0.6</v>
      </c>
      <c r="S6" s="126" t="e">
        <f ca="1">R6*Q6</f>
        <v>#REF!</v>
      </c>
      <c r="T6" s="123">
        <v>15.847808531460002</v>
      </c>
    </row>
    <row r="7" spans="1:20" x14ac:dyDescent="0.25">
      <c r="A7" s="98" t="s">
        <v>1057</v>
      </c>
      <c r="B7" s="98" t="s">
        <v>85</v>
      </c>
      <c r="C7" s="98" t="s">
        <v>64</v>
      </c>
      <c r="D7" s="46" t="s">
        <v>1012</v>
      </c>
      <c r="E7" s="98" t="s">
        <v>211</v>
      </c>
      <c r="F7" s="46" t="s">
        <v>215</v>
      </c>
      <c r="G7" s="120" t="s">
        <v>1869</v>
      </c>
      <c r="H7" s="119" t="s">
        <v>1432</v>
      </c>
      <c r="I7" s="136">
        <v>46155</v>
      </c>
      <c r="J7" s="119">
        <v>1</v>
      </c>
      <c r="K7" s="98" t="s">
        <v>172</v>
      </c>
      <c r="L7" s="123">
        <f>VLOOKUP($C7&amp;$E7,'Updated SES'!A:N,14,0)</f>
        <v>36.498239999999996</v>
      </c>
      <c r="M7" s="124">
        <f>VLOOKUP($K7,'Genre Penetration'!A:B,2,0)*VLOOKUP($C7&amp;$E7,'Updated SES'!A:I,9,0)</f>
        <v>0.20800000000000002</v>
      </c>
      <c r="N7" s="124">
        <f>VLOOKUP(K:K,'Genre Penetration'!A:C,3,0)*VLOOKUP($C7&amp;$E7,'Updated SES'!A:J,10,0)</f>
        <v>0.28799999999999998</v>
      </c>
      <c r="O7" s="124" t="e">
        <f>VLOOKUP($B7,'Language Penetration'!$B$1:$BE$14,MATCH('Compile data Working'!$H128,'Language Penetration'!$B$1:$BE$1,0),0)</f>
        <v>#N/A</v>
      </c>
      <c r="P7" s="124" t="str">
        <f ca="1">IF(ISBLANK(J7),RANDBETWEEN(1,2)&amp;"%",IF(J7=1,RANDBETWEEN(35,40)&amp;"%",IF(J7=2,RANDBETWEEN(30,35)&amp;"%",IF(J7=3,RANDBETWEEN(25,30)&amp;"%",IF(J7=4,RANDBETWEEN(20,25)&amp;"%",IF(J7=5,RANDBETWEEN(15,20)&amp;"%",IF(J7=6,RANDBETWEEN(10,15)&amp;"%",IF(J7=7,RANDBETWEEN(8,10)&amp;"%",IF(J7=8,RANDBETWEEN(6,8)&amp;"%",IF(J7=9,RANDBETWEEN(4,6)&amp;"%",IF(J7=10,RANDBETWEEN(2,4)&amp;"%","")))))))))))</f>
        <v>40%</v>
      </c>
      <c r="Q7" s="123" t="e">
        <f ca="1">IFERROR(L7*(M7+N7)*O7*P7,RANDBETWEEN(1,2)%*L7*(M7+N7)*O7)</f>
        <v>#N/A</v>
      </c>
      <c r="R7" s="125">
        <f>VLOOKUP(D:D,ranking!W:X,2,0)</f>
        <v>0.6</v>
      </c>
      <c r="S7" s="126" t="e">
        <f ca="1">R7*Q7</f>
        <v>#N/A</v>
      </c>
      <c r="T7" s="123">
        <v>13.858320578312307</v>
      </c>
    </row>
    <row r="8" spans="1:20" x14ac:dyDescent="0.25">
      <c r="A8" s="98" t="s">
        <v>1057</v>
      </c>
      <c r="B8" s="98" t="s">
        <v>85</v>
      </c>
      <c r="C8" s="98" t="s">
        <v>64</v>
      </c>
      <c r="D8" s="46" t="s">
        <v>1012</v>
      </c>
      <c r="E8" s="98" t="s">
        <v>211</v>
      </c>
      <c r="F8" s="46" t="s">
        <v>215</v>
      </c>
      <c r="G8" s="120" t="s">
        <v>1849</v>
      </c>
      <c r="H8" s="119" t="s">
        <v>1432</v>
      </c>
      <c r="I8" s="136">
        <v>46120</v>
      </c>
      <c r="J8" s="119">
        <v>2</v>
      </c>
      <c r="K8" s="98" t="s">
        <v>78</v>
      </c>
      <c r="L8" s="123">
        <f>VLOOKUP($C8&amp;$E8,'Updated SES'!A:N,14,0)</f>
        <v>36.498239999999996</v>
      </c>
      <c r="M8" s="124">
        <f>VLOOKUP($K8,'Genre Penetration'!A:B,2,0)*VLOOKUP($C8&amp;$E8,'Updated SES'!A:I,9,0)</f>
        <v>0.24959999999999999</v>
      </c>
      <c r="N8" s="124">
        <f>VLOOKUP(K:K,'Genre Penetration'!A:C,3,0)*VLOOKUP($C8&amp;$E8,'Updated SES'!A:J,10,0)</f>
        <v>0.24959999999999999</v>
      </c>
      <c r="O8" s="124">
        <f>VLOOKUP($B8,'Language Penetration'!$B$1:$BE$14,MATCH('Compile data Working'!$H111,'Language Penetration'!$B$1:$BE$1,0),0)</f>
        <v>0.2</v>
      </c>
      <c r="P8" s="124" t="str">
        <f ca="1">IF(ISBLANK(J8),RANDBETWEEN(1,2)&amp;"%",IF(J8=1,RANDBETWEEN(35,40)&amp;"%",IF(J8=2,RANDBETWEEN(30,35)&amp;"%",IF(J8=3,RANDBETWEEN(25,30)&amp;"%",IF(J8=4,RANDBETWEEN(20,25)&amp;"%",IF(J8=5,RANDBETWEEN(15,20)&amp;"%",IF(J8=6,RANDBETWEEN(10,15)&amp;"%",IF(J8=7,RANDBETWEEN(8,10)&amp;"%",IF(J8=8,RANDBETWEEN(6,8)&amp;"%",IF(J8=9,RANDBETWEEN(4,6)&amp;"%",IF(J8=10,RANDBETWEEN(2,4)&amp;"%","")))))))))))</f>
        <v>32%</v>
      </c>
      <c r="Q8" s="123">
        <f ca="1">IFERROR(L8*(M8+N8)*O8*P8,RANDBETWEEN(1,2)%*L8*(M8+N8)*O8)</f>
        <v>1.1660749701119999</v>
      </c>
      <c r="R8" s="125">
        <f>VLOOKUP(D:D,ranking!W:X,2,0)</f>
        <v>0.6</v>
      </c>
      <c r="S8" s="126">
        <f ca="1">R8*Q8</f>
        <v>0.69964498206719994</v>
      </c>
      <c r="T8" s="123">
        <v>13.084929314016399</v>
      </c>
    </row>
    <row r="9" spans="1:20" x14ac:dyDescent="0.25">
      <c r="A9" s="98" t="s">
        <v>1057</v>
      </c>
      <c r="B9" s="98" t="s">
        <v>85</v>
      </c>
      <c r="C9" s="46" t="s">
        <v>1229</v>
      </c>
      <c r="D9" s="46" t="s">
        <v>1866</v>
      </c>
      <c r="E9" s="46" t="s">
        <v>219</v>
      </c>
      <c r="F9" s="46" t="s">
        <v>215</v>
      </c>
      <c r="G9" s="46" t="s">
        <v>2003</v>
      </c>
      <c r="H9" s="46" t="s">
        <v>19</v>
      </c>
      <c r="I9" s="129">
        <v>46157</v>
      </c>
      <c r="J9" s="46">
        <v>1</v>
      </c>
      <c r="K9" s="46" t="s">
        <v>176</v>
      </c>
      <c r="L9" s="123">
        <f>VLOOKUP($C9&amp;$E9,'Updated SES'!A:N,14,0)</f>
        <v>78.939870000000013</v>
      </c>
      <c r="M9" s="124">
        <f>VLOOKUP($K9,'Genre Penetration'!A:B,2,0)*VLOOKUP($C9&amp;$E9,'Updated SES'!A:I,9,0)</f>
        <v>0.496</v>
      </c>
      <c r="N9" s="124">
        <f>VLOOKUP(K:K,'Genre Penetration'!A:C,3,0)*VLOOKUP($C9&amp;$E9,'Updated SES'!A:J,10,0)</f>
        <v>7.6000000000000012E-2</v>
      </c>
      <c r="O9" s="124">
        <f>VLOOKUP($B9,'Language Penetration'!$B$1:$BE$14,MATCH('Compile data Working'!$H161,'Language Penetration'!$B$1:$BE$1,0),0)</f>
        <v>0.6</v>
      </c>
      <c r="P9" s="124" t="str">
        <f ca="1">IF(ISBLANK(J9),RANDBETWEEN(1,2)&amp;"%",IF(J9=1,RANDBETWEEN(35,40)&amp;"%",IF(J9=2,RANDBETWEEN(30,35)&amp;"%",IF(J9=3,RANDBETWEEN(25,30)&amp;"%",IF(J9=4,RANDBETWEEN(20,25)&amp;"%",IF(J9=5,RANDBETWEEN(15,20)&amp;"%",IF(J9=6,RANDBETWEEN(10,15)&amp;"%",IF(J9=7,RANDBETWEEN(8,10)&amp;"%",IF(J9=8,RANDBETWEEN(6,8)&amp;"%",IF(J9=9,RANDBETWEEN(4,6)&amp;"%",IF(J9=10,RANDBETWEEN(2,4)&amp;"%","")))))))))))</f>
        <v>40%</v>
      </c>
      <c r="Q9" s="123">
        <f ca="1">IFERROR(L9*(M9+N9)*O9*P9,RANDBETWEEN(1,2)%*L9*(M9+N9)*O9)</f>
        <v>10.836865353600004</v>
      </c>
      <c r="R9" s="125">
        <f>VLOOKUP(D:D,ranking!W:X,2,0)</f>
        <v>0.6</v>
      </c>
      <c r="S9" s="126">
        <f ca="1">R9*Q9</f>
        <v>6.502119212160002</v>
      </c>
      <c r="T9" s="123">
        <v>12.922505897952</v>
      </c>
    </row>
    <row r="10" spans="1:20" x14ac:dyDescent="0.25">
      <c r="A10" s="98" t="s">
        <v>1057</v>
      </c>
      <c r="B10" s="98" t="s">
        <v>85</v>
      </c>
      <c r="C10" s="46" t="s">
        <v>1229</v>
      </c>
      <c r="D10" s="46" t="s">
        <v>1866</v>
      </c>
      <c r="E10" s="46" t="s">
        <v>219</v>
      </c>
      <c r="F10" s="46" t="s">
        <v>215</v>
      </c>
      <c r="G10" s="46" t="s">
        <v>1881</v>
      </c>
      <c r="H10" s="46" t="s">
        <v>19</v>
      </c>
      <c r="I10" s="129">
        <v>46129</v>
      </c>
      <c r="J10" s="46">
        <v>2</v>
      </c>
      <c r="K10" s="46" t="s">
        <v>448</v>
      </c>
      <c r="L10" s="123">
        <f>VLOOKUP($C10&amp;$E10,'Updated SES'!A:N,14,0)</f>
        <v>78.939870000000013</v>
      </c>
      <c r="M10" s="124">
        <f>VLOOKUP($K10,'Genre Penetration'!A:B,2,0)*VLOOKUP($C10&amp;$E10,'Updated SES'!A:I,9,0)</f>
        <v>0.55999999999999994</v>
      </c>
      <c r="N10" s="124">
        <f>VLOOKUP(K:K,'Genre Penetration'!A:C,3,0)*VLOOKUP($C10&amp;$E10,'Updated SES'!A:J,10,0)</f>
        <v>0.06</v>
      </c>
      <c r="O10" s="124" t="e">
        <f>VLOOKUP($B10,'Language Penetration'!$B$1:$BE$14,MATCH('Compile data Working'!$H49,'Language Penetration'!$B$1:$BE$1,0),0)</f>
        <v>#N/A</v>
      </c>
      <c r="P10" s="124" t="str">
        <f ca="1">IF(ISBLANK(J10),RANDBETWEEN(1,2)&amp;"%",IF(J10=1,RANDBETWEEN(35,40)&amp;"%",IF(J10=2,RANDBETWEEN(30,35)&amp;"%",IF(J10=3,RANDBETWEEN(25,30)&amp;"%",IF(J10=4,RANDBETWEEN(20,25)&amp;"%",IF(J10=5,RANDBETWEEN(15,20)&amp;"%",IF(J10=6,RANDBETWEEN(10,15)&amp;"%",IF(J10=7,RANDBETWEEN(8,10)&amp;"%",IF(J10=8,RANDBETWEEN(6,8)&amp;"%",IF(J10=9,RANDBETWEEN(4,6)&amp;"%",IF(J10=10,RANDBETWEEN(2,4)&amp;"%","")))))))))))</f>
        <v>35%</v>
      </c>
      <c r="Q10" s="123" t="e">
        <f ca="1">IFERROR(L10*(M10+N10)*O10*P10,RANDBETWEEN(1,2)%*L10*(M10+N10)*O10)</f>
        <v>#N/A</v>
      </c>
      <c r="R10" s="125">
        <f>VLOOKUP(D:D,ranking!W:X,2,0)</f>
        <v>0.6</v>
      </c>
      <c r="S10" s="126" t="e">
        <f ca="1">R10*Q10</f>
        <v>#N/A</v>
      </c>
      <c r="T10" s="123">
        <v>10.539931055905567</v>
      </c>
    </row>
    <row r="11" spans="1:20" x14ac:dyDescent="0.25">
      <c r="A11" s="98" t="s">
        <v>1057</v>
      </c>
      <c r="B11" s="98" t="s">
        <v>85</v>
      </c>
      <c r="C11" s="98" t="s">
        <v>64</v>
      </c>
      <c r="D11" s="46" t="s">
        <v>1012</v>
      </c>
      <c r="E11" s="98" t="s">
        <v>211</v>
      </c>
      <c r="F11" s="46" t="s">
        <v>215</v>
      </c>
      <c r="G11" s="119" t="s">
        <v>1895</v>
      </c>
      <c r="H11" s="119" t="s">
        <v>1922</v>
      </c>
      <c r="I11" s="138">
        <v>46131</v>
      </c>
      <c r="J11" s="119">
        <v>6</v>
      </c>
      <c r="K11" s="119" t="s">
        <v>1923</v>
      </c>
      <c r="L11" s="123">
        <f>VLOOKUP($C11&amp;$E11,'Updated SES'!A:N,14,0)</f>
        <v>36.498239999999996</v>
      </c>
      <c r="M11" s="124" t="e">
        <f>VLOOKUP($K11,'Genre Penetration'!A:B,2,0)*VLOOKUP($C11&amp;$E11,'Updated SES'!A:I,9,0)</f>
        <v>#N/A</v>
      </c>
      <c r="N11" s="124" t="e">
        <f>VLOOKUP(K:K,'Genre Penetration'!A:C,3,0)*VLOOKUP($C11&amp;$E11,'Updated SES'!A:J,10,0)</f>
        <v>#N/A</v>
      </c>
      <c r="O11" s="124">
        <f>VLOOKUP($B11,'Language Penetration'!$B$1:$BE$14,MATCH('Compile data Working'!$H40,'Language Penetration'!$B$1:$BE$1,0),0)</f>
        <v>0.6</v>
      </c>
      <c r="P11" s="124" t="str">
        <f ca="1">IF(ISBLANK(J11),RANDBETWEEN(1,2)&amp;"%",IF(J11=1,RANDBETWEEN(35,40)&amp;"%",IF(J11=2,RANDBETWEEN(30,35)&amp;"%",IF(J11=3,RANDBETWEEN(25,30)&amp;"%",IF(J11=4,RANDBETWEEN(20,25)&amp;"%",IF(J11=5,RANDBETWEEN(15,20)&amp;"%",IF(J11=6,RANDBETWEEN(10,15)&amp;"%",IF(J11=7,RANDBETWEEN(8,10)&amp;"%",IF(J11=8,RANDBETWEEN(6,8)&amp;"%",IF(J11=9,RANDBETWEEN(4,6)&amp;"%",IF(J11=10,RANDBETWEEN(2,4)&amp;"%","")))))))))))</f>
        <v>15%</v>
      </c>
      <c r="Q11" s="123" t="e">
        <f ca="1">IFERROR(L11*(M11+N11)*O11*P11,RANDBETWEEN(1,2)%*L11*(M11+N11)*O11)</f>
        <v>#N/A</v>
      </c>
      <c r="R11" s="125">
        <f>VLOOKUP(D:D,ranking!W:X,2,0)</f>
        <v>0.6</v>
      </c>
      <c r="S11" s="126" t="e">
        <f ca="1">R11*Q11</f>
        <v>#N/A</v>
      </c>
      <c r="T11" s="123">
        <v>8.2264014336412128</v>
      </c>
    </row>
    <row r="12" spans="1:20" x14ac:dyDescent="0.25">
      <c r="A12" s="98" t="s">
        <v>1781</v>
      </c>
      <c r="B12" s="98" t="s">
        <v>85</v>
      </c>
      <c r="C12" s="46" t="s">
        <v>879</v>
      </c>
      <c r="D12" s="46" t="s">
        <v>1866</v>
      </c>
      <c r="E12" s="98" t="s">
        <v>219</v>
      </c>
      <c r="F12" s="46" t="s">
        <v>215</v>
      </c>
      <c r="G12" s="46" t="s">
        <v>1930</v>
      </c>
      <c r="H12" s="46" t="s">
        <v>19</v>
      </c>
      <c r="I12" s="129">
        <v>46140</v>
      </c>
      <c r="J12" s="119"/>
      <c r="K12" s="46" t="s">
        <v>216</v>
      </c>
      <c r="L12" s="123">
        <f>VLOOKUP($C12&amp;$E12,'Updated SES'!A:N,14,0)</f>
        <v>78.939870000000013</v>
      </c>
      <c r="M12" s="124">
        <f>VLOOKUP($K12,'Genre Penetration'!A:B,2,0)*VLOOKUP($C12&amp;$E12,'Updated SES'!A:I,9,0)</f>
        <v>0.4</v>
      </c>
      <c r="N12" s="124">
        <f>VLOOKUP(K:K,'Genre Penetration'!A:C,3,0)*VLOOKUP($C12&amp;$E12,'Updated SES'!A:J,10,0)</f>
        <v>0.1</v>
      </c>
      <c r="O12" s="124">
        <v>0.25</v>
      </c>
      <c r="P12" s="124" t="str">
        <f ca="1">IF(ISBLANK(J12),RANDBETWEEN(1,2)&amp;"%",IF(J12=1,RANDBETWEEN(35,40)&amp;"%",IF(J12=2,RANDBETWEEN(30,35)&amp;"%",IF(J12=3,RANDBETWEEN(25,30)&amp;"%",IF(J12=4,RANDBETWEEN(20,25)&amp;"%",IF(J12=5,RANDBETWEEN(15,20)&amp;"%",IF(J12=6,RANDBETWEEN(10,15)&amp;"%",IF(J12=7,RANDBETWEEN(8,10)&amp;"%",IF(J12=8,RANDBETWEEN(6,8)&amp;"%",IF(J12=9,RANDBETWEEN(4,6)&amp;"%",IF(J12=10,RANDBETWEEN(2,4)&amp;"%","")))))))))))</f>
        <v>2%</v>
      </c>
      <c r="Q12" s="123">
        <f ca="1">IFERROR(L12*(M12+N12)*O12*P12,RANDBETWEEN(1,2)%*L12*(M12+N12)*O12)</f>
        <v>0.19734967500000003</v>
      </c>
      <c r="R12" s="125">
        <f>VLOOKUP(D:D,ranking!W:X,2,0)</f>
        <v>0.6</v>
      </c>
      <c r="S12" s="126">
        <f ca="1">R12*Q12</f>
        <v>0.11840980500000001</v>
      </c>
      <c r="T12" s="123">
        <v>7.9758281479999997</v>
      </c>
    </row>
    <row r="13" spans="1:20" x14ac:dyDescent="0.25">
      <c r="A13" s="98" t="s">
        <v>2002</v>
      </c>
      <c r="B13" s="98" t="s">
        <v>85</v>
      </c>
      <c r="C13" s="46" t="s">
        <v>906</v>
      </c>
      <c r="D13" s="98" t="s">
        <v>434</v>
      </c>
      <c r="E13" s="46" t="s">
        <v>211</v>
      </c>
      <c r="F13" s="46" t="s">
        <v>213</v>
      </c>
      <c r="G13" s="46" t="s">
        <v>1979</v>
      </c>
      <c r="H13" s="46" t="s">
        <v>40</v>
      </c>
      <c r="I13" s="129">
        <v>46164</v>
      </c>
      <c r="J13" s="98">
        <v>3</v>
      </c>
      <c r="K13" s="46" t="s">
        <v>87</v>
      </c>
      <c r="L13" s="123">
        <f>VLOOKUP($C13&amp;$E13,'Updated SES'!A:N,14,0)</f>
        <v>127.11702000000001</v>
      </c>
      <c r="M13" s="124">
        <f>VLOOKUP($K13,'Genre Penetration'!A:B,2,0)*VLOOKUP($C13&amp;$E13,'Updated SES'!A:I,9,0)</f>
        <v>0.40869999999999995</v>
      </c>
      <c r="N13" s="124">
        <f>VLOOKUP(K:K,'Genre Penetration'!A:C,3,0)*VLOOKUP($C13&amp;$E13,'Updated SES'!A:J,10,0)</f>
        <v>0.12869999999999998</v>
      </c>
      <c r="O13" s="124">
        <f>VLOOKUP($B13,'Language Penetration'!$B$1:$BE$14,MATCH('Compile data Working'!$H28,'Language Penetration'!$B$1:$BE$1,0),0)</f>
        <v>0.6</v>
      </c>
      <c r="P13" s="124" t="str">
        <f ca="1">IF(ISBLANK(J13),RANDBETWEEN(1,2)&amp;"%",IF(J13=1,RANDBETWEEN(35,40)&amp;"%",IF(J13=2,RANDBETWEEN(30,35)&amp;"%",IF(J13=3,RANDBETWEEN(25,30)&amp;"%",IF(J13=4,RANDBETWEEN(20,25)&amp;"%",IF(J13=5,RANDBETWEEN(15,20)&amp;"%",IF(J13=6,RANDBETWEEN(10,15)&amp;"%",IF(J13=7,RANDBETWEEN(8,10)&amp;"%",IF(J13=8,RANDBETWEEN(6,8)&amp;"%",IF(J13=9,RANDBETWEEN(4,6)&amp;"%",IF(J13=10,RANDBETWEEN(2,4)&amp;"%","")))))))))))</f>
        <v>30%</v>
      </c>
      <c r="Q13" s="123">
        <f ca="1">IFERROR(L13*(M13+N13)*O13*P13,RANDBETWEEN(1,2)%*L13*(M13+N13)*O13)</f>
        <v>12.296283578639997</v>
      </c>
      <c r="R13" s="125">
        <f>VLOOKUP(D:D,ranking!W:X,2,0)</f>
        <v>0.7</v>
      </c>
      <c r="S13" s="126">
        <f ca="1">R13*Q13</f>
        <v>8.607398505047998</v>
      </c>
      <c r="T13" s="123">
        <v>7.0130970410240003</v>
      </c>
    </row>
    <row r="14" spans="1:20" x14ac:dyDescent="0.25">
      <c r="A14" s="98" t="s">
        <v>1057</v>
      </c>
      <c r="B14" s="98" t="s">
        <v>85</v>
      </c>
      <c r="C14" s="46" t="s">
        <v>123</v>
      </c>
      <c r="D14" s="46" t="s">
        <v>1013</v>
      </c>
      <c r="E14" s="46" t="s">
        <v>211</v>
      </c>
      <c r="F14" s="46" t="s">
        <v>213</v>
      </c>
      <c r="G14" s="46" t="s">
        <v>1878</v>
      </c>
      <c r="H14" s="46" t="s">
        <v>28</v>
      </c>
      <c r="I14" s="129">
        <v>46157</v>
      </c>
      <c r="J14" s="46">
        <v>1</v>
      </c>
      <c r="K14" s="46" t="s">
        <v>28</v>
      </c>
      <c r="L14" s="123">
        <f>VLOOKUP($C14&amp;$E14,'Updated SES'!A:N,14,0)</f>
        <v>55.459200000000003</v>
      </c>
      <c r="M14" s="124" t="e">
        <f>VLOOKUP($K14,'Genre Penetration'!A:B,2,0)*VLOOKUP($C14&amp;$E14,'Updated SES'!A:I,9,0)</f>
        <v>#N/A</v>
      </c>
      <c r="N14" s="124" t="e">
        <f>VLOOKUP(K:K,'Genre Penetration'!A:C,3,0)*VLOOKUP($C14&amp;$E14,'Updated SES'!A:J,10,0)</f>
        <v>#N/A</v>
      </c>
      <c r="O14" s="124" t="e">
        <f>VLOOKUP($B14,'Language Penetration'!$B$1:$BE$14,MATCH('Compile data Working'!$H23,'Language Penetration'!$B$1:$BE$1,0),0)</f>
        <v>#N/A</v>
      </c>
      <c r="P14" s="124" t="str">
        <f ca="1">IF(ISBLANK(J14),RANDBETWEEN(1,2)&amp;"%",IF(J14=1,RANDBETWEEN(35,40)&amp;"%",IF(J14=2,RANDBETWEEN(30,35)&amp;"%",IF(J14=3,RANDBETWEEN(25,30)&amp;"%",IF(J14=4,RANDBETWEEN(20,25)&amp;"%",IF(J14=5,RANDBETWEEN(15,20)&amp;"%",IF(J14=6,RANDBETWEEN(10,15)&amp;"%",IF(J14=7,RANDBETWEEN(8,10)&amp;"%",IF(J14=8,RANDBETWEEN(6,8)&amp;"%",IF(J14=9,RANDBETWEEN(4,6)&amp;"%",IF(J14=10,RANDBETWEEN(2,4)&amp;"%","")))))))))))</f>
        <v>38%</v>
      </c>
      <c r="Q14" s="123" t="e">
        <f ca="1">IFERROR(L14*(M14+N14)*O14*P14,RANDBETWEEN(1,2)%*L14*(M14+N14)*O14)</f>
        <v>#N/A</v>
      </c>
      <c r="R14" s="125">
        <f>VLOOKUP(D:D,ranking!W:X,2,0)</f>
        <v>0.8</v>
      </c>
      <c r="S14" s="126" t="e">
        <f ca="1">R14*Q14</f>
        <v>#N/A</v>
      </c>
      <c r="T14" s="123">
        <v>6.7544142073230704</v>
      </c>
    </row>
    <row r="15" spans="1:20" x14ac:dyDescent="0.25">
      <c r="A15" s="98" t="s">
        <v>1781</v>
      </c>
      <c r="B15" s="98" t="s">
        <v>85</v>
      </c>
      <c r="C15" s="46" t="s">
        <v>906</v>
      </c>
      <c r="D15" s="98" t="s">
        <v>456</v>
      </c>
      <c r="E15" s="98" t="s">
        <v>211</v>
      </c>
      <c r="F15" s="46" t="s">
        <v>2011</v>
      </c>
      <c r="G15" s="98" t="s">
        <v>1859</v>
      </c>
      <c r="H15" s="46" t="s">
        <v>19</v>
      </c>
      <c r="I15" s="129">
        <v>45983</v>
      </c>
      <c r="J15" s="98"/>
      <c r="K15" s="46" t="s">
        <v>2070</v>
      </c>
      <c r="L15" s="123">
        <f>VLOOKUP($C15&amp;$E15,'Updated SES'!A:N,14,0)</f>
        <v>127.11702000000001</v>
      </c>
      <c r="M15" s="124" t="e">
        <f>VLOOKUP($K15,'Genre Penetration'!A:B,2,0)*VLOOKUP($C15&amp;$E15,'Updated SES'!A:I,9,0)</f>
        <v>#N/A</v>
      </c>
      <c r="N15" s="124" t="e">
        <f>VLOOKUP(K:K,'Genre Penetration'!A:C,3,0)*VLOOKUP($C15&amp;$E15,'Updated SES'!A:J,10,0)</f>
        <v>#N/A</v>
      </c>
      <c r="O15" s="124" t="e">
        <f>VLOOKUP($B15,'Language Penetration'!$B$1:$BE$14,MATCH('Compile data Working'!$H96,'Language Penetration'!$B$1:$BE$1,0),0)</f>
        <v>#N/A</v>
      </c>
      <c r="P15" s="124" t="str">
        <f ca="1">IF(ISBLANK(J15),RANDBETWEEN(1,2)&amp;"%",IF(J15=1,RANDBETWEEN(35,40)&amp;"%",IF(J15=2,RANDBETWEEN(30,35)&amp;"%",IF(J15=3,RANDBETWEEN(25,30)&amp;"%",IF(J15=4,RANDBETWEEN(20,25)&amp;"%",IF(J15=5,RANDBETWEEN(15,20)&amp;"%",IF(J15=6,RANDBETWEEN(10,15)&amp;"%",IF(J15=7,RANDBETWEEN(8,10)&amp;"%",IF(J15=8,RANDBETWEEN(6,8)&amp;"%",IF(J15=9,RANDBETWEEN(4,6)&amp;"%",IF(J15=10,RANDBETWEEN(2,4)&amp;"%","")))))))))))</f>
        <v>2%</v>
      </c>
      <c r="Q15" s="123" t="e">
        <f ca="1">IFERROR(L15*(M15+N15)*O15*P15,RANDBETWEEN(1,2)%*L15*(M15+N15)*O15)</f>
        <v>#N/A</v>
      </c>
      <c r="R15" s="125">
        <f>VLOOKUP(D:D,ranking!W:X,2,0)</f>
        <v>0.3</v>
      </c>
      <c r="S15" s="126" t="e">
        <f ca="1">R15*Q15</f>
        <v>#N/A</v>
      </c>
      <c r="T15" s="123">
        <v>6.249546715972623</v>
      </c>
    </row>
    <row r="16" spans="1:20" x14ac:dyDescent="0.25">
      <c r="A16" s="98" t="s">
        <v>1057</v>
      </c>
      <c r="B16" s="98" t="s">
        <v>85</v>
      </c>
      <c r="C16" s="46" t="s">
        <v>123</v>
      </c>
      <c r="D16" s="46" t="s">
        <v>1012</v>
      </c>
      <c r="E16" s="46" t="s">
        <v>211</v>
      </c>
      <c r="F16" s="46" t="s">
        <v>215</v>
      </c>
      <c r="G16" s="46" t="s">
        <v>1906</v>
      </c>
      <c r="H16" s="46" t="s">
        <v>1926</v>
      </c>
      <c r="I16" s="129">
        <v>46136</v>
      </c>
      <c r="J16" s="46">
        <v>5</v>
      </c>
      <c r="K16" s="46" t="s">
        <v>286</v>
      </c>
      <c r="L16" s="123">
        <f>VLOOKUP($C16&amp;$E16,'Updated SES'!A:N,14,0)</f>
        <v>55.459200000000003</v>
      </c>
      <c r="M16" s="124">
        <f>VLOOKUP($K16,'Genre Penetration'!A:B,2,0)*VLOOKUP($C16&amp;$E16,'Updated SES'!A:I,9,0)</f>
        <v>0.26704999999999995</v>
      </c>
      <c r="N16" s="124">
        <f>VLOOKUP(K:K,'Genre Penetration'!A:C,3,0)*VLOOKUP($C16&amp;$E16,'Updated SES'!A:J,10,0)</f>
        <v>0.23204999999999998</v>
      </c>
      <c r="O16" s="124" t="e">
        <f>VLOOKUP($B16,'Language Penetration'!$B$1:$BE$14,MATCH('Compile data Working'!$H71,'Language Penetration'!$B$1:$BE$1,0),0)</f>
        <v>#N/A</v>
      </c>
      <c r="P16" s="124" t="str">
        <f ca="1">IF(ISBLANK(J16),RANDBETWEEN(1,2)&amp;"%",IF(J16=1,RANDBETWEEN(35,40)&amp;"%",IF(J16=2,RANDBETWEEN(30,35)&amp;"%",IF(J16=3,RANDBETWEEN(25,30)&amp;"%",IF(J16=4,RANDBETWEEN(20,25)&amp;"%",IF(J16=5,RANDBETWEEN(15,20)&amp;"%",IF(J16=6,RANDBETWEEN(10,15)&amp;"%",IF(J16=7,RANDBETWEEN(8,10)&amp;"%",IF(J16=8,RANDBETWEEN(6,8)&amp;"%",IF(J16=9,RANDBETWEEN(4,6)&amp;"%",IF(J16=10,RANDBETWEEN(2,4)&amp;"%","")))))))))))</f>
        <v>17%</v>
      </c>
      <c r="Q16" s="123" t="e">
        <f ca="1">IFERROR(L16*(M16+N16)*O16*P16,RANDBETWEEN(1,2)%*L16*(M16+N16)*O16)</f>
        <v>#N/A</v>
      </c>
      <c r="R16" s="125">
        <f>VLOOKUP(D:D,ranking!W:X,2,0)</f>
        <v>0.6</v>
      </c>
      <c r="S16" s="126" t="e">
        <f ca="1">R16*Q16</f>
        <v>#N/A</v>
      </c>
      <c r="T16" s="123">
        <v>6.1856998682141269</v>
      </c>
    </row>
    <row r="17" spans="1:20" x14ac:dyDescent="0.25">
      <c r="A17" s="98" t="s">
        <v>1057</v>
      </c>
      <c r="B17" s="98" t="s">
        <v>85</v>
      </c>
      <c r="C17" s="98" t="s">
        <v>132</v>
      </c>
      <c r="D17" s="98" t="s">
        <v>456</v>
      </c>
      <c r="E17" s="98" t="s">
        <v>219</v>
      </c>
      <c r="F17" s="46" t="s">
        <v>2011</v>
      </c>
      <c r="G17" s="98" t="s">
        <v>1515</v>
      </c>
      <c r="H17" s="119" t="s">
        <v>19</v>
      </c>
      <c r="I17" s="136">
        <v>45948</v>
      </c>
      <c r="J17" s="119">
        <v>3</v>
      </c>
      <c r="K17" s="98" t="s">
        <v>1862</v>
      </c>
      <c r="L17" s="123">
        <f>VLOOKUP($C17&amp;$E17,'Updated SES'!A:N,14,0)</f>
        <v>5.2679999999999998</v>
      </c>
      <c r="M17" s="124">
        <f>VLOOKUP($K17,'Genre Penetration'!A:B,2,0)*VLOOKUP($C17&amp;$E17,'Updated SES'!A:I,9,0)</f>
        <v>0.26400000000000001</v>
      </c>
      <c r="N17" s="124">
        <f>VLOOKUP(K:K,'Genre Penetration'!A:C,3,0)*VLOOKUP($C17&amp;$E17,'Updated SES'!A:J,10,0)</f>
        <v>0.20400000000000001</v>
      </c>
      <c r="O17" s="124" t="e">
        <f>VLOOKUP($B17,'Language Penetration'!$B$1:$BE$14,MATCH('Compile data Working'!$H13,'Language Penetration'!$B$1:$BE$1,0),0)</f>
        <v>#N/A</v>
      </c>
      <c r="P17" s="124" t="str">
        <f ca="1">IF(ISBLANK(J17),RANDBETWEEN(1,2)&amp;"%",IF(J17=1,RANDBETWEEN(35,40)&amp;"%",IF(J17=2,RANDBETWEEN(30,35)&amp;"%",IF(J17=3,RANDBETWEEN(25,30)&amp;"%",IF(J17=4,RANDBETWEEN(20,25)&amp;"%",IF(J17=5,RANDBETWEEN(15,20)&amp;"%",IF(J17=6,RANDBETWEEN(10,15)&amp;"%",IF(J17=7,RANDBETWEEN(8,10)&amp;"%",IF(J17=8,RANDBETWEEN(6,8)&amp;"%",IF(J17=9,RANDBETWEEN(4,6)&amp;"%",IF(J17=10,RANDBETWEEN(2,4)&amp;"%","")))))))))))</f>
        <v>26%</v>
      </c>
      <c r="Q17" s="123" t="e">
        <f ca="1">IFERROR(L17*(M17+N17)*O17*P17,RANDBETWEEN(1,2)%*L17*(M17+N17)*O17)</f>
        <v>#N/A</v>
      </c>
      <c r="R17" s="125">
        <f>VLOOKUP(D:D,ranking!W:X,2,0)</f>
        <v>0.3</v>
      </c>
      <c r="S17" s="126" t="e">
        <f ca="1">R17*Q17</f>
        <v>#N/A</v>
      </c>
      <c r="T17" s="123">
        <v>5.9158771551426641</v>
      </c>
    </row>
    <row r="18" spans="1:20" x14ac:dyDescent="0.25">
      <c r="A18" s="98" t="s">
        <v>1057</v>
      </c>
      <c r="B18" s="98" t="s">
        <v>85</v>
      </c>
      <c r="C18" s="98" t="s">
        <v>150</v>
      </c>
      <c r="D18" s="46" t="s">
        <v>1866</v>
      </c>
      <c r="E18" s="98" t="s">
        <v>219</v>
      </c>
      <c r="F18" s="46" t="s">
        <v>215</v>
      </c>
      <c r="G18" s="98" t="s">
        <v>1917</v>
      </c>
      <c r="H18" s="98" t="s">
        <v>19</v>
      </c>
      <c r="I18" s="136">
        <v>46157</v>
      </c>
      <c r="J18" s="119">
        <v>2</v>
      </c>
      <c r="K18" s="98" t="s">
        <v>171</v>
      </c>
      <c r="L18" s="123">
        <f>VLOOKUP($C18&amp;$E18,'Updated SES'!A:N,14,0)</f>
        <v>24.425800000000002</v>
      </c>
      <c r="M18" s="124">
        <f>VLOOKUP($K18,'Genre Penetration'!A:B,2,0)*VLOOKUP($C18&amp;$E18,'Updated SES'!A:I,9,0)</f>
        <v>0.37400000000000005</v>
      </c>
      <c r="N18" s="124">
        <f>VLOOKUP(K:K,'Genre Penetration'!A:C,3,0)*VLOOKUP($C18&amp;$E18,'Updated SES'!A:J,10,0)</f>
        <v>0.14400000000000002</v>
      </c>
      <c r="O18" s="124">
        <f>VLOOKUP($B18,'Language Penetration'!$B$1:$BE$14,MATCH('Compile data Working'!$H219,'Language Penetration'!$B$1:$BE$1,0),0)</f>
        <v>0.6</v>
      </c>
      <c r="P18" s="124" t="str">
        <f ca="1">IF(ISBLANK(J18),RANDBETWEEN(1,2)&amp;"%",IF(J18=1,RANDBETWEEN(35,40)&amp;"%",IF(J18=2,RANDBETWEEN(30,35)&amp;"%",IF(J18=3,RANDBETWEEN(25,30)&amp;"%",IF(J18=4,RANDBETWEEN(20,25)&amp;"%",IF(J18=5,RANDBETWEEN(15,20)&amp;"%",IF(J18=6,RANDBETWEEN(10,15)&amp;"%",IF(J18=7,RANDBETWEEN(8,10)&amp;"%",IF(J18=8,RANDBETWEEN(6,8)&amp;"%",IF(J18=9,RANDBETWEEN(4,6)&amp;"%",IF(J18=10,RANDBETWEEN(2,4)&amp;"%","")))))))))))</f>
        <v>33%</v>
      </c>
      <c r="Q18" s="123">
        <f ca="1">IFERROR(L18*(M18+N18)*O18*P18,RANDBETWEEN(1,2)%*L18*(M18+N18)*O18)</f>
        <v>2.5052077512000004</v>
      </c>
      <c r="R18" s="125">
        <f>VLOOKUP(D:D,ranking!W:X,2,0)</f>
        <v>0.6</v>
      </c>
      <c r="S18" s="126">
        <f ca="1">R18*Q18</f>
        <v>1.5031246507200002</v>
      </c>
      <c r="T18" s="123">
        <v>5.7446913272217914</v>
      </c>
    </row>
    <row r="19" spans="1:20" x14ac:dyDescent="0.25">
      <c r="A19" s="98" t="s">
        <v>2002</v>
      </c>
      <c r="B19" s="98" t="s">
        <v>85</v>
      </c>
      <c r="C19" s="46" t="s">
        <v>123</v>
      </c>
      <c r="D19" s="98" t="s">
        <v>434</v>
      </c>
      <c r="E19" s="46" t="s">
        <v>211</v>
      </c>
      <c r="F19" s="46" t="s">
        <v>213</v>
      </c>
      <c r="G19" s="46" t="s">
        <v>725</v>
      </c>
      <c r="H19" s="46" t="s">
        <v>26</v>
      </c>
      <c r="I19" s="129">
        <v>46164</v>
      </c>
      <c r="J19" s="46">
        <v>5</v>
      </c>
      <c r="K19" s="46" t="s">
        <v>138</v>
      </c>
      <c r="L19" s="123">
        <f>VLOOKUP($C19&amp;$E19,'Updated SES'!A:N,14,0)</f>
        <v>55.459200000000003</v>
      </c>
      <c r="M19" s="124">
        <f>VLOOKUP($K19,'Genre Penetration'!A:B,2,0)*VLOOKUP($C19&amp;$E19,'Updated SES'!A:I,9,0)</f>
        <v>0.23029999999999998</v>
      </c>
      <c r="N19" s="124">
        <f>VLOOKUP(K:K,'Genre Penetration'!A:C,3,0)*VLOOKUP($C19&amp;$E19,'Updated SES'!A:J,10,0)</f>
        <v>0.27030000000000004</v>
      </c>
      <c r="O19" s="124" t="e">
        <f>VLOOKUP($B19,'Language Penetration'!$B$1:$BE$14,MATCH('Compile data Working'!#REF!,'Language Penetration'!$B$1:$BE$1,0),0)</f>
        <v>#REF!</v>
      </c>
      <c r="P19" s="124" t="str">
        <f ca="1">IF(ISBLANK(J19),RANDBETWEEN(1,2)&amp;"%",IF(J19=1,RANDBETWEEN(35,40)&amp;"%",IF(J19=2,RANDBETWEEN(30,35)&amp;"%",IF(J19=3,RANDBETWEEN(25,30)&amp;"%",IF(J19=4,RANDBETWEEN(20,25)&amp;"%",IF(J19=5,RANDBETWEEN(15,20)&amp;"%",IF(J19=6,RANDBETWEEN(10,15)&amp;"%",IF(J19=7,RANDBETWEEN(8,10)&amp;"%",IF(J19=8,RANDBETWEEN(6,8)&amp;"%",IF(J19=9,RANDBETWEEN(4,6)&amp;"%",IF(J19=10,RANDBETWEEN(2,4)&amp;"%","")))))))))))</f>
        <v>18%</v>
      </c>
      <c r="Q19" s="123" t="e">
        <f ca="1">IFERROR(L19*(M19+N19)*O19*P19,RANDBETWEEN(1,2)%*L19*(M19+N19)*O19)</f>
        <v>#REF!</v>
      </c>
      <c r="R19" s="125">
        <f>VLOOKUP(D:D,ranking!W:X,2,0)</f>
        <v>0.7</v>
      </c>
      <c r="S19" s="126" t="e">
        <f ca="1">R19*Q19</f>
        <v>#REF!</v>
      </c>
      <c r="T19" s="123">
        <v>5.713201808</v>
      </c>
    </row>
    <row r="20" spans="1:20" x14ac:dyDescent="0.25">
      <c r="A20" s="98" t="s">
        <v>2002</v>
      </c>
      <c r="B20" s="98" t="s">
        <v>85</v>
      </c>
      <c r="C20" s="46" t="s">
        <v>123</v>
      </c>
      <c r="D20" s="98" t="s">
        <v>434</v>
      </c>
      <c r="E20" s="46" t="s">
        <v>211</v>
      </c>
      <c r="F20" s="46" t="s">
        <v>213</v>
      </c>
      <c r="G20" s="46" t="s">
        <v>1979</v>
      </c>
      <c r="H20" s="46" t="s">
        <v>40</v>
      </c>
      <c r="I20" s="129">
        <v>46164</v>
      </c>
      <c r="J20" s="98">
        <v>2</v>
      </c>
      <c r="K20" s="46" t="s">
        <v>87</v>
      </c>
      <c r="L20" s="123">
        <f>VLOOKUP($C20&amp;$E20,'Updated SES'!A:N,14,0)</f>
        <v>55.459200000000003</v>
      </c>
      <c r="M20" s="124">
        <f>VLOOKUP($K20,'Genre Penetration'!A:B,2,0)*VLOOKUP($C20&amp;$E20,'Updated SES'!A:I,9,0)</f>
        <v>0.2989</v>
      </c>
      <c r="N20" s="124">
        <f>VLOOKUP(K:K,'Genre Penetration'!A:C,3,0)*VLOOKUP($C20&amp;$E20,'Updated SES'!A:J,10,0)</f>
        <v>0.19890000000000002</v>
      </c>
      <c r="O20" s="124" t="e">
        <f>VLOOKUP($B20,'Language Penetration'!$B$1:$BE$14,MATCH('Compile data Working'!#REF!,'Language Penetration'!$B$1:$BE$1,0),0)</f>
        <v>#REF!</v>
      </c>
      <c r="P20" s="124" t="str">
        <f ca="1">IF(ISBLANK(J20),RANDBETWEEN(1,2)&amp;"%",IF(J20=1,RANDBETWEEN(35,40)&amp;"%",IF(J20=2,RANDBETWEEN(30,35)&amp;"%",IF(J20=3,RANDBETWEEN(25,30)&amp;"%",IF(J20=4,RANDBETWEEN(20,25)&amp;"%",IF(J20=5,RANDBETWEEN(15,20)&amp;"%",IF(J20=6,RANDBETWEEN(10,15)&amp;"%",IF(J20=7,RANDBETWEEN(8,10)&amp;"%",IF(J20=8,RANDBETWEEN(6,8)&amp;"%",IF(J20=9,RANDBETWEEN(4,6)&amp;"%",IF(J20=10,RANDBETWEEN(2,4)&amp;"%","")))))))))))</f>
        <v>34%</v>
      </c>
      <c r="Q20" s="123" t="e">
        <f ca="1">IFERROR(L20*(M20+N20)*O20*P20,RANDBETWEEN(1,2)%*L20*(M20+N20)*O20)</f>
        <v>#REF!</v>
      </c>
      <c r="R20" s="125">
        <f>VLOOKUP(D:D,ranking!W:X,2,0)</f>
        <v>0.7</v>
      </c>
      <c r="S20" s="126" t="e">
        <f ca="1">R20*Q20</f>
        <v>#REF!</v>
      </c>
      <c r="T20" s="123">
        <v>5.6291491456123897</v>
      </c>
    </row>
    <row r="21" spans="1:20" x14ac:dyDescent="0.25">
      <c r="A21" s="98" t="s">
        <v>1057</v>
      </c>
      <c r="B21" s="98" t="s">
        <v>85</v>
      </c>
      <c r="C21" s="46" t="s">
        <v>123</v>
      </c>
      <c r="D21" s="46" t="s">
        <v>1012</v>
      </c>
      <c r="E21" s="46" t="s">
        <v>211</v>
      </c>
      <c r="F21" s="46" t="s">
        <v>215</v>
      </c>
      <c r="G21" s="46" t="s">
        <v>1905</v>
      </c>
      <c r="H21" s="46" t="s">
        <v>40</v>
      </c>
      <c r="I21" s="129">
        <v>46143</v>
      </c>
      <c r="J21" s="46">
        <v>4</v>
      </c>
      <c r="K21" s="46" t="s">
        <v>97</v>
      </c>
      <c r="L21" s="123">
        <f>VLOOKUP($C21&amp;$E21,'Updated SES'!A:N,14,0)</f>
        <v>55.459200000000003</v>
      </c>
      <c r="M21" s="124">
        <f>VLOOKUP($K21,'Genre Penetration'!A:B,2,0)*VLOOKUP($C21&amp;$E21,'Updated SES'!A:I,9,0)</f>
        <v>0.3332</v>
      </c>
      <c r="N21" s="124">
        <f>VLOOKUP(K:K,'Genre Penetration'!A:C,3,0)*VLOOKUP($C21&amp;$E21,'Updated SES'!A:J,10,0)</f>
        <v>0.16320000000000001</v>
      </c>
      <c r="O21" s="124" t="e">
        <f>VLOOKUP($B21,'Language Penetration'!$B$1:$BE$14,MATCH('Compile data Working'!$H57,'Language Penetration'!$B$1:$BE$1,0),0)</f>
        <v>#N/A</v>
      </c>
      <c r="P21" s="124" t="str">
        <f ca="1">IF(ISBLANK(J21),RANDBETWEEN(1,2)&amp;"%",IF(J21=1,RANDBETWEEN(35,40)&amp;"%",IF(J21=2,RANDBETWEEN(30,35)&amp;"%",IF(J21=3,RANDBETWEEN(25,30)&amp;"%",IF(J21=4,RANDBETWEEN(20,25)&amp;"%",IF(J21=5,RANDBETWEEN(15,20)&amp;"%",IF(J21=6,RANDBETWEEN(10,15)&amp;"%",IF(J21=7,RANDBETWEEN(8,10)&amp;"%",IF(J21=8,RANDBETWEEN(6,8)&amp;"%",IF(J21=9,RANDBETWEEN(4,6)&amp;"%",IF(J21=10,RANDBETWEEN(2,4)&amp;"%","")))))))))))</f>
        <v>21%</v>
      </c>
      <c r="Q21" s="123" t="e">
        <f ca="1">IFERROR(L21*(M21+N21)*O21*P21,RANDBETWEEN(1,2)%*L21*(M21+N21)*O21)</f>
        <v>#N/A</v>
      </c>
      <c r="R21" s="125">
        <f>VLOOKUP(D:D,ranking!W:X,2,0)</f>
        <v>0.6</v>
      </c>
      <c r="S21" s="126" t="e">
        <f ca="1">R21*Q21</f>
        <v>#N/A</v>
      </c>
      <c r="T21" s="123">
        <v>5.3423214715365717</v>
      </c>
    </row>
    <row r="22" spans="1:20" x14ac:dyDescent="0.25">
      <c r="A22" s="98" t="s">
        <v>2002</v>
      </c>
      <c r="B22" s="98" t="s">
        <v>85</v>
      </c>
      <c r="C22" s="46" t="s">
        <v>150</v>
      </c>
      <c r="D22" s="46" t="s">
        <v>1012</v>
      </c>
      <c r="E22" s="46" t="s">
        <v>211</v>
      </c>
      <c r="F22" s="46" t="s">
        <v>215</v>
      </c>
      <c r="G22" s="46" t="s">
        <v>1978</v>
      </c>
      <c r="H22" s="46" t="s">
        <v>19</v>
      </c>
      <c r="I22" s="129">
        <v>46164</v>
      </c>
      <c r="J22" s="98"/>
      <c r="K22" s="46" t="s">
        <v>216</v>
      </c>
      <c r="L22" s="123">
        <f>VLOOKUP($C22&amp;$E22,'Updated SES'!A:N,14,0)</f>
        <v>60.152000000000001</v>
      </c>
      <c r="M22" s="124">
        <f>VLOOKUP($K22,'Genre Penetration'!A:B,2,0)*VLOOKUP($C22&amp;$E22,'Updated SES'!A:I,9,0)</f>
        <v>0.32500000000000001</v>
      </c>
      <c r="N22" s="124">
        <f>VLOOKUP(K:K,'Genre Penetration'!A:C,3,0)*VLOOKUP($C22&amp;$E22,'Updated SES'!A:J,10,0)</f>
        <v>0.17499999999999999</v>
      </c>
      <c r="O22" s="124" t="e">
        <f>VLOOKUP($B22,'Language Penetration'!$B$1:$BE$14,MATCH('Compile data Working'!$H25,'Language Penetration'!$B$1:$BE$1,0),0)</f>
        <v>#N/A</v>
      </c>
      <c r="P22" s="124" t="str">
        <f ca="1">IF(ISBLANK(J22),RANDBETWEEN(1,2)&amp;"%",IF(J22=1,RANDBETWEEN(35,40)&amp;"%",IF(J22=2,RANDBETWEEN(30,35)&amp;"%",IF(J22=3,RANDBETWEEN(25,30)&amp;"%",IF(J22=4,RANDBETWEEN(20,25)&amp;"%",IF(J22=5,RANDBETWEEN(15,20)&amp;"%",IF(J22=6,RANDBETWEEN(10,15)&amp;"%",IF(J22=7,RANDBETWEEN(8,10)&amp;"%",IF(J22=8,RANDBETWEEN(6,8)&amp;"%",IF(J22=9,RANDBETWEEN(4,6)&amp;"%",IF(J22=10,RANDBETWEEN(2,4)&amp;"%","")))))))))))</f>
        <v>2%</v>
      </c>
      <c r="Q22" s="123" t="e">
        <f ca="1">IFERROR(L22*(M22+N22)*O22*P22,RANDBETWEEN(1,2)%*L22*(M22+N22)*O22)</f>
        <v>#N/A</v>
      </c>
      <c r="R22" s="125">
        <f>VLOOKUP(D:D,ranking!W:X,2,0)</f>
        <v>0.6</v>
      </c>
      <c r="S22" s="126" t="e">
        <f ca="1">R22*Q22</f>
        <v>#N/A</v>
      </c>
      <c r="T22" s="123">
        <v>5.0802343720343108</v>
      </c>
    </row>
    <row r="23" spans="1:20" x14ac:dyDescent="0.25">
      <c r="A23" s="98" t="s">
        <v>1057</v>
      </c>
      <c r="B23" s="98" t="s">
        <v>85</v>
      </c>
      <c r="C23" s="46" t="s">
        <v>123</v>
      </c>
      <c r="D23" s="46" t="s">
        <v>1013</v>
      </c>
      <c r="E23" s="46" t="s">
        <v>211</v>
      </c>
      <c r="F23" s="46" t="s">
        <v>213</v>
      </c>
      <c r="G23" s="46" t="s">
        <v>1902</v>
      </c>
      <c r="H23" s="46" t="s">
        <v>28</v>
      </c>
      <c r="I23" s="129">
        <v>46143</v>
      </c>
      <c r="J23" s="46">
        <v>3</v>
      </c>
      <c r="K23" s="46" t="s">
        <v>1925</v>
      </c>
      <c r="L23" s="123">
        <f>VLOOKUP($C23&amp;$E23,'Updated SES'!A:N,14,0)</f>
        <v>55.459200000000003</v>
      </c>
      <c r="M23" s="124" t="e">
        <f>VLOOKUP($K23,'Genre Penetration'!A:B,2,0)*VLOOKUP($C23&amp;$E23,'Updated SES'!A:I,9,0)</f>
        <v>#N/A</v>
      </c>
      <c r="N23" s="124" t="e">
        <f>VLOOKUP(K:K,'Genre Penetration'!A:C,3,0)*VLOOKUP($C23&amp;$E23,'Updated SES'!A:J,10,0)</f>
        <v>#N/A</v>
      </c>
      <c r="O23" s="124" t="e">
        <f>VLOOKUP($B23,'Language Penetration'!$B$1:$BE$14,MATCH('Compile data Working'!$H72,'Language Penetration'!$B$1:$BE$1,0),0)</f>
        <v>#N/A</v>
      </c>
      <c r="P23" s="124" t="str">
        <f ca="1">IF(ISBLANK(J23),RANDBETWEEN(1,2)&amp;"%",IF(J23=1,RANDBETWEEN(35,40)&amp;"%",IF(J23=2,RANDBETWEEN(30,35)&amp;"%",IF(J23=3,RANDBETWEEN(25,30)&amp;"%",IF(J23=4,RANDBETWEEN(20,25)&amp;"%",IF(J23=5,RANDBETWEEN(15,20)&amp;"%",IF(J23=6,RANDBETWEEN(10,15)&amp;"%",IF(J23=7,RANDBETWEEN(8,10)&amp;"%",IF(J23=8,RANDBETWEEN(6,8)&amp;"%",IF(J23=9,RANDBETWEEN(4,6)&amp;"%",IF(J23=10,RANDBETWEEN(2,4)&amp;"%","")))))))))))</f>
        <v>28%</v>
      </c>
      <c r="Q23" s="123" t="e">
        <f ca="1">IFERROR(L23*(M23+N23)*O23*P23,RANDBETWEEN(1,2)%*L23*(M23+N23)*O23)</f>
        <v>#N/A</v>
      </c>
      <c r="R23" s="125">
        <f>VLOOKUP(D:D,ranking!W:X,2,0)</f>
        <v>0.8</v>
      </c>
      <c r="S23" s="126" t="e">
        <f ca="1">R23*Q23</f>
        <v>#N/A</v>
      </c>
      <c r="T23" s="123">
        <v>4.9706402405760004</v>
      </c>
    </row>
    <row r="24" spans="1:20" x14ac:dyDescent="0.25">
      <c r="A24" s="98" t="s">
        <v>1781</v>
      </c>
      <c r="B24" s="98" t="s">
        <v>85</v>
      </c>
      <c r="C24" s="46" t="s">
        <v>64</v>
      </c>
      <c r="D24" s="46" t="s">
        <v>1012</v>
      </c>
      <c r="E24" s="119" t="s">
        <v>211</v>
      </c>
      <c r="F24" s="46" t="s">
        <v>215</v>
      </c>
      <c r="G24" s="98" t="s">
        <v>2022</v>
      </c>
      <c r="H24" s="46" t="s">
        <v>19</v>
      </c>
      <c r="I24" s="129">
        <v>46099</v>
      </c>
      <c r="J24" s="98"/>
      <c r="K24" s="46" t="s">
        <v>2074</v>
      </c>
      <c r="L24" s="123">
        <f>VLOOKUP($C24&amp;$E24,'Updated SES'!A:N,14,0)</f>
        <v>36.498239999999996</v>
      </c>
      <c r="M24" s="124" t="e">
        <f>VLOOKUP($K24,'Genre Penetration'!A:B,2,0)*VLOOKUP($C24&amp;$E24,'Updated SES'!A:I,9,0)</f>
        <v>#N/A</v>
      </c>
      <c r="N24" s="124" t="e">
        <f>VLOOKUP(K:K,'Genre Penetration'!A:C,3,0)*VLOOKUP($C24&amp;$E24,'Updated SES'!A:J,10,0)</f>
        <v>#N/A</v>
      </c>
      <c r="O24" s="124">
        <f>VLOOKUP($B24,'Language Penetration'!$B$1:$BE$14,MATCH('Compile data Working'!$H79,'Language Penetration'!$B$1:$BE$1,0),0)</f>
        <v>0.2</v>
      </c>
      <c r="P24" s="124" t="str">
        <f ca="1">IF(ISBLANK(J24),RANDBETWEEN(1,2)&amp;"%",IF(J24=1,RANDBETWEEN(35,40)&amp;"%",IF(J24=2,RANDBETWEEN(30,35)&amp;"%",IF(J24=3,RANDBETWEEN(25,30)&amp;"%",IF(J24=4,RANDBETWEEN(20,25)&amp;"%",IF(J24=5,RANDBETWEEN(15,20)&amp;"%",IF(J24=6,RANDBETWEEN(10,15)&amp;"%",IF(J24=7,RANDBETWEEN(8,10)&amp;"%",IF(J24=8,RANDBETWEEN(6,8)&amp;"%",IF(J24=9,RANDBETWEEN(4,6)&amp;"%",IF(J24=10,RANDBETWEEN(2,4)&amp;"%","")))))))))))</f>
        <v>2%</v>
      </c>
      <c r="Q24" s="123" t="e">
        <f ca="1">IFERROR(L24*(M24+N24)*O24*P24,RANDBETWEEN(1,2)%*L24*(M24+N24)*O24)</f>
        <v>#N/A</v>
      </c>
      <c r="R24" s="125">
        <f>VLOOKUP(D:D,ranking!W:X,2,0)</f>
        <v>0.6</v>
      </c>
      <c r="S24" s="126" t="e">
        <f ca="1">R24*Q24</f>
        <v>#N/A</v>
      </c>
      <c r="T24" s="123">
        <v>4.8524993711799871</v>
      </c>
    </row>
    <row r="25" spans="1:20" x14ac:dyDescent="0.25">
      <c r="A25" s="98" t="s">
        <v>1057</v>
      </c>
      <c r="B25" s="98" t="s">
        <v>85</v>
      </c>
      <c r="C25" s="98" t="s">
        <v>64</v>
      </c>
      <c r="D25" s="98" t="s">
        <v>434</v>
      </c>
      <c r="E25" s="119" t="s">
        <v>211</v>
      </c>
      <c r="F25" s="46" t="s">
        <v>213</v>
      </c>
      <c r="G25" s="98" t="s">
        <v>1891</v>
      </c>
      <c r="H25" s="98" t="s">
        <v>1059</v>
      </c>
      <c r="I25" s="136">
        <v>46136</v>
      </c>
      <c r="J25" s="119">
        <v>10</v>
      </c>
      <c r="K25" s="98" t="s">
        <v>145</v>
      </c>
      <c r="L25" s="123">
        <f>VLOOKUP($C25&amp;$E25,'Updated SES'!A:N,14,0)</f>
        <v>36.498239999999996</v>
      </c>
      <c r="M25" s="124">
        <f>VLOOKUP($K25,'Genre Penetration'!A:B,2,0)*VLOOKUP($C25&amp;$E25,'Updated SES'!A:I,9,0)</f>
        <v>0.19240000000000002</v>
      </c>
      <c r="N25" s="124">
        <f>VLOOKUP(K:K,'Genre Penetration'!A:C,3,0)*VLOOKUP($C25&amp;$E25,'Updated SES'!A:J,10,0)</f>
        <v>0.3024</v>
      </c>
      <c r="O25" s="124" t="e">
        <f>VLOOKUP($B25,'Language Penetration'!$B$1:$BE$14,MATCH('Compile data Working'!#REF!,'Language Penetration'!$B$1:$BE$1,0),0)</f>
        <v>#REF!</v>
      </c>
      <c r="P25" s="124" t="str">
        <f ca="1">IF(ISBLANK(J25),RANDBETWEEN(1,2)&amp;"%",IF(J25=1,RANDBETWEEN(35,40)&amp;"%",IF(J25=2,RANDBETWEEN(30,35)&amp;"%",IF(J25=3,RANDBETWEEN(25,30)&amp;"%",IF(J25=4,RANDBETWEEN(20,25)&amp;"%",IF(J25=5,RANDBETWEEN(15,20)&amp;"%",IF(J25=6,RANDBETWEEN(10,15)&amp;"%",IF(J25=7,RANDBETWEEN(8,10)&amp;"%",IF(J25=8,RANDBETWEEN(6,8)&amp;"%",IF(J25=9,RANDBETWEEN(4,6)&amp;"%",IF(J25=10,RANDBETWEEN(2,4)&amp;"%","")))))))))))</f>
        <v>3%</v>
      </c>
      <c r="Q25" s="123" t="e">
        <f ca="1">IFERROR(L25*(M25+N25)*O25*P25,RANDBETWEEN(1,2)%*L25*(M25+N25)*O25)</f>
        <v>#REF!</v>
      </c>
      <c r="R25" s="125">
        <f>VLOOKUP(D:D,ranking!W:X,2,0)</f>
        <v>0.7</v>
      </c>
      <c r="S25" s="126" t="e">
        <f ca="1">R25*Q25</f>
        <v>#REF!</v>
      </c>
      <c r="T25" s="123">
        <v>4.7828033939023555</v>
      </c>
    </row>
    <row r="26" spans="1:20" x14ac:dyDescent="0.25">
      <c r="A26" s="98" t="s">
        <v>1057</v>
      </c>
      <c r="B26" s="98" t="s">
        <v>85</v>
      </c>
      <c r="C26" s="98" t="s">
        <v>64</v>
      </c>
      <c r="D26" s="98" t="s">
        <v>434</v>
      </c>
      <c r="E26" s="119" t="s">
        <v>211</v>
      </c>
      <c r="F26" s="46" t="s">
        <v>213</v>
      </c>
      <c r="G26" s="98" t="s">
        <v>1890</v>
      </c>
      <c r="H26" s="98" t="s">
        <v>1059</v>
      </c>
      <c r="I26" s="136">
        <v>46150</v>
      </c>
      <c r="J26" s="119">
        <v>6</v>
      </c>
      <c r="K26" s="98" t="s">
        <v>1142</v>
      </c>
      <c r="L26" s="123">
        <f>VLOOKUP($C26&amp;$E26,'Updated SES'!A:N,14,0)</f>
        <v>36.498239999999996</v>
      </c>
      <c r="M26" s="124">
        <f>VLOOKUP($K26,'Genre Penetration'!A:B,2,0)*VLOOKUP($C26&amp;$E26,'Updated SES'!A:I,9,0)</f>
        <v>0.33800000000000002</v>
      </c>
      <c r="N26" s="124">
        <f>VLOOKUP(K:K,'Genre Penetration'!A:C,3,0)*VLOOKUP($C26&amp;$E26,'Updated SES'!A:J,10,0)</f>
        <v>0.16799999999999998</v>
      </c>
      <c r="O26" s="124" t="e">
        <f>VLOOKUP($B26,'Language Penetration'!$B$1:$BE$14,MATCH('Compile data Working'!$H70,'Language Penetration'!$B$1:$BE$1,0),0)</f>
        <v>#N/A</v>
      </c>
      <c r="P26" s="124" t="str">
        <f ca="1">IF(ISBLANK(J26),RANDBETWEEN(1,2)&amp;"%",IF(J26=1,RANDBETWEEN(35,40)&amp;"%",IF(J26=2,RANDBETWEEN(30,35)&amp;"%",IF(J26=3,RANDBETWEEN(25,30)&amp;"%",IF(J26=4,RANDBETWEEN(20,25)&amp;"%",IF(J26=5,RANDBETWEEN(15,20)&amp;"%",IF(J26=6,RANDBETWEEN(10,15)&amp;"%",IF(J26=7,RANDBETWEEN(8,10)&amp;"%",IF(J26=8,RANDBETWEEN(6,8)&amp;"%",IF(J26=9,RANDBETWEEN(4,6)&amp;"%",IF(J26=10,RANDBETWEEN(2,4)&amp;"%","")))))))))))</f>
        <v>12%</v>
      </c>
      <c r="Q26" s="123" t="e">
        <f ca="1">IFERROR(L26*(M26+N26)*O26*P26,RANDBETWEEN(1,2)%*L26*(M26+N26)*O26)</f>
        <v>#N/A</v>
      </c>
      <c r="R26" s="125">
        <f>VLOOKUP(D:D,ranking!W:X,2,0)</f>
        <v>0.7</v>
      </c>
      <c r="S26" s="126" t="e">
        <f ca="1">R26*Q26</f>
        <v>#N/A</v>
      </c>
      <c r="T26" s="123">
        <v>4.3325261747755199</v>
      </c>
    </row>
    <row r="27" spans="1:20" x14ac:dyDescent="0.25">
      <c r="A27" s="98" t="s">
        <v>1057</v>
      </c>
      <c r="B27" s="98" t="s">
        <v>85</v>
      </c>
      <c r="C27" s="98" t="s">
        <v>132</v>
      </c>
      <c r="D27" s="98" t="s">
        <v>456</v>
      </c>
      <c r="E27" s="98" t="s">
        <v>219</v>
      </c>
      <c r="F27" s="46" t="s">
        <v>2011</v>
      </c>
      <c r="G27" s="98" t="s">
        <v>369</v>
      </c>
      <c r="H27" s="98" t="s">
        <v>19</v>
      </c>
      <c r="I27" s="136" t="s">
        <v>254</v>
      </c>
      <c r="J27" s="119">
        <v>6</v>
      </c>
      <c r="K27" s="98" t="s">
        <v>124</v>
      </c>
      <c r="L27" s="123">
        <f>VLOOKUP($C27&amp;$E27,'Updated SES'!A:N,14,0)</f>
        <v>5.2679999999999998</v>
      </c>
      <c r="M27" s="124">
        <f>VLOOKUP($K27,'Genre Penetration'!A:B,2,0)*VLOOKUP($C27&amp;$E27,'Updated SES'!A:I,9,0)</f>
        <v>0.29700000000000004</v>
      </c>
      <c r="N27" s="124">
        <f>VLOOKUP(K:K,'Genre Penetration'!A:C,3,0)*VLOOKUP($C27&amp;$E27,'Updated SES'!A:J,10,0)</f>
        <v>0.18700000000000003</v>
      </c>
      <c r="O27" s="124" t="e">
        <f>VLOOKUP($B27,'Language Penetration'!$B$1:$BE$14,MATCH('Compile data Working'!$H26,'Language Penetration'!$B$1:$BE$1,0),0)</f>
        <v>#N/A</v>
      </c>
      <c r="P27" s="124" t="str">
        <f ca="1">IF(ISBLANK(J27),RANDBETWEEN(1,2)&amp;"%",IF(J27=1,RANDBETWEEN(35,40)&amp;"%",IF(J27=2,RANDBETWEEN(30,35)&amp;"%",IF(J27=3,RANDBETWEEN(25,30)&amp;"%",IF(J27=4,RANDBETWEEN(20,25)&amp;"%",IF(J27=5,RANDBETWEEN(15,20)&amp;"%",IF(J27=6,RANDBETWEEN(10,15)&amp;"%",IF(J27=7,RANDBETWEEN(8,10)&amp;"%",IF(J27=8,RANDBETWEEN(6,8)&amp;"%",IF(J27=9,RANDBETWEEN(4,6)&amp;"%",IF(J27=10,RANDBETWEEN(2,4)&amp;"%","")))))))))))</f>
        <v>13%</v>
      </c>
      <c r="Q27" s="123" t="e">
        <f ca="1">IFERROR(L27*(M27+N27)*O27*P27,RANDBETWEEN(1,2)%*L27*(M27+N27)*O27)</f>
        <v>#N/A</v>
      </c>
      <c r="R27" s="125">
        <f>VLOOKUP(D:D,ranking!W:X,2,0)</f>
        <v>0.3</v>
      </c>
      <c r="S27" s="126" t="e">
        <f ca="1">R27*Q27</f>
        <v>#N/A</v>
      </c>
      <c r="T27" s="123">
        <v>4.2599627103370201</v>
      </c>
    </row>
    <row r="28" spans="1:20" x14ac:dyDescent="0.25">
      <c r="A28" s="98" t="s">
        <v>1057</v>
      </c>
      <c r="B28" s="98" t="s">
        <v>85</v>
      </c>
      <c r="C28" s="46" t="s">
        <v>1229</v>
      </c>
      <c r="D28" s="46" t="s">
        <v>1866</v>
      </c>
      <c r="E28" s="46" t="s">
        <v>219</v>
      </c>
      <c r="F28" s="46" t="s">
        <v>215</v>
      </c>
      <c r="G28" s="46" t="s">
        <v>1882</v>
      </c>
      <c r="H28" s="46" t="s">
        <v>19</v>
      </c>
      <c r="I28" s="129">
        <v>46141</v>
      </c>
      <c r="J28" s="46">
        <v>3</v>
      </c>
      <c r="K28" s="46" t="s">
        <v>154</v>
      </c>
      <c r="L28" s="123">
        <f>VLOOKUP($C28&amp;$E28,'Updated SES'!A:N,14,0)</f>
        <v>78.939870000000013</v>
      </c>
      <c r="M28" s="124">
        <f>VLOOKUP($K28,'Genre Penetration'!A:B,2,0)*VLOOKUP($C28&amp;$E28,'Updated SES'!A:I,9,0)</f>
        <v>0.24</v>
      </c>
      <c r="N28" s="124">
        <f>VLOOKUP(K:K,'Genre Penetration'!A:C,3,0)*VLOOKUP($C28&amp;$E28,'Updated SES'!A:J,10,0)</f>
        <v>0.13999999999999999</v>
      </c>
      <c r="O28" s="124" t="e">
        <f>VLOOKUP($B28,'Language Penetration'!$B$1:$BE$14,MATCH('Compile data Working'!#REF!,'Language Penetration'!$B$1:$BE$1,0),0)</f>
        <v>#REF!</v>
      </c>
      <c r="P28" s="124" t="str">
        <f ca="1">IF(ISBLANK(J28),RANDBETWEEN(1,2)&amp;"%",IF(J28=1,RANDBETWEEN(35,40)&amp;"%",IF(J28=2,RANDBETWEEN(30,35)&amp;"%",IF(J28=3,RANDBETWEEN(25,30)&amp;"%",IF(J28=4,RANDBETWEEN(20,25)&amp;"%",IF(J28=5,RANDBETWEEN(15,20)&amp;"%",IF(J28=6,RANDBETWEEN(10,15)&amp;"%",IF(J28=7,RANDBETWEEN(8,10)&amp;"%",IF(J28=8,RANDBETWEEN(6,8)&amp;"%",IF(J28=9,RANDBETWEEN(4,6)&amp;"%",IF(J28=10,RANDBETWEEN(2,4)&amp;"%","")))))))))))</f>
        <v>27%</v>
      </c>
      <c r="Q28" s="123" t="e">
        <f ca="1">IFERROR(L28*(M28+N28)*O28*P28,RANDBETWEEN(1,2)%*L28*(M28+N28)*O28)</f>
        <v>#REF!</v>
      </c>
      <c r="R28" s="125">
        <f>VLOOKUP(D:D,ranking!W:X,2,0)</f>
        <v>0.6</v>
      </c>
      <c r="S28" s="126" t="e">
        <f ca="1">R28*Q28</f>
        <v>#REF!</v>
      </c>
      <c r="T28" s="123">
        <v>4.2142150787053403</v>
      </c>
    </row>
    <row r="29" spans="1:20" x14ac:dyDescent="0.25">
      <c r="A29" s="98" t="s">
        <v>2002</v>
      </c>
      <c r="B29" s="98" t="s">
        <v>85</v>
      </c>
      <c r="C29" s="46" t="s">
        <v>150</v>
      </c>
      <c r="D29" s="46" t="s">
        <v>1012</v>
      </c>
      <c r="E29" s="46" t="s">
        <v>211</v>
      </c>
      <c r="F29" s="46" t="s">
        <v>215</v>
      </c>
      <c r="G29" s="53" t="s">
        <v>1996</v>
      </c>
      <c r="H29" s="46" t="s">
        <v>22</v>
      </c>
      <c r="I29" s="129">
        <v>46164</v>
      </c>
      <c r="J29" s="98"/>
      <c r="K29" s="46" t="s">
        <v>202</v>
      </c>
      <c r="L29" s="123">
        <f>VLOOKUP($C29&amp;$E29,'Updated SES'!A:N,14,0)</f>
        <v>60.152000000000001</v>
      </c>
      <c r="M29" s="124">
        <f>VLOOKUP($K29,'Genre Penetration'!A:B,2,0)*VLOOKUP($C29&amp;$E29,'Updated SES'!A:I,9,0)</f>
        <v>0.46799999999999997</v>
      </c>
      <c r="N29" s="124">
        <f>VLOOKUP(K:K,'Genre Penetration'!A:C,3,0)*VLOOKUP($C29&amp;$E29,'Updated SES'!A:J,10,0)</f>
        <v>9.8000000000000004E-2</v>
      </c>
      <c r="O29" s="124">
        <f>VLOOKUP($B29,'Language Penetration'!$B$1:$BE$14,MATCH('Compile data Working'!$H43,'Language Penetration'!$B$1:$BE$1,0),0)</f>
        <v>0.15</v>
      </c>
      <c r="P29" s="124" t="str">
        <f ca="1">IF(ISBLANK(J29),RANDBETWEEN(1,2)&amp;"%",IF(J29=1,RANDBETWEEN(35,40)&amp;"%",IF(J29=2,RANDBETWEEN(30,35)&amp;"%",IF(J29=3,RANDBETWEEN(25,30)&amp;"%",IF(J29=4,RANDBETWEEN(20,25)&amp;"%",IF(J29=5,RANDBETWEEN(15,20)&amp;"%",IF(J29=6,RANDBETWEEN(10,15)&amp;"%",IF(J29=7,RANDBETWEEN(8,10)&amp;"%",IF(J29=8,RANDBETWEEN(6,8)&amp;"%",IF(J29=9,RANDBETWEEN(4,6)&amp;"%",IF(J29=10,RANDBETWEEN(2,4)&amp;"%","")))))))))))</f>
        <v>2%</v>
      </c>
      <c r="Q29" s="123">
        <f ca="1">IFERROR(L29*(M29+N29)*O29*P29,RANDBETWEEN(1,2)%*L29*(M29+N29)*O29)</f>
        <v>0.102138096</v>
      </c>
      <c r="R29" s="125">
        <f>VLOOKUP(D:D,ranking!W:X,2,0)</f>
        <v>0.6</v>
      </c>
      <c r="S29" s="126">
        <f ca="1">R29*Q29</f>
        <v>6.1282857599999997E-2</v>
      </c>
      <c r="T29" s="123">
        <v>4.0474936820748804</v>
      </c>
    </row>
    <row r="30" spans="1:20" x14ac:dyDescent="0.25">
      <c r="A30" s="98" t="s">
        <v>1781</v>
      </c>
      <c r="B30" s="98" t="s">
        <v>85</v>
      </c>
      <c r="C30" s="46" t="s">
        <v>123</v>
      </c>
      <c r="D30" s="46" t="s">
        <v>1012</v>
      </c>
      <c r="E30" s="119" t="s">
        <v>211</v>
      </c>
      <c r="F30" s="46" t="s">
        <v>215</v>
      </c>
      <c r="G30" s="98" t="s">
        <v>2055</v>
      </c>
      <c r="H30" s="46" t="s">
        <v>19</v>
      </c>
      <c r="I30" s="129">
        <v>46012</v>
      </c>
      <c r="J30" s="46"/>
      <c r="K30" s="46" t="s">
        <v>2087</v>
      </c>
      <c r="L30" s="123">
        <f>VLOOKUP($C30&amp;$E30,'Updated SES'!A:N,14,0)</f>
        <v>55.459200000000003</v>
      </c>
      <c r="M30" s="124" t="e">
        <f>VLOOKUP($K30,'Genre Penetration'!A:B,2,0)*VLOOKUP($C30&amp;$E30,'Updated SES'!A:I,9,0)</f>
        <v>#N/A</v>
      </c>
      <c r="N30" s="124" t="e">
        <f>VLOOKUP(K:K,'Genre Penetration'!A:C,3,0)*VLOOKUP($C30&amp;$E30,'Updated SES'!A:J,10,0)</f>
        <v>#N/A</v>
      </c>
      <c r="O30" s="124">
        <f>VLOOKUP($B30,'Language Penetration'!$B$1:$BE$14,MATCH('Compile data Working'!$H207,'Language Penetration'!$B$1:$BE$1,0),0)</f>
        <v>0.6</v>
      </c>
      <c r="P30" s="124" t="str">
        <f ca="1">IF(ISBLANK(J30),RANDBETWEEN(1,2)&amp;"%",IF(J30=1,RANDBETWEEN(35,40)&amp;"%",IF(J30=2,RANDBETWEEN(30,35)&amp;"%",IF(J30=3,RANDBETWEEN(25,30)&amp;"%",IF(J30=4,RANDBETWEEN(20,25)&amp;"%",IF(J30=5,RANDBETWEEN(15,20)&amp;"%",IF(J30=6,RANDBETWEEN(10,15)&amp;"%",IF(J30=7,RANDBETWEEN(8,10)&amp;"%",IF(J30=8,RANDBETWEEN(6,8)&amp;"%",IF(J30=9,RANDBETWEEN(4,6)&amp;"%",IF(J30=10,RANDBETWEEN(2,4)&amp;"%","")))))))))))</f>
        <v>2%</v>
      </c>
      <c r="Q30" s="123" t="e">
        <f ca="1">IFERROR(L30*(M30+N30)*O30*P30,RANDBETWEEN(1,2)%*L30*(M30+N30)*O30)</f>
        <v>#N/A</v>
      </c>
      <c r="R30" s="125">
        <f>VLOOKUP(D:D,ranking!W:X,2,0)</f>
        <v>0.6</v>
      </c>
      <c r="S30" s="126" t="e">
        <f ca="1">R30*Q30</f>
        <v>#N/A</v>
      </c>
      <c r="T30" s="123">
        <v>4.0368456990667996</v>
      </c>
    </row>
    <row r="31" spans="1:20" x14ac:dyDescent="0.25">
      <c r="A31" s="98" t="s">
        <v>2002</v>
      </c>
      <c r="B31" s="98" t="s">
        <v>85</v>
      </c>
      <c r="C31" s="46" t="s">
        <v>906</v>
      </c>
      <c r="D31" s="46" t="s">
        <v>1012</v>
      </c>
      <c r="E31" s="46" t="s">
        <v>211</v>
      </c>
      <c r="F31" s="46" t="s">
        <v>215</v>
      </c>
      <c r="G31" s="46" t="s">
        <v>1947</v>
      </c>
      <c r="H31" s="46" t="s">
        <v>20</v>
      </c>
      <c r="I31" s="129">
        <v>46158</v>
      </c>
      <c r="J31" s="98"/>
      <c r="K31" s="46" t="s">
        <v>216</v>
      </c>
      <c r="L31" s="123">
        <f>VLOOKUP($C31&amp;$E31,'Updated SES'!A:N,14,0)</f>
        <v>127.11702000000001</v>
      </c>
      <c r="M31" s="124">
        <f>VLOOKUP($K31,'Genre Penetration'!A:B,2,0)*VLOOKUP($C31&amp;$E31,'Updated SES'!A:I,9,0)</f>
        <v>0.33499999999999996</v>
      </c>
      <c r="N31" s="124">
        <f>VLOOKUP(K:K,'Genre Penetration'!A:C,3,0)*VLOOKUP($C31&amp;$E31,'Updated SES'!A:J,10,0)</f>
        <v>0.16499999999999998</v>
      </c>
      <c r="O31" s="124">
        <f>VLOOKUP($B31,'Language Penetration'!$B$1:$BE$14,MATCH('Compile data Working'!$H206,'Language Penetration'!$B$1:$BE$1,0),0)</f>
        <v>0.6</v>
      </c>
      <c r="P31" s="124" t="str">
        <f ca="1">IF(ISBLANK(J31),RANDBETWEEN(1,2)&amp;"%",IF(J31=1,RANDBETWEEN(35,40)&amp;"%",IF(J31=2,RANDBETWEEN(30,35)&amp;"%",IF(J31=3,RANDBETWEEN(25,30)&amp;"%",IF(J31=4,RANDBETWEEN(20,25)&amp;"%",IF(J31=5,RANDBETWEEN(15,20)&amp;"%",IF(J31=6,RANDBETWEEN(10,15)&amp;"%",IF(J31=7,RANDBETWEEN(8,10)&amp;"%",IF(J31=8,RANDBETWEEN(6,8)&amp;"%",IF(J31=9,RANDBETWEEN(4,6)&amp;"%",IF(J31=10,RANDBETWEEN(2,4)&amp;"%","")))))))))))</f>
        <v>2%</v>
      </c>
      <c r="Q31" s="123">
        <f ca="1">IFERROR(L31*(M31+N31)*O31*P31,RANDBETWEEN(1,2)%*L31*(M31+N31)*O31)</f>
        <v>0.76270212000000004</v>
      </c>
      <c r="R31" s="125">
        <f>VLOOKUP(D:D,ranking!W:X,2,0)</f>
        <v>0.6</v>
      </c>
      <c r="S31" s="126">
        <f ca="1">R31*Q31</f>
        <v>0.45762127200000002</v>
      </c>
      <c r="T31" s="123">
        <v>4.030968549631714</v>
      </c>
    </row>
    <row r="32" spans="1:20" x14ac:dyDescent="0.25">
      <c r="A32" s="98" t="s">
        <v>2002</v>
      </c>
      <c r="B32" s="98" t="s">
        <v>85</v>
      </c>
      <c r="C32" s="46" t="s">
        <v>150</v>
      </c>
      <c r="D32" s="46" t="s">
        <v>1012</v>
      </c>
      <c r="E32" s="46" t="s">
        <v>211</v>
      </c>
      <c r="F32" s="46" t="s">
        <v>215</v>
      </c>
      <c r="G32" s="46" t="s">
        <v>1984</v>
      </c>
      <c r="H32" s="46" t="s">
        <v>23</v>
      </c>
      <c r="I32" s="129">
        <v>46164</v>
      </c>
      <c r="J32" s="98"/>
      <c r="K32" s="46" t="s">
        <v>449</v>
      </c>
      <c r="L32" s="123">
        <f>VLOOKUP($C32&amp;$E32,'Updated SES'!A:N,14,0)</f>
        <v>60.152000000000001</v>
      </c>
      <c r="M32" s="124">
        <f>VLOOKUP($K32,'Genre Penetration'!A:B,2,0)*VLOOKUP($C32&amp;$E32,'Updated SES'!A:I,9,0)</f>
        <v>0.3705</v>
      </c>
      <c r="N32" s="124">
        <f>VLOOKUP(K:K,'Genre Penetration'!A:C,3,0)*VLOOKUP($C32&amp;$E32,'Updated SES'!A:J,10,0)</f>
        <v>0.15049999999999999</v>
      </c>
      <c r="O32" s="124">
        <v>8.0000000000000002E-3</v>
      </c>
      <c r="P32" s="124" t="str">
        <f ca="1">IF(ISBLANK(J32),RANDBETWEEN(1,2)&amp;"%",IF(J32=1,RANDBETWEEN(35,40)&amp;"%",IF(J32=2,RANDBETWEEN(30,35)&amp;"%",IF(J32=3,RANDBETWEEN(25,30)&amp;"%",IF(J32=4,RANDBETWEEN(20,25)&amp;"%",IF(J32=5,RANDBETWEEN(15,20)&amp;"%",IF(J32=6,RANDBETWEEN(10,15)&amp;"%",IF(J32=7,RANDBETWEEN(8,10)&amp;"%",IF(J32=8,RANDBETWEEN(6,8)&amp;"%",IF(J32=9,RANDBETWEEN(4,6)&amp;"%",IF(J32=10,RANDBETWEEN(2,4)&amp;"%","")))))))))))</f>
        <v>2%</v>
      </c>
      <c r="Q32" s="123">
        <f ca="1">IFERROR(L32*(M32+N32)*O32*P32,RANDBETWEEN(1,2)%*L32*(M32+N32)*O32)</f>
        <v>5.0142707200000001E-3</v>
      </c>
      <c r="R32" s="125">
        <f>VLOOKUP(D:D,ranking!W:X,2,0)</f>
        <v>0.6</v>
      </c>
      <c r="S32" s="126">
        <f ca="1">R32*Q32</f>
        <v>3.0085624319999998E-3</v>
      </c>
      <c r="T32" s="123">
        <v>3.9770861345009663</v>
      </c>
    </row>
    <row r="33" spans="1:20" x14ac:dyDescent="0.25">
      <c r="A33" s="98" t="s">
        <v>2002</v>
      </c>
      <c r="B33" s="98" t="s">
        <v>85</v>
      </c>
      <c r="C33" s="46" t="s">
        <v>123</v>
      </c>
      <c r="D33" s="98" t="s">
        <v>434</v>
      </c>
      <c r="E33" s="46" t="s">
        <v>211</v>
      </c>
      <c r="F33" s="46" t="s">
        <v>213</v>
      </c>
      <c r="G33" s="46" t="s">
        <v>1989</v>
      </c>
      <c r="H33" s="46" t="s">
        <v>21</v>
      </c>
      <c r="I33" s="129">
        <v>46164</v>
      </c>
      <c r="J33" s="98"/>
      <c r="K33" s="46" t="s">
        <v>138</v>
      </c>
      <c r="L33" s="123">
        <f>VLOOKUP($C33&amp;$E33,'Updated SES'!A:N,14,0)</f>
        <v>55.459200000000003</v>
      </c>
      <c r="M33" s="124">
        <f>VLOOKUP($K33,'Genre Penetration'!A:B,2,0)*VLOOKUP($C33&amp;$E33,'Updated SES'!A:I,9,0)</f>
        <v>0.23029999999999998</v>
      </c>
      <c r="N33" s="124">
        <f>VLOOKUP(K:K,'Genre Penetration'!A:C,3,0)*VLOOKUP($C33&amp;$E33,'Updated SES'!A:J,10,0)</f>
        <v>0.27030000000000004</v>
      </c>
      <c r="O33" s="124">
        <v>7.0000000000000001E-3</v>
      </c>
      <c r="P33" s="124" t="str">
        <f ca="1">IF(ISBLANK(J33),RANDBETWEEN(1,2)&amp;"%",IF(J33=1,RANDBETWEEN(35,40)&amp;"%",IF(J33=2,RANDBETWEEN(30,35)&amp;"%",IF(J33=3,RANDBETWEEN(25,30)&amp;"%",IF(J33=4,RANDBETWEEN(20,25)&amp;"%",IF(J33=5,RANDBETWEEN(15,20)&amp;"%",IF(J33=6,RANDBETWEEN(10,15)&amp;"%",IF(J33=7,RANDBETWEEN(8,10)&amp;"%",IF(J33=8,RANDBETWEEN(6,8)&amp;"%",IF(J33=9,RANDBETWEEN(4,6)&amp;"%",IF(J33=10,RANDBETWEEN(2,4)&amp;"%","")))))))))))</f>
        <v>1%</v>
      </c>
      <c r="Q33" s="123">
        <f ca="1">IFERROR(L33*(M33+N33)*O33*P33,RANDBETWEEN(1,2)%*L33*(M33+N33)*O33)</f>
        <v>1.9434012864000003E-3</v>
      </c>
      <c r="R33" s="125">
        <f>VLOOKUP(D:D,ranking!W:X,2,0)</f>
        <v>0.7</v>
      </c>
      <c r="S33" s="126">
        <f ca="1">R33*Q33</f>
        <v>1.36038090048E-3</v>
      </c>
      <c r="T33" s="123">
        <v>3.9408519860079401</v>
      </c>
    </row>
    <row r="34" spans="1:20" x14ac:dyDescent="0.25">
      <c r="A34" s="98" t="s">
        <v>2002</v>
      </c>
      <c r="B34" s="98" t="s">
        <v>85</v>
      </c>
      <c r="C34" s="46" t="s">
        <v>123</v>
      </c>
      <c r="D34" s="46" t="s">
        <v>1012</v>
      </c>
      <c r="E34" s="46" t="s">
        <v>211</v>
      </c>
      <c r="F34" s="46" t="s">
        <v>215</v>
      </c>
      <c r="G34" s="46" t="s">
        <v>1954</v>
      </c>
      <c r="H34" s="46" t="s">
        <v>20</v>
      </c>
      <c r="I34" s="129">
        <v>46162</v>
      </c>
      <c r="J34" s="98"/>
      <c r="K34" s="46" t="s">
        <v>216</v>
      </c>
      <c r="L34" s="123">
        <f>VLOOKUP($C34&amp;$E34,'Updated SES'!A:N,14,0)</f>
        <v>55.459200000000003</v>
      </c>
      <c r="M34" s="124">
        <f>VLOOKUP($K34,'Genre Penetration'!A:B,2,0)*VLOOKUP($C34&amp;$E34,'Updated SES'!A:I,9,0)</f>
        <v>0.245</v>
      </c>
      <c r="N34" s="124">
        <f>VLOOKUP(K:K,'Genre Penetration'!A:C,3,0)*VLOOKUP($C34&amp;$E34,'Updated SES'!A:J,10,0)</f>
        <v>0.255</v>
      </c>
      <c r="O34" s="124" t="e">
        <f>VLOOKUP($B34,'Language Penetration'!$B$1:$BE$14,MATCH('Compile data Working'!$H215,'Language Penetration'!$B$1:$BE$1,0),0)</f>
        <v>#N/A</v>
      </c>
      <c r="P34" s="124" t="str">
        <f ca="1">IF(ISBLANK(J34),RANDBETWEEN(1,2)&amp;"%",IF(J34=1,RANDBETWEEN(35,40)&amp;"%",IF(J34=2,RANDBETWEEN(30,35)&amp;"%",IF(J34=3,RANDBETWEEN(25,30)&amp;"%",IF(J34=4,RANDBETWEEN(20,25)&amp;"%",IF(J34=5,RANDBETWEEN(15,20)&amp;"%",IF(J34=6,RANDBETWEEN(10,15)&amp;"%",IF(J34=7,RANDBETWEEN(8,10)&amp;"%",IF(J34=8,RANDBETWEEN(6,8)&amp;"%",IF(J34=9,RANDBETWEEN(4,6)&amp;"%",IF(J34=10,RANDBETWEEN(2,4)&amp;"%","")))))))))))</f>
        <v>2%</v>
      </c>
      <c r="Q34" s="123" t="e">
        <f ca="1">IFERROR(L34*(M34+N34)*O34*P34,RANDBETWEEN(1,2)%*L34*(M34+N34)*O34)</f>
        <v>#N/A</v>
      </c>
      <c r="R34" s="125">
        <f>VLOOKUP(D:D,ranking!W:X,2,0)</f>
        <v>0.6</v>
      </c>
      <c r="S34" s="126" t="e">
        <f ca="1">R34*Q34</f>
        <v>#N/A</v>
      </c>
      <c r="T34" s="123">
        <v>3.90976178477792</v>
      </c>
    </row>
    <row r="35" spans="1:20" x14ac:dyDescent="0.25">
      <c r="A35" s="98" t="s">
        <v>2002</v>
      </c>
      <c r="B35" s="98" t="s">
        <v>85</v>
      </c>
      <c r="C35" s="46" t="s">
        <v>123</v>
      </c>
      <c r="D35" s="46" t="s">
        <v>1012</v>
      </c>
      <c r="E35" s="46" t="s">
        <v>211</v>
      </c>
      <c r="F35" s="46" t="s">
        <v>215</v>
      </c>
      <c r="G35" s="46" t="s">
        <v>1956</v>
      </c>
      <c r="H35" s="46" t="s">
        <v>28</v>
      </c>
      <c r="I35" s="129">
        <v>46162</v>
      </c>
      <c r="J35" s="98">
        <v>1</v>
      </c>
      <c r="K35" s="46" t="s">
        <v>1862</v>
      </c>
      <c r="L35" s="123">
        <f>VLOOKUP($C35&amp;$E35,'Updated SES'!A:N,14,0)</f>
        <v>55.459200000000003</v>
      </c>
      <c r="M35" s="124">
        <f>VLOOKUP($K35,'Genre Penetration'!A:B,2,0)*VLOOKUP($C35&amp;$E35,'Updated SES'!A:I,9,0)</f>
        <v>0.19600000000000001</v>
      </c>
      <c r="N35" s="124">
        <f>VLOOKUP(K:K,'Genre Penetration'!A:C,3,0)*VLOOKUP($C35&amp;$E35,'Updated SES'!A:J,10,0)</f>
        <v>0.30599999999999999</v>
      </c>
      <c r="O35" s="124">
        <f>VLOOKUP($B35,'Language Penetration'!$B$1:$BE$14,MATCH('Compile data Working'!$H77,'Language Penetration'!$B$1:$BE$1,0),0)</f>
        <v>0.15</v>
      </c>
      <c r="P35" s="124" t="str">
        <f ca="1">IF(ISBLANK(J35),RANDBETWEEN(1,2)&amp;"%",IF(J35=1,RANDBETWEEN(35,40)&amp;"%",IF(J35=2,RANDBETWEEN(30,35)&amp;"%",IF(J35=3,RANDBETWEEN(25,30)&amp;"%",IF(J35=4,RANDBETWEEN(20,25)&amp;"%",IF(J35=5,RANDBETWEEN(15,20)&amp;"%",IF(J35=6,RANDBETWEEN(10,15)&amp;"%",IF(J35=7,RANDBETWEEN(8,10)&amp;"%",IF(J35=8,RANDBETWEEN(6,8)&amp;"%",IF(J35=9,RANDBETWEEN(4,6)&amp;"%",IF(J35=10,RANDBETWEEN(2,4)&amp;"%","")))))))))))</f>
        <v>37%</v>
      </c>
      <c r="Q35" s="123">
        <f ca="1">IFERROR(L35*(M35+N35)*O35*P35,RANDBETWEEN(1,2)%*L35*(M35+N35)*O35)</f>
        <v>1.5451487712</v>
      </c>
      <c r="R35" s="125">
        <f>VLOOKUP(D:D,ranking!W:X,2,0)</f>
        <v>0.6</v>
      </c>
      <c r="S35" s="126">
        <f ca="1">R35*Q35</f>
        <v>0.92708926272000003</v>
      </c>
      <c r="T35" s="123">
        <v>3.8858112293787652</v>
      </c>
    </row>
    <row r="36" spans="1:20" x14ac:dyDescent="0.25">
      <c r="A36" s="98" t="s">
        <v>2002</v>
      </c>
      <c r="B36" s="98" t="s">
        <v>85</v>
      </c>
      <c r="C36" s="46" t="s">
        <v>64</v>
      </c>
      <c r="D36" s="98" t="s">
        <v>434</v>
      </c>
      <c r="E36" s="46" t="s">
        <v>211</v>
      </c>
      <c r="F36" s="46" t="s">
        <v>213</v>
      </c>
      <c r="G36" s="46" t="s">
        <v>1946</v>
      </c>
      <c r="H36" s="46" t="s">
        <v>1998</v>
      </c>
      <c r="I36" s="129">
        <v>46158</v>
      </c>
      <c r="J36" s="98"/>
      <c r="K36" s="46" t="s">
        <v>216</v>
      </c>
      <c r="L36" s="123">
        <f>VLOOKUP($C36&amp;$E36,'Updated SES'!A:N,14,0)</f>
        <v>36.498239999999996</v>
      </c>
      <c r="M36" s="124">
        <f>VLOOKUP($K36,'Genre Penetration'!A:B,2,0)*VLOOKUP($C36&amp;$E36,'Updated SES'!A:I,9,0)</f>
        <v>0.26</v>
      </c>
      <c r="N36" s="124">
        <f>VLOOKUP(K:K,'Genre Penetration'!A:C,3,0)*VLOOKUP($C36&amp;$E36,'Updated SES'!A:J,10,0)</f>
        <v>0.24</v>
      </c>
      <c r="O36" s="124" t="e">
        <f>VLOOKUP($B36,'Language Penetration'!$B$1:$BE$14,MATCH('Compile data Working'!$H172,'Language Penetration'!$B$1:$BE$1,0),0)</f>
        <v>#N/A</v>
      </c>
      <c r="P36" s="124" t="str">
        <f ca="1">IF(ISBLANK(J36),RANDBETWEEN(1,2)&amp;"%",IF(J36=1,RANDBETWEEN(35,40)&amp;"%",IF(J36=2,RANDBETWEEN(30,35)&amp;"%",IF(J36=3,RANDBETWEEN(25,30)&amp;"%",IF(J36=4,RANDBETWEEN(20,25)&amp;"%",IF(J36=5,RANDBETWEEN(15,20)&amp;"%",IF(J36=6,RANDBETWEEN(10,15)&amp;"%",IF(J36=7,RANDBETWEEN(8,10)&amp;"%",IF(J36=8,RANDBETWEEN(6,8)&amp;"%",IF(J36=9,RANDBETWEEN(4,6)&amp;"%",IF(J36=10,RANDBETWEEN(2,4)&amp;"%","")))))))))))</f>
        <v>2%</v>
      </c>
      <c r="Q36" s="123" t="e">
        <f ca="1">IFERROR(L36*(M36+N36)*O36*P36,RANDBETWEEN(1,2)%*L36*(M36+N36)*O36)</f>
        <v>#N/A</v>
      </c>
      <c r="R36" s="125">
        <f>VLOOKUP(D:D,ranking!W:X,2,0)</f>
        <v>0.7</v>
      </c>
      <c r="S36" s="126" t="e">
        <f ca="1">R36*Q36</f>
        <v>#N/A</v>
      </c>
      <c r="T36" s="123">
        <v>3.8505974673999996</v>
      </c>
    </row>
    <row r="37" spans="1:20" x14ac:dyDescent="0.25">
      <c r="A37" s="98" t="s">
        <v>2002</v>
      </c>
      <c r="B37" s="98" t="s">
        <v>85</v>
      </c>
      <c r="C37" s="46" t="s">
        <v>906</v>
      </c>
      <c r="D37" s="46" t="s">
        <v>1012</v>
      </c>
      <c r="E37" s="46" t="s">
        <v>211</v>
      </c>
      <c r="F37" s="46" t="s">
        <v>215</v>
      </c>
      <c r="G37" s="53" t="s">
        <v>1964</v>
      </c>
      <c r="H37" s="46" t="s">
        <v>20</v>
      </c>
      <c r="I37" s="129">
        <v>46162</v>
      </c>
      <c r="J37" s="98"/>
      <c r="K37" s="46" t="s">
        <v>158</v>
      </c>
      <c r="L37" s="123">
        <f>VLOOKUP($C37&amp;$E37,'Updated SES'!A:N,14,0)</f>
        <v>127.11702000000001</v>
      </c>
      <c r="M37" s="124">
        <f>VLOOKUP($K37,'Genre Penetration'!A:B,2,0)*VLOOKUP($C37&amp;$E37,'Updated SES'!A:I,9,0)</f>
        <v>0.30149999999999999</v>
      </c>
      <c r="N37" s="124">
        <f>VLOOKUP(K:K,'Genre Penetration'!A:C,3,0)*VLOOKUP($C37&amp;$E37,'Updated SES'!A:J,10,0)</f>
        <v>0.18149999999999999</v>
      </c>
      <c r="O37" s="124">
        <f>VLOOKUP($B37,'Language Penetration'!$B$1:$BE$14,MATCH('Compile data Working'!$H118,'Language Penetration'!$B$1:$BE$1,0),0)</f>
        <v>0.6</v>
      </c>
      <c r="P37" s="124" t="str">
        <f ca="1">IF(ISBLANK(J37),RANDBETWEEN(1,2)&amp;"%",IF(J37=1,RANDBETWEEN(35,40)&amp;"%",IF(J37=2,RANDBETWEEN(30,35)&amp;"%",IF(J37=3,RANDBETWEEN(25,30)&amp;"%",IF(J37=4,RANDBETWEEN(20,25)&amp;"%",IF(J37=5,RANDBETWEEN(15,20)&amp;"%",IF(J37=6,RANDBETWEEN(10,15)&amp;"%",IF(J37=7,RANDBETWEEN(8,10)&amp;"%",IF(J37=8,RANDBETWEEN(6,8)&amp;"%",IF(J37=9,RANDBETWEEN(4,6)&amp;"%",IF(J37=10,RANDBETWEEN(2,4)&amp;"%","")))))))))))</f>
        <v>1%</v>
      </c>
      <c r="Q37" s="123">
        <f ca="1">IFERROR(L37*(M37+N37)*O37*P37,RANDBETWEEN(1,2)%*L37*(M37+N37)*O37)</f>
        <v>0.36838512396</v>
      </c>
      <c r="R37" s="125">
        <f>VLOOKUP(D:D,ranking!W:X,2,0)</f>
        <v>0.6</v>
      </c>
      <c r="S37" s="126">
        <f ca="1">R37*Q37</f>
        <v>0.221031074376</v>
      </c>
      <c r="T37" s="123">
        <v>3.8324785477671601</v>
      </c>
    </row>
    <row r="38" spans="1:20" x14ac:dyDescent="0.25">
      <c r="A38" s="98" t="s">
        <v>2002</v>
      </c>
      <c r="B38" s="98" t="s">
        <v>85</v>
      </c>
      <c r="C38" s="46" t="s">
        <v>64</v>
      </c>
      <c r="D38" s="98" t="s">
        <v>434</v>
      </c>
      <c r="E38" s="46" t="s">
        <v>211</v>
      </c>
      <c r="F38" s="46" t="s">
        <v>213</v>
      </c>
      <c r="G38" s="46" t="s">
        <v>1955</v>
      </c>
      <c r="H38" s="46" t="s">
        <v>19</v>
      </c>
      <c r="I38" s="129">
        <v>46162</v>
      </c>
      <c r="J38" s="98"/>
      <c r="K38" s="46" t="s">
        <v>138</v>
      </c>
      <c r="L38" s="123">
        <f>VLOOKUP($C38&amp;$E38,'Updated SES'!A:N,14,0)</f>
        <v>36.498239999999996</v>
      </c>
      <c r="M38" s="124">
        <f>VLOOKUP($K38,'Genre Penetration'!A:B,2,0)*VLOOKUP($C38&amp;$E38,'Updated SES'!A:I,9,0)</f>
        <v>0.24440000000000001</v>
      </c>
      <c r="N38" s="124">
        <f>VLOOKUP(K:K,'Genre Penetration'!A:C,3,0)*VLOOKUP($C38&amp;$E38,'Updated SES'!A:J,10,0)</f>
        <v>0.25440000000000002</v>
      </c>
      <c r="O38" s="124">
        <f>VLOOKUP($B38,'Language Penetration'!$B$1:$BE$14,MATCH('Compile data Working'!$H218,'Language Penetration'!$B$1:$BE$1,0),0)</f>
        <v>0.6</v>
      </c>
      <c r="P38" s="124" t="str">
        <f ca="1">IF(ISBLANK(J38),RANDBETWEEN(1,2)&amp;"%",IF(J38=1,RANDBETWEEN(35,40)&amp;"%",IF(J38=2,RANDBETWEEN(30,35)&amp;"%",IF(J38=3,RANDBETWEEN(25,30)&amp;"%",IF(J38=4,RANDBETWEEN(20,25)&amp;"%",IF(J38=5,RANDBETWEEN(15,20)&amp;"%",IF(J38=6,RANDBETWEEN(10,15)&amp;"%",IF(J38=7,RANDBETWEEN(8,10)&amp;"%",IF(J38=8,RANDBETWEEN(6,8)&amp;"%",IF(J38=9,RANDBETWEEN(4,6)&amp;"%",IF(J38=10,RANDBETWEEN(2,4)&amp;"%","")))))))))))</f>
        <v>2%</v>
      </c>
      <c r="Q38" s="123">
        <f ca="1">IFERROR(L38*(M38+N38)*O38*P38,RANDBETWEEN(1,2)%*L38*(M38+N38)*O38)</f>
        <v>0.21846386534399997</v>
      </c>
      <c r="R38" s="125">
        <f>VLOOKUP(D:D,ranking!W:X,2,0)</f>
        <v>0.7</v>
      </c>
      <c r="S38" s="126">
        <f ca="1">R38*Q38</f>
        <v>0.15292470574079997</v>
      </c>
      <c r="T38" s="123">
        <v>3.7108039884999999</v>
      </c>
    </row>
    <row r="39" spans="1:20" x14ac:dyDescent="0.25">
      <c r="A39" s="98" t="s">
        <v>1057</v>
      </c>
      <c r="B39" s="98" t="s">
        <v>85</v>
      </c>
      <c r="C39" s="46" t="s">
        <v>123</v>
      </c>
      <c r="D39" s="98" t="s">
        <v>434</v>
      </c>
      <c r="E39" s="46" t="s">
        <v>211</v>
      </c>
      <c r="F39" s="46" t="s">
        <v>213</v>
      </c>
      <c r="G39" s="46" t="s">
        <v>1871</v>
      </c>
      <c r="H39" s="46" t="s">
        <v>21</v>
      </c>
      <c r="I39" s="129">
        <v>46157</v>
      </c>
      <c r="J39" s="46">
        <v>10</v>
      </c>
      <c r="K39" s="46" t="s">
        <v>381</v>
      </c>
      <c r="L39" s="123">
        <f>VLOOKUP($C39&amp;$E39,'Updated SES'!A:N,14,0)</f>
        <v>55.459200000000003</v>
      </c>
      <c r="M39" s="124">
        <f>VLOOKUP($K39,'Genre Penetration'!A:B,2,0)*VLOOKUP($C39&amp;$E39,'Updated SES'!A:I,9,0)</f>
        <v>0.26950000000000002</v>
      </c>
      <c r="N39" s="124">
        <f>VLOOKUP(K:K,'Genre Penetration'!A:C,3,0)*VLOOKUP($C39&amp;$E39,'Updated SES'!A:J,10,0)</f>
        <v>0.22950000000000001</v>
      </c>
      <c r="O39" s="124">
        <f>VLOOKUP($B39,'Language Penetration'!$B$1:$BE$14,MATCH('Compile data Working'!$H188,'Language Penetration'!$B$1:$BE$1,0),0)</f>
        <v>0.12</v>
      </c>
      <c r="P39" s="124" t="str">
        <f ca="1">IF(ISBLANK(J39),RANDBETWEEN(1,2)&amp;"%",IF(J39=1,RANDBETWEEN(35,40)&amp;"%",IF(J39=2,RANDBETWEEN(30,35)&amp;"%",IF(J39=3,RANDBETWEEN(25,30)&amp;"%",IF(J39=4,RANDBETWEEN(20,25)&amp;"%",IF(J39=5,RANDBETWEEN(15,20)&amp;"%",IF(J39=6,RANDBETWEEN(10,15)&amp;"%",IF(J39=7,RANDBETWEEN(8,10)&amp;"%",IF(J39=8,RANDBETWEEN(6,8)&amp;"%",IF(J39=9,RANDBETWEEN(4,6)&amp;"%",IF(J39=10,RANDBETWEEN(2,4)&amp;"%","")))))))))))</f>
        <v>2%</v>
      </c>
      <c r="Q39" s="123">
        <f ca="1">IFERROR(L39*(M39+N39)*O39*P39,RANDBETWEEN(1,2)%*L39*(M39+N39)*O39)</f>
        <v>6.6417937920000003E-2</v>
      </c>
      <c r="R39" s="125">
        <f>VLOOKUP(D:D,ranking!W:X,2,0)</f>
        <v>0.7</v>
      </c>
      <c r="S39" s="126">
        <f ca="1">R39*Q39</f>
        <v>4.6492556544000002E-2</v>
      </c>
      <c r="T39" s="123">
        <v>3.6981362840657921</v>
      </c>
    </row>
    <row r="40" spans="1:20" x14ac:dyDescent="0.25">
      <c r="A40" s="98" t="s">
        <v>2002</v>
      </c>
      <c r="B40" s="98" t="s">
        <v>85</v>
      </c>
      <c r="C40" s="46" t="s">
        <v>127</v>
      </c>
      <c r="D40" s="98" t="s">
        <v>434</v>
      </c>
      <c r="E40" s="46" t="s">
        <v>211</v>
      </c>
      <c r="F40" s="46" t="s">
        <v>213</v>
      </c>
      <c r="G40" s="53" t="s">
        <v>1976</v>
      </c>
      <c r="H40" s="46" t="s">
        <v>19</v>
      </c>
      <c r="I40" s="129">
        <v>46164</v>
      </c>
      <c r="J40" s="98"/>
      <c r="K40" s="46" t="s">
        <v>216</v>
      </c>
      <c r="L40" s="123">
        <f>VLOOKUP($C40&amp;$E40,'Updated SES'!A:N,14,0)</f>
        <v>15.819999999999999</v>
      </c>
      <c r="M40" s="124">
        <f>VLOOKUP($K40,'Genre Penetration'!A:B,2,0)*VLOOKUP($C40&amp;$E40,'Updated SES'!A:I,9,0)</f>
        <v>0.375</v>
      </c>
      <c r="N40" s="124">
        <f>VLOOKUP(K:K,'Genre Penetration'!A:C,3,0)*VLOOKUP($C40&amp;$E40,'Updated SES'!A:J,10,0)</f>
        <v>0.125</v>
      </c>
      <c r="O40" s="124" t="e">
        <f>VLOOKUP($B40,'Language Penetration'!$B$1:$BE$14,MATCH('Compile data Working'!#REF!,'Language Penetration'!$B$1:$BE$1,0),0)</f>
        <v>#REF!</v>
      </c>
      <c r="P40" s="124" t="str">
        <f ca="1">IF(ISBLANK(J40),RANDBETWEEN(1,2)&amp;"%",IF(J40=1,RANDBETWEEN(35,40)&amp;"%",IF(J40=2,RANDBETWEEN(30,35)&amp;"%",IF(J40=3,RANDBETWEEN(25,30)&amp;"%",IF(J40=4,RANDBETWEEN(20,25)&amp;"%",IF(J40=5,RANDBETWEEN(15,20)&amp;"%",IF(J40=6,RANDBETWEEN(10,15)&amp;"%",IF(J40=7,RANDBETWEEN(8,10)&amp;"%",IF(J40=8,RANDBETWEEN(6,8)&amp;"%",IF(J40=9,RANDBETWEEN(4,6)&amp;"%",IF(J40=10,RANDBETWEEN(2,4)&amp;"%","")))))))))))</f>
        <v>1%</v>
      </c>
      <c r="Q40" s="123" t="e">
        <f ca="1">IFERROR(L40*(M40+N40)*O40*P40,RANDBETWEEN(1,2)%*L40*(M40+N40)*O40)</f>
        <v>#REF!</v>
      </c>
      <c r="R40" s="125">
        <f>VLOOKUP(D:D,ranking!W:X,2,0)</f>
        <v>0.7</v>
      </c>
      <c r="S40" s="126" t="e">
        <f ca="1">R40*Q40</f>
        <v>#REF!</v>
      </c>
      <c r="T40" s="123">
        <v>3.6807982424736001</v>
      </c>
    </row>
    <row r="41" spans="1:20" x14ac:dyDescent="0.25">
      <c r="A41" s="98" t="s">
        <v>1057</v>
      </c>
      <c r="B41" s="98" t="s">
        <v>85</v>
      </c>
      <c r="C41" s="98" t="s">
        <v>150</v>
      </c>
      <c r="D41" s="46" t="s">
        <v>1012</v>
      </c>
      <c r="E41" s="119" t="s">
        <v>211</v>
      </c>
      <c r="F41" s="46" t="s">
        <v>215</v>
      </c>
      <c r="G41" s="119" t="s">
        <v>1797</v>
      </c>
      <c r="H41" s="119" t="s">
        <v>19</v>
      </c>
      <c r="I41" s="138">
        <v>46095</v>
      </c>
      <c r="J41" s="98">
        <v>10</v>
      </c>
      <c r="K41" s="119" t="s">
        <v>1929</v>
      </c>
      <c r="L41" s="123">
        <f>VLOOKUP($C41&amp;$E41,'Updated SES'!A:N,14,0)</f>
        <v>60.152000000000001</v>
      </c>
      <c r="M41" s="124" t="e">
        <f>VLOOKUP($K41,'Genre Penetration'!A:B,2,0)*VLOOKUP($C41&amp;$E41,'Updated SES'!A:I,9,0)</f>
        <v>#N/A</v>
      </c>
      <c r="N41" s="124" t="e">
        <f>VLOOKUP(K:K,'Genre Penetration'!A:C,3,0)*VLOOKUP($C41&amp;$E41,'Updated SES'!A:J,10,0)</f>
        <v>#N/A</v>
      </c>
      <c r="O41" s="124" t="e">
        <f>VLOOKUP($B41,'Language Penetration'!$B$1:$BE$14,MATCH('Compile data Working'!$H168,'Language Penetration'!$B$1:$BE$1,0),0)</f>
        <v>#N/A</v>
      </c>
      <c r="P41" s="124" t="str">
        <f ca="1">IF(ISBLANK(J41),RANDBETWEEN(1,2)&amp;"%",IF(J41=1,RANDBETWEEN(35,40)&amp;"%",IF(J41=2,RANDBETWEEN(30,35)&amp;"%",IF(J41=3,RANDBETWEEN(25,30)&amp;"%",IF(J41=4,RANDBETWEEN(20,25)&amp;"%",IF(J41=5,RANDBETWEEN(15,20)&amp;"%",IF(J41=6,RANDBETWEEN(10,15)&amp;"%",IF(J41=7,RANDBETWEEN(8,10)&amp;"%",IF(J41=8,RANDBETWEEN(6,8)&amp;"%",IF(J41=9,RANDBETWEEN(4,6)&amp;"%",IF(J41=10,RANDBETWEEN(2,4)&amp;"%","")))))))))))</f>
        <v>2%</v>
      </c>
      <c r="Q41" s="123" t="e">
        <f ca="1">IFERROR(L41*(M41+N41)*O41*P41,RANDBETWEEN(1,2)%*L41*(M41+N41)*O41)</f>
        <v>#N/A</v>
      </c>
      <c r="R41" s="125">
        <f>VLOOKUP(D:D,ranking!W:X,2,0)</f>
        <v>0.6</v>
      </c>
      <c r="S41" s="126" t="e">
        <f ca="1">R41*Q41</f>
        <v>#N/A</v>
      </c>
      <c r="T41" s="123">
        <v>3.6789046390777704</v>
      </c>
    </row>
    <row r="42" spans="1:20" x14ac:dyDescent="0.25">
      <c r="A42" s="98" t="s">
        <v>2002</v>
      </c>
      <c r="B42" s="98" t="s">
        <v>85</v>
      </c>
      <c r="C42" s="46" t="s">
        <v>64</v>
      </c>
      <c r="D42" s="98" t="s">
        <v>434</v>
      </c>
      <c r="E42" s="46" t="s">
        <v>211</v>
      </c>
      <c r="F42" s="46" t="s">
        <v>213</v>
      </c>
      <c r="G42" s="53" t="s">
        <v>1991</v>
      </c>
      <c r="H42" s="46" t="s">
        <v>29</v>
      </c>
      <c r="I42" s="129">
        <v>46164</v>
      </c>
      <c r="J42" s="98"/>
      <c r="K42" s="46" t="s">
        <v>216</v>
      </c>
      <c r="L42" s="123">
        <f>VLOOKUP($C42&amp;$E42,'Updated SES'!A:N,14,0)</f>
        <v>36.498239999999996</v>
      </c>
      <c r="M42" s="124">
        <f>VLOOKUP($K42,'Genre Penetration'!A:B,2,0)*VLOOKUP($C42&amp;$E42,'Updated SES'!A:I,9,0)</f>
        <v>0.26</v>
      </c>
      <c r="N42" s="124">
        <f>VLOOKUP(K:K,'Genre Penetration'!A:C,3,0)*VLOOKUP($C42&amp;$E42,'Updated SES'!A:J,10,0)</f>
        <v>0.24</v>
      </c>
      <c r="O42" s="124">
        <f>VLOOKUP($B42,'Language Penetration'!$B$1:$BE$14,MATCH('Compile data Working'!$H148,'Language Penetration'!$B$1:$BE$1,0),0)</f>
        <v>0.6</v>
      </c>
      <c r="P42" s="124" t="str">
        <f ca="1">IF(ISBLANK(J42),RANDBETWEEN(1,2)&amp;"%",IF(J42=1,RANDBETWEEN(35,40)&amp;"%",IF(J42=2,RANDBETWEEN(30,35)&amp;"%",IF(J42=3,RANDBETWEEN(25,30)&amp;"%",IF(J42=4,RANDBETWEEN(20,25)&amp;"%",IF(J42=5,RANDBETWEEN(15,20)&amp;"%",IF(J42=6,RANDBETWEEN(10,15)&amp;"%",IF(J42=7,RANDBETWEEN(8,10)&amp;"%",IF(J42=8,RANDBETWEEN(6,8)&amp;"%",IF(J42=9,RANDBETWEEN(4,6)&amp;"%",IF(J42=10,RANDBETWEEN(2,4)&amp;"%","")))))))))))</f>
        <v>2%</v>
      </c>
      <c r="Q42" s="123">
        <f ca="1">IFERROR(L42*(M42+N42)*O42*P42,RANDBETWEEN(1,2)%*L42*(M42+N42)*O42)</f>
        <v>0.21898943999999998</v>
      </c>
      <c r="R42" s="125">
        <f>VLOOKUP(D:D,ranking!W:X,2,0)</f>
        <v>0.7</v>
      </c>
      <c r="S42" s="126">
        <f ca="1">R42*Q42</f>
        <v>0.15329260799999997</v>
      </c>
      <c r="T42" s="123">
        <v>3.6709679852543999</v>
      </c>
    </row>
    <row r="43" spans="1:20" x14ac:dyDescent="0.25">
      <c r="A43" s="98" t="s">
        <v>1057</v>
      </c>
      <c r="B43" s="98" t="s">
        <v>85</v>
      </c>
      <c r="C43" s="98" t="s">
        <v>64</v>
      </c>
      <c r="D43" s="98" t="s">
        <v>434</v>
      </c>
      <c r="E43" s="119" t="s">
        <v>211</v>
      </c>
      <c r="F43" s="46" t="s">
        <v>213</v>
      </c>
      <c r="G43" s="98" t="s">
        <v>1872</v>
      </c>
      <c r="H43" s="98" t="s">
        <v>23</v>
      </c>
      <c r="I43" s="136">
        <v>46157</v>
      </c>
      <c r="J43" s="119">
        <v>9</v>
      </c>
      <c r="K43" s="98" t="s">
        <v>78</v>
      </c>
      <c r="L43" s="123">
        <f>VLOOKUP($C43&amp;$E43,'Updated SES'!A:N,14,0)</f>
        <v>36.498239999999996</v>
      </c>
      <c r="M43" s="124">
        <f>VLOOKUP($K43,'Genre Penetration'!A:B,2,0)*VLOOKUP($C43&amp;$E43,'Updated SES'!A:I,9,0)</f>
        <v>0.24959999999999999</v>
      </c>
      <c r="N43" s="124">
        <f>VLOOKUP(K:K,'Genre Penetration'!A:C,3,0)*VLOOKUP($C43&amp;$E43,'Updated SES'!A:J,10,0)</f>
        <v>0.24959999999999999</v>
      </c>
      <c r="O43" s="124">
        <f>VLOOKUP($B43,'Language Penetration'!$B$1:$BE$14,MATCH('Compile data Working'!$H99,'Language Penetration'!$B$1:$BE$1,0),0)</f>
        <v>0.2</v>
      </c>
      <c r="P43" s="124" t="str">
        <f ca="1">IF(ISBLANK(J43),RANDBETWEEN(1,2)&amp;"%",IF(J43=1,RANDBETWEEN(35,40)&amp;"%",IF(J43=2,RANDBETWEEN(30,35)&amp;"%",IF(J43=3,RANDBETWEEN(25,30)&amp;"%",IF(J43=4,RANDBETWEEN(20,25)&amp;"%",IF(J43=5,RANDBETWEEN(15,20)&amp;"%",IF(J43=6,RANDBETWEEN(10,15)&amp;"%",IF(J43=7,RANDBETWEEN(8,10)&amp;"%",IF(J43=8,RANDBETWEEN(6,8)&amp;"%",IF(J43=9,RANDBETWEEN(4,6)&amp;"%",IF(J43=10,RANDBETWEEN(2,4)&amp;"%","")))))))))))</f>
        <v>5%</v>
      </c>
      <c r="Q43" s="123">
        <f ca="1">IFERROR(L43*(M43+N43)*O43*P43,RANDBETWEEN(1,2)%*L43*(M43+N43)*O43)</f>
        <v>0.18219921408</v>
      </c>
      <c r="R43" s="125">
        <f>VLOOKUP(D:D,ranking!W:X,2,0)</f>
        <v>0.7</v>
      </c>
      <c r="S43" s="126">
        <f ca="1">R43*Q43</f>
        <v>0.12753944985599999</v>
      </c>
      <c r="T43" s="123">
        <v>3.661773354333389</v>
      </c>
    </row>
    <row r="44" spans="1:20" x14ac:dyDescent="0.25">
      <c r="A44" s="98" t="s">
        <v>2002</v>
      </c>
      <c r="B44" s="98" t="s">
        <v>85</v>
      </c>
      <c r="C44" s="46" t="s">
        <v>123</v>
      </c>
      <c r="D44" s="46" t="s">
        <v>1013</v>
      </c>
      <c r="E44" s="46" t="s">
        <v>211</v>
      </c>
      <c r="F44" s="46" t="s">
        <v>213</v>
      </c>
      <c r="G44" s="53" t="s">
        <v>1953</v>
      </c>
      <c r="H44" s="46" t="s">
        <v>20</v>
      </c>
      <c r="I44" s="129">
        <v>46161</v>
      </c>
      <c r="J44" s="98"/>
      <c r="K44" s="46" t="s">
        <v>158</v>
      </c>
      <c r="L44" s="123">
        <f>VLOOKUP($C44&amp;$E44,'Updated SES'!A:N,14,0)</f>
        <v>55.459200000000003</v>
      </c>
      <c r="M44" s="124">
        <f>VLOOKUP($K44,'Genre Penetration'!A:B,2,0)*VLOOKUP($C44&amp;$E44,'Updated SES'!A:I,9,0)</f>
        <v>0.2205</v>
      </c>
      <c r="N44" s="124">
        <f>VLOOKUP(K:K,'Genre Penetration'!A:C,3,0)*VLOOKUP($C44&amp;$E44,'Updated SES'!A:J,10,0)</f>
        <v>0.28050000000000003</v>
      </c>
      <c r="O44" s="124">
        <f>VLOOKUP($B44,'Language Penetration'!$B$1:$BE$14,MATCH('Compile data Working'!$H212,'Language Penetration'!$B$1:$BE$1,0),0)</f>
        <v>0.6</v>
      </c>
      <c r="P44" s="124" t="str">
        <f ca="1">IF(ISBLANK(J44),RANDBETWEEN(1,2)&amp;"%",IF(J44=1,RANDBETWEEN(35,40)&amp;"%",IF(J44=2,RANDBETWEEN(30,35)&amp;"%",IF(J44=3,RANDBETWEEN(25,30)&amp;"%",IF(J44=4,RANDBETWEEN(20,25)&amp;"%",IF(J44=5,RANDBETWEEN(15,20)&amp;"%",IF(J44=6,RANDBETWEEN(10,15)&amp;"%",IF(J44=7,RANDBETWEEN(8,10)&amp;"%",IF(J44=8,RANDBETWEEN(6,8)&amp;"%",IF(J44=9,RANDBETWEEN(4,6)&amp;"%",IF(J44=10,RANDBETWEEN(2,4)&amp;"%","")))))))))))</f>
        <v>1%</v>
      </c>
      <c r="Q44" s="123">
        <f ca="1">IFERROR(L44*(M44+N44)*O44*P44,RANDBETWEEN(1,2)%*L44*(M44+N44)*O44)</f>
        <v>0.16671035519999999</v>
      </c>
      <c r="R44" s="125">
        <f>VLOOKUP(D:D,ranking!W:X,2,0)</f>
        <v>0.8</v>
      </c>
      <c r="S44" s="126">
        <f ca="1">R44*Q44</f>
        <v>0.13336828415999999</v>
      </c>
      <c r="T44" s="123">
        <v>3.6310503863440382</v>
      </c>
    </row>
    <row r="45" spans="1:20" x14ac:dyDescent="0.25">
      <c r="A45" s="98" t="s">
        <v>2002</v>
      </c>
      <c r="B45" s="98" t="s">
        <v>85</v>
      </c>
      <c r="C45" s="46" t="s">
        <v>64</v>
      </c>
      <c r="D45" s="98" t="s">
        <v>434</v>
      </c>
      <c r="E45" s="46" t="s">
        <v>211</v>
      </c>
      <c r="F45" s="46" t="s">
        <v>213</v>
      </c>
      <c r="G45" s="53" t="s">
        <v>1990</v>
      </c>
      <c r="H45" s="46" t="s">
        <v>22</v>
      </c>
      <c r="I45" s="129">
        <v>46164</v>
      </c>
      <c r="J45" s="98"/>
      <c r="K45" s="46" t="s">
        <v>216</v>
      </c>
      <c r="L45" s="123">
        <f>VLOOKUP($C45&amp;$E45,'Updated SES'!A:N,14,0)</f>
        <v>36.498239999999996</v>
      </c>
      <c r="M45" s="124">
        <f>VLOOKUP($K45,'Genre Penetration'!A:B,2,0)*VLOOKUP($C45&amp;$E45,'Updated SES'!A:I,9,0)</f>
        <v>0.26</v>
      </c>
      <c r="N45" s="124">
        <f>VLOOKUP(K:K,'Genre Penetration'!A:C,3,0)*VLOOKUP($C45&amp;$E45,'Updated SES'!A:J,10,0)</f>
        <v>0.24</v>
      </c>
      <c r="O45" s="124" t="e">
        <f>VLOOKUP($B45,'Language Penetration'!$B$1:$BE$14,MATCH('Compile data Working'!$H39,'Language Penetration'!$B$1:$BE$1,0),0)</f>
        <v>#N/A</v>
      </c>
      <c r="P45" s="124" t="str">
        <f ca="1">IF(ISBLANK(J45),RANDBETWEEN(1,2)&amp;"%",IF(J45=1,RANDBETWEEN(35,40)&amp;"%",IF(J45=2,RANDBETWEEN(30,35)&amp;"%",IF(J45=3,RANDBETWEEN(25,30)&amp;"%",IF(J45=4,RANDBETWEEN(20,25)&amp;"%",IF(J45=5,RANDBETWEEN(15,20)&amp;"%",IF(J45=6,RANDBETWEEN(10,15)&amp;"%",IF(J45=7,RANDBETWEEN(8,10)&amp;"%",IF(J45=8,RANDBETWEEN(6,8)&amp;"%",IF(J45=9,RANDBETWEEN(4,6)&amp;"%",IF(J45=10,RANDBETWEEN(2,4)&amp;"%","")))))))))))</f>
        <v>2%</v>
      </c>
      <c r="Q45" s="123" t="e">
        <f ca="1">IFERROR(L45*(M45+N45)*O45*P45,RANDBETWEEN(1,2)%*L45*(M45+N45)*O45)</f>
        <v>#N/A</v>
      </c>
      <c r="R45" s="125">
        <f>VLOOKUP(D:D,ranking!W:X,2,0)</f>
        <v>0.7</v>
      </c>
      <c r="S45" s="126" t="e">
        <f ca="1">R45*Q45</f>
        <v>#N/A</v>
      </c>
      <c r="T45" s="123">
        <v>3.6132418995903999</v>
      </c>
    </row>
    <row r="46" spans="1:20" x14ac:dyDescent="0.25">
      <c r="A46" s="98" t="s">
        <v>2002</v>
      </c>
      <c r="B46" s="98" t="s">
        <v>85</v>
      </c>
      <c r="C46" s="46" t="s">
        <v>123</v>
      </c>
      <c r="D46" s="46" t="s">
        <v>1013</v>
      </c>
      <c r="E46" s="46" t="s">
        <v>211</v>
      </c>
      <c r="F46" s="46" t="s">
        <v>213</v>
      </c>
      <c r="G46" s="46" t="s">
        <v>1982</v>
      </c>
      <c r="H46" s="46" t="s">
        <v>28</v>
      </c>
      <c r="I46" s="129">
        <v>46164</v>
      </c>
      <c r="J46" s="98">
        <v>8</v>
      </c>
      <c r="K46" s="46" t="s">
        <v>124</v>
      </c>
      <c r="L46" s="123">
        <f>VLOOKUP($C46&amp;$E46,'Updated SES'!A:N,14,0)</f>
        <v>55.459200000000003</v>
      </c>
      <c r="M46" s="124">
        <f>VLOOKUP($K46,'Genre Penetration'!A:B,2,0)*VLOOKUP($C46&amp;$E46,'Updated SES'!A:I,9,0)</f>
        <v>0.2205</v>
      </c>
      <c r="N46" s="124">
        <f>VLOOKUP(K:K,'Genre Penetration'!A:C,3,0)*VLOOKUP($C46&amp;$E46,'Updated SES'!A:J,10,0)</f>
        <v>0.28050000000000003</v>
      </c>
      <c r="O46" s="124" t="e">
        <f>VLOOKUP($B46,'Language Penetration'!$B$1:$BE$14,MATCH('Compile data Working'!#REF!,'Language Penetration'!$B$1:$BE$1,0),0)</f>
        <v>#REF!</v>
      </c>
      <c r="P46" s="124" t="str">
        <f ca="1">IF(ISBLANK(J46),RANDBETWEEN(1,2)&amp;"%",IF(J46=1,RANDBETWEEN(35,40)&amp;"%",IF(J46=2,RANDBETWEEN(30,35)&amp;"%",IF(J46=3,RANDBETWEEN(25,30)&amp;"%",IF(J46=4,RANDBETWEEN(20,25)&amp;"%",IF(J46=5,RANDBETWEEN(15,20)&amp;"%",IF(J46=6,RANDBETWEEN(10,15)&amp;"%",IF(J46=7,RANDBETWEEN(8,10)&amp;"%",IF(J46=8,RANDBETWEEN(6,8)&amp;"%",IF(J46=9,RANDBETWEEN(4,6)&amp;"%",IF(J46=10,RANDBETWEEN(2,4)&amp;"%","")))))))))))</f>
        <v>6%</v>
      </c>
      <c r="Q46" s="123" t="e">
        <f ca="1">IFERROR(L46*(M46+N46)*O46*P46,RANDBETWEEN(1,2)%*L46*(M46+N46)*O46)</f>
        <v>#REF!</v>
      </c>
      <c r="R46" s="125">
        <f>VLOOKUP(D:D,ranking!W:X,2,0)</f>
        <v>0.8</v>
      </c>
      <c r="S46" s="126" t="e">
        <f ca="1">R46*Q46</f>
        <v>#REF!</v>
      </c>
      <c r="T46" s="123">
        <v>3.6103423115008</v>
      </c>
    </row>
    <row r="47" spans="1:20" x14ac:dyDescent="0.25">
      <c r="A47" s="98" t="s">
        <v>2002</v>
      </c>
      <c r="B47" s="98" t="s">
        <v>85</v>
      </c>
      <c r="C47" s="46" t="s">
        <v>125</v>
      </c>
      <c r="D47" s="98" t="s">
        <v>434</v>
      </c>
      <c r="E47" s="46" t="s">
        <v>211</v>
      </c>
      <c r="F47" s="46" t="s">
        <v>213</v>
      </c>
      <c r="G47" s="46" t="s">
        <v>1972</v>
      </c>
      <c r="H47" s="46" t="s">
        <v>26</v>
      </c>
      <c r="I47" s="129">
        <v>46163</v>
      </c>
      <c r="J47" s="98"/>
      <c r="K47" s="46" t="s">
        <v>145</v>
      </c>
      <c r="L47" s="123">
        <f>VLOOKUP($C47&amp;$E47,'Updated SES'!A:N,14,0)</f>
        <v>8.7000000000000008E-2</v>
      </c>
      <c r="M47" s="124">
        <f>VLOOKUP($K47,'Genre Penetration'!A:B,2,0)*VLOOKUP($C47&amp;$E47,'Updated SES'!A:I,9,0)</f>
        <v>0.25900000000000001</v>
      </c>
      <c r="N47" s="124">
        <f>VLOOKUP(K:K,'Genre Penetration'!A:C,3,0)*VLOOKUP($C47&amp;$E47,'Updated SES'!A:J,10,0)</f>
        <v>0.189</v>
      </c>
      <c r="O47" s="124">
        <f>VLOOKUP($B47,'Language Penetration'!$B$1:$BE$14,MATCH('Compile data Working'!$H175,'Language Penetration'!$B$1:$BE$1,0),0)</f>
        <v>0.6</v>
      </c>
      <c r="P47" s="124" t="str">
        <f ca="1">IF(ISBLANK(J47),RANDBETWEEN(1,2)&amp;"%",IF(J47=1,RANDBETWEEN(35,40)&amp;"%",IF(J47=2,RANDBETWEEN(30,35)&amp;"%",IF(J47=3,RANDBETWEEN(25,30)&amp;"%",IF(J47=4,RANDBETWEEN(20,25)&amp;"%",IF(J47=5,RANDBETWEEN(15,20)&amp;"%",IF(J47=6,RANDBETWEEN(10,15)&amp;"%",IF(J47=7,RANDBETWEEN(8,10)&amp;"%",IF(J47=8,RANDBETWEEN(6,8)&amp;"%",IF(J47=9,RANDBETWEEN(4,6)&amp;"%",IF(J47=10,RANDBETWEEN(2,4)&amp;"%","")))))))))))</f>
        <v>1%</v>
      </c>
      <c r="Q47" s="123">
        <f ca="1">IFERROR(L47*(M47+N47)*O47*P47,RANDBETWEEN(1,2)%*L47*(M47+N47)*O47)</f>
        <v>2.3385600000000003E-4</v>
      </c>
      <c r="R47" s="125">
        <f>VLOOKUP(D:D,ranking!W:X,2,0)</f>
        <v>0.7</v>
      </c>
      <c r="S47" s="126">
        <f ca="1">R47*Q47</f>
        <v>1.6369920000000002E-4</v>
      </c>
      <c r="T47" s="123">
        <v>3.5947332509347074</v>
      </c>
    </row>
    <row r="48" spans="1:20" x14ac:dyDescent="0.25">
      <c r="A48" s="98" t="s">
        <v>2002</v>
      </c>
      <c r="B48" s="98" t="s">
        <v>85</v>
      </c>
      <c r="C48" s="46" t="s">
        <v>123</v>
      </c>
      <c r="D48" s="46" t="s">
        <v>437</v>
      </c>
      <c r="E48" s="46" t="s">
        <v>211</v>
      </c>
      <c r="F48" s="46" t="s">
        <v>451</v>
      </c>
      <c r="G48" s="46" t="s">
        <v>1948</v>
      </c>
      <c r="H48" s="46" t="s">
        <v>20</v>
      </c>
      <c r="I48" s="129">
        <v>46158</v>
      </c>
      <c r="J48" s="98"/>
      <c r="K48" s="46" t="s">
        <v>902</v>
      </c>
      <c r="L48" s="123">
        <f>VLOOKUP($C48&amp;$E48,'Updated SES'!A:N,14,0)</f>
        <v>55.459200000000003</v>
      </c>
      <c r="M48" s="124">
        <f>VLOOKUP($K48,'Genre Penetration'!A:B,2,0)*VLOOKUP($C48&amp;$E48,'Updated SES'!A:I,9,0)</f>
        <v>0.36749999999999999</v>
      </c>
      <c r="N48" s="124">
        <f>VLOOKUP(K:K,'Genre Penetration'!A:C,3,0)*VLOOKUP($C48&amp;$E48,'Updated SES'!A:J,10,0)</f>
        <v>0.1275</v>
      </c>
      <c r="O48" s="124" t="e">
        <f>VLOOKUP($B48,'Language Penetration'!$B$1:$BE$14,MATCH('Compile data Working'!#REF!,'Language Penetration'!$B$1:$BE$1,0),0)</f>
        <v>#REF!</v>
      </c>
      <c r="P48" s="124" t="str">
        <f ca="1">IF(ISBLANK(J48),RANDBETWEEN(1,2)&amp;"%",IF(J48=1,RANDBETWEEN(35,40)&amp;"%",IF(J48=2,RANDBETWEEN(30,35)&amp;"%",IF(J48=3,RANDBETWEEN(25,30)&amp;"%",IF(J48=4,RANDBETWEEN(20,25)&amp;"%",IF(J48=5,RANDBETWEEN(15,20)&amp;"%",IF(J48=6,RANDBETWEEN(10,15)&amp;"%",IF(J48=7,RANDBETWEEN(8,10)&amp;"%",IF(J48=8,RANDBETWEEN(6,8)&amp;"%",IF(J48=9,RANDBETWEEN(4,6)&amp;"%",IF(J48=10,RANDBETWEEN(2,4)&amp;"%","")))))))))))</f>
        <v>1%</v>
      </c>
      <c r="Q48" s="123" t="e">
        <f ca="1">IFERROR(L48*(M48+N48)*O48*P48,RANDBETWEEN(1,2)%*L48*(M48+N48)*O48)</f>
        <v>#REF!</v>
      </c>
      <c r="R48" s="125">
        <f>VLOOKUP(D:D,ranking!W:X,2,0)</f>
        <v>0.1</v>
      </c>
      <c r="S48" s="126" t="e">
        <f ca="1">R48*Q48</f>
        <v>#REF!</v>
      </c>
      <c r="T48" s="123">
        <v>3.5899738767974401</v>
      </c>
    </row>
    <row r="49" spans="1:20" x14ac:dyDescent="0.25">
      <c r="A49" s="98" t="s">
        <v>2002</v>
      </c>
      <c r="B49" s="98" t="s">
        <v>85</v>
      </c>
      <c r="C49" s="46" t="s">
        <v>123</v>
      </c>
      <c r="D49" s="46" t="s">
        <v>1013</v>
      </c>
      <c r="E49" s="46" t="s">
        <v>211</v>
      </c>
      <c r="F49" s="46" t="s">
        <v>213</v>
      </c>
      <c r="G49" s="46" t="s">
        <v>1952</v>
      </c>
      <c r="H49" s="46" t="s">
        <v>28</v>
      </c>
      <c r="I49" s="129">
        <v>46161</v>
      </c>
      <c r="J49" s="98"/>
      <c r="K49" s="46" t="s">
        <v>158</v>
      </c>
      <c r="L49" s="123">
        <f>VLOOKUP($C49&amp;$E49,'Updated SES'!A:N,14,0)</f>
        <v>55.459200000000003</v>
      </c>
      <c r="M49" s="124">
        <f>VLOOKUP($K49,'Genre Penetration'!A:B,2,0)*VLOOKUP($C49&amp;$E49,'Updated SES'!A:I,9,0)</f>
        <v>0.2205</v>
      </c>
      <c r="N49" s="124">
        <f>VLOOKUP(K:K,'Genre Penetration'!A:C,3,0)*VLOOKUP($C49&amp;$E49,'Updated SES'!A:J,10,0)</f>
        <v>0.28050000000000003</v>
      </c>
      <c r="O49" s="124" t="e">
        <f>VLOOKUP($B49,'Language Penetration'!$B$1:$BE$14,MATCH('Compile data Working'!$H211,'Language Penetration'!$B$1:$BE$1,0),0)</f>
        <v>#N/A</v>
      </c>
      <c r="P49" s="124" t="str">
        <f ca="1">IF(ISBLANK(J49),RANDBETWEEN(1,2)&amp;"%",IF(J49=1,RANDBETWEEN(35,40)&amp;"%",IF(J49=2,RANDBETWEEN(30,35)&amp;"%",IF(J49=3,RANDBETWEEN(25,30)&amp;"%",IF(J49=4,RANDBETWEEN(20,25)&amp;"%",IF(J49=5,RANDBETWEEN(15,20)&amp;"%",IF(J49=6,RANDBETWEEN(10,15)&amp;"%",IF(J49=7,RANDBETWEEN(8,10)&amp;"%",IF(J49=8,RANDBETWEEN(6,8)&amp;"%",IF(J49=9,RANDBETWEEN(4,6)&amp;"%",IF(J49=10,RANDBETWEEN(2,4)&amp;"%","")))))))))))</f>
        <v>1%</v>
      </c>
      <c r="Q49" s="123" t="e">
        <f ca="1">IFERROR(L49*(M49+N49)*O49*P49,RANDBETWEEN(1,2)%*L49*(M49+N49)*O49)</f>
        <v>#N/A</v>
      </c>
      <c r="R49" s="125">
        <f>VLOOKUP(D:D,ranking!W:X,2,0)</f>
        <v>0.8</v>
      </c>
      <c r="S49" s="126" t="e">
        <f ca="1">R49*Q49</f>
        <v>#N/A</v>
      </c>
      <c r="T49" s="123">
        <v>3.5887430499145676</v>
      </c>
    </row>
    <row r="50" spans="1:20" x14ac:dyDescent="0.25">
      <c r="A50" s="98" t="s">
        <v>2002</v>
      </c>
      <c r="B50" s="98" t="s">
        <v>85</v>
      </c>
      <c r="C50" s="46" t="s">
        <v>64</v>
      </c>
      <c r="D50" s="98" t="s">
        <v>434</v>
      </c>
      <c r="E50" s="46" t="s">
        <v>211</v>
      </c>
      <c r="F50" s="46" t="s">
        <v>213</v>
      </c>
      <c r="G50" s="53" t="s">
        <v>1957</v>
      </c>
      <c r="H50" s="46" t="s">
        <v>20</v>
      </c>
      <c r="I50" s="129">
        <v>46162</v>
      </c>
      <c r="J50" s="98"/>
      <c r="K50" s="46" t="s">
        <v>167</v>
      </c>
      <c r="L50" s="123">
        <f>VLOOKUP($C50&amp;$E50,'Updated SES'!A:N,14,0)</f>
        <v>36.498239999999996</v>
      </c>
      <c r="M50" s="124">
        <f>VLOOKUP($K50,'Genre Penetration'!A:B,2,0)*VLOOKUP($C50&amp;$E50,'Updated SES'!A:I,9,0)</f>
        <v>0.34840000000000004</v>
      </c>
      <c r="N50" s="124">
        <f>VLOOKUP(K:K,'Genre Penetration'!A:C,3,0)*VLOOKUP($C50&amp;$E50,'Updated SES'!A:J,10,0)</f>
        <v>0.15840000000000001</v>
      </c>
      <c r="O50" s="124" t="e">
        <f>VLOOKUP($B50,'Language Penetration'!$B$1:$BE$14,MATCH('Compile data Working'!$H226,'Language Penetration'!$B$1:$BE$1,0),0)</f>
        <v>#N/A</v>
      </c>
      <c r="P50" s="124" t="str">
        <f ca="1">IF(ISBLANK(J50),RANDBETWEEN(1,2)&amp;"%",IF(J50=1,RANDBETWEEN(35,40)&amp;"%",IF(J50=2,RANDBETWEEN(30,35)&amp;"%",IF(J50=3,RANDBETWEEN(25,30)&amp;"%",IF(J50=4,RANDBETWEEN(20,25)&amp;"%",IF(J50=5,RANDBETWEEN(15,20)&amp;"%",IF(J50=6,RANDBETWEEN(10,15)&amp;"%",IF(J50=7,RANDBETWEEN(8,10)&amp;"%",IF(J50=8,RANDBETWEEN(6,8)&amp;"%",IF(J50=9,RANDBETWEEN(4,6)&amp;"%",IF(J50=10,RANDBETWEEN(2,4)&amp;"%","")))))))))))</f>
        <v>1%</v>
      </c>
      <c r="Q50" s="123" t="e">
        <f ca="1">IFERROR(L50*(M50+N50)*O50*P50,RANDBETWEEN(1,2)%*L50*(M50+N50)*O50)</f>
        <v>#N/A</v>
      </c>
      <c r="R50" s="125">
        <f>VLOOKUP(D:D,ranking!W:X,2,0)</f>
        <v>0.7</v>
      </c>
      <c r="S50" s="126" t="e">
        <f ca="1">R50*Q50</f>
        <v>#N/A</v>
      </c>
      <c r="T50" s="123">
        <v>3.5872546637427436</v>
      </c>
    </row>
    <row r="51" spans="1:20" x14ac:dyDescent="0.25">
      <c r="A51" s="98" t="s">
        <v>2002</v>
      </c>
      <c r="B51" s="98" t="s">
        <v>85</v>
      </c>
      <c r="C51" s="46" t="s">
        <v>150</v>
      </c>
      <c r="D51" s="98" t="s">
        <v>434</v>
      </c>
      <c r="E51" s="46" t="s">
        <v>211</v>
      </c>
      <c r="F51" s="46" t="s">
        <v>213</v>
      </c>
      <c r="G51" s="46" t="s">
        <v>1987</v>
      </c>
      <c r="H51" s="46" t="s">
        <v>25</v>
      </c>
      <c r="I51" s="129">
        <v>46164</v>
      </c>
      <c r="J51" s="98"/>
      <c r="K51" s="46" t="s">
        <v>216</v>
      </c>
      <c r="L51" s="123">
        <f>VLOOKUP($C51&amp;$E51,'Updated SES'!A:N,14,0)</f>
        <v>60.152000000000001</v>
      </c>
      <c r="M51" s="124">
        <f>VLOOKUP($K51,'Genre Penetration'!A:B,2,0)*VLOOKUP($C51&amp;$E51,'Updated SES'!A:I,9,0)</f>
        <v>0.32500000000000001</v>
      </c>
      <c r="N51" s="124">
        <f>VLOOKUP(K:K,'Genre Penetration'!A:C,3,0)*VLOOKUP($C51&amp;$E51,'Updated SES'!A:J,10,0)</f>
        <v>0.17499999999999999</v>
      </c>
      <c r="O51" s="124">
        <f>VLOOKUP($B51,'Language Penetration'!$B$1:$BE$14,MATCH('Compile data Working'!$H37,'Language Penetration'!$B$1:$BE$1,0),0)</f>
        <v>0.2</v>
      </c>
      <c r="P51" s="124" t="str">
        <f ca="1">IF(ISBLANK(J51),RANDBETWEEN(1,2)&amp;"%",IF(J51=1,RANDBETWEEN(35,40)&amp;"%",IF(J51=2,RANDBETWEEN(30,35)&amp;"%",IF(J51=3,RANDBETWEEN(25,30)&amp;"%",IF(J51=4,RANDBETWEEN(20,25)&amp;"%",IF(J51=5,RANDBETWEEN(15,20)&amp;"%",IF(J51=6,RANDBETWEEN(10,15)&amp;"%",IF(J51=7,RANDBETWEEN(8,10)&amp;"%",IF(J51=8,RANDBETWEEN(6,8)&amp;"%",IF(J51=9,RANDBETWEEN(4,6)&amp;"%",IF(J51=10,RANDBETWEEN(2,4)&amp;"%","")))))))))))</f>
        <v>1%</v>
      </c>
      <c r="Q51" s="123">
        <f ca="1">IFERROR(L51*(M51+N51)*O51*P51,RANDBETWEEN(1,2)%*L51*(M51+N51)*O51)</f>
        <v>6.0152000000000004E-2</v>
      </c>
      <c r="R51" s="125">
        <f>VLOOKUP(D:D,ranking!W:X,2,0)</f>
        <v>0.7</v>
      </c>
      <c r="S51" s="126">
        <f ca="1">R51*Q51</f>
        <v>4.2106400000000002E-2</v>
      </c>
      <c r="T51" s="123">
        <v>3.5792515361075878</v>
      </c>
    </row>
    <row r="52" spans="1:20" x14ac:dyDescent="0.25">
      <c r="A52" s="98" t="s">
        <v>2002</v>
      </c>
      <c r="B52" s="98" t="s">
        <v>85</v>
      </c>
      <c r="C52" s="46" t="s">
        <v>906</v>
      </c>
      <c r="D52" s="46" t="s">
        <v>1012</v>
      </c>
      <c r="E52" s="46" t="s">
        <v>211</v>
      </c>
      <c r="F52" s="46" t="s">
        <v>215</v>
      </c>
      <c r="G52" s="46" t="s">
        <v>1949</v>
      </c>
      <c r="H52" s="46" t="s">
        <v>20</v>
      </c>
      <c r="I52" s="129">
        <v>46158</v>
      </c>
      <c r="J52" s="98"/>
      <c r="K52" s="46" t="s">
        <v>1259</v>
      </c>
      <c r="L52" s="123">
        <f>VLOOKUP($C52&amp;$E52,'Updated SES'!A:N,14,0)</f>
        <v>127.11702000000001</v>
      </c>
      <c r="M52" s="124">
        <f>VLOOKUP($K52,'Genre Penetration'!A:B,2,0)*VLOOKUP($C52&amp;$E52,'Updated SES'!A:I,9,0)</f>
        <v>0.34839999999999999</v>
      </c>
      <c r="N52" s="124">
        <f>VLOOKUP(K:K,'Genre Penetration'!A:C,3,0)*VLOOKUP($C52&amp;$E52,'Updated SES'!A:J,10,0)</f>
        <v>0.15839999999999999</v>
      </c>
      <c r="O52" s="124" t="e">
        <f>VLOOKUP($B52,'Language Penetration'!$B$1:$BE$14,MATCH('Compile data Working'!$H8,'Language Penetration'!$B$1:$BE$1,0),0)</f>
        <v>#N/A</v>
      </c>
      <c r="P52" s="124" t="str">
        <f ca="1">IF(ISBLANK(J52),RANDBETWEEN(1,2)&amp;"%",IF(J52=1,RANDBETWEEN(35,40)&amp;"%",IF(J52=2,RANDBETWEEN(30,35)&amp;"%",IF(J52=3,RANDBETWEEN(25,30)&amp;"%",IF(J52=4,RANDBETWEEN(20,25)&amp;"%",IF(J52=5,RANDBETWEEN(15,20)&amp;"%",IF(J52=6,RANDBETWEEN(10,15)&amp;"%",IF(J52=7,RANDBETWEEN(8,10)&amp;"%",IF(J52=8,RANDBETWEEN(6,8)&amp;"%",IF(J52=9,RANDBETWEEN(4,6)&amp;"%",IF(J52=10,RANDBETWEEN(2,4)&amp;"%","")))))))))))</f>
        <v>2%</v>
      </c>
      <c r="Q52" s="123" t="e">
        <f ca="1">IFERROR(L52*(M52+N52)*O52*P52,RANDBETWEEN(1,2)%*L52*(M52+N52)*O52)</f>
        <v>#N/A</v>
      </c>
      <c r="R52" s="125">
        <f>VLOOKUP(D:D,ranking!W:X,2,0)</f>
        <v>0.6</v>
      </c>
      <c r="S52" s="126" t="e">
        <f ca="1">R52*Q52</f>
        <v>#N/A</v>
      </c>
      <c r="T52" s="123">
        <v>3.5776998225041003</v>
      </c>
    </row>
    <row r="53" spans="1:20" x14ac:dyDescent="0.25">
      <c r="A53" s="98" t="s">
        <v>2002</v>
      </c>
      <c r="B53" s="98" t="s">
        <v>85</v>
      </c>
      <c r="C53" s="46" t="s">
        <v>114</v>
      </c>
      <c r="D53" s="98" t="s">
        <v>434</v>
      </c>
      <c r="E53" s="46" t="s">
        <v>211</v>
      </c>
      <c r="F53" s="46" t="s">
        <v>213</v>
      </c>
      <c r="G53" s="46" t="s">
        <v>1988</v>
      </c>
      <c r="H53" s="46" t="s">
        <v>28</v>
      </c>
      <c r="I53" s="129">
        <v>46164</v>
      </c>
      <c r="J53" s="98"/>
      <c r="K53" s="46" t="s">
        <v>262</v>
      </c>
      <c r="L53" s="123">
        <f>VLOOKUP($C53&amp;$E53,'Updated SES'!A:N,14,0)</f>
        <v>25.340000000000003</v>
      </c>
      <c r="M53" s="124">
        <f>VLOOKUP($K53,'Genre Penetration'!A:B,2,0)*VLOOKUP($C53&amp;$E53,'Updated SES'!A:I,9,0)</f>
        <v>0.5494</v>
      </c>
      <c r="N53" s="124">
        <f>VLOOKUP(K:K,'Genre Penetration'!A:C,3,0)*VLOOKUP($C53&amp;$E53,'Updated SES'!A:J,10,0)</f>
        <v>5.9400000000000001E-2</v>
      </c>
      <c r="O53" s="124">
        <f>VLOOKUP($B53,'Language Penetration'!$B$1:$BE$14,MATCH('Compile data Working'!$H89,'Language Penetration'!$B$1:$BE$1,0),0)</f>
        <v>0.6</v>
      </c>
      <c r="P53" s="124" t="str">
        <f ca="1">IF(ISBLANK(J53),RANDBETWEEN(1,2)&amp;"%",IF(J53=1,RANDBETWEEN(35,40)&amp;"%",IF(J53=2,RANDBETWEEN(30,35)&amp;"%",IF(J53=3,RANDBETWEEN(25,30)&amp;"%",IF(J53=4,RANDBETWEEN(20,25)&amp;"%",IF(J53=5,RANDBETWEEN(15,20)&amp;"%",IF(J53=6,RANDBETWEEN(10,15)&amp;"%",IF(J53=7,RANDBETWEEN(8,10)&amp;"%",IF(J53=8,RANDBETWEEN(6,8)&amp;"%",IF(J53=9,RANDBETWEEN(4,6)&amp;"%",IF(J53=10,RANDBETWEEN(2,4)&amp;"%","")))))))))))</f>
        <v>2%</v>
      </c>
      <c r="Q53" s="123">
        <f ca="1">IFERROR(L53*(M53+N53)*O53*P53,RANDBETWEEN(1,2)%*L53*(M53+N53)*O53)</f>
        <v>0.18512390400000001</v>
      </c>
      <c r="R53" s="125">
        <f>VLOOKUP(D:D,ranking!W:X,2,0)</f>
        <v>0.7</v>
      </c>
      <c r="S53" s="126">
        <f ca="1">R53*Q53</f>
        <v>0.12958673279999999</v>
      </c>
      <c r="T53" s="123">
        <v>3.5769133889144831</v>
      </c>
    </row>
    <row r="54" spans="1:20" x14ac:dyDescent="0.25">
      <c r="A54" s="98" t="s">
        <v>2002</v>
      </c>
      <c r="B54" s="98" t="s">
        <v>85</v>
      </c>
      <c r="C54" s="46" t="s">
        <v>64</v>
      </c>
      <c r="D54" s="98" t="s">
        <v>434</v>
      </c>
      <c r="E54" s="46" t="s">
        <v>233</v>
      </c>
      <c r="F54" s="46" t="s">
        <v>213</v>
      </c>
      <c r="G54" s="53" t="s">
        <v>1965</v>
      </c>
      <c r="H54" s="46" t="s">
        <v>21</v>
      </c>
      <c r="I54" s="129">
        <v>46162</v>
      </c>
      <c r="J54" s="98"/>
      <c r="K54" s="46" t="s">
        <v>2001</v>
      </c>
      <c r="L54" s="123">
        <f>VLOOKUP($C54&amp;$E54,'Updated SES'!A:N,14,0)</f>
        <v>4.6890000000000001</v>
      </c>
      <c r="M54" s="124" t="e">
        <f>VLOOKUP($K54,'Genre Penetration'!A:B,2,0)*VLOOKUP($C54&amp;$E54,'Updated SES'!A:I,9,0)</f>
        <v>#N/A</v>
      </c>
      <c r="N54" s="124" t="e">
        <f>VLOOKUP(K:K,'Genre Penetration'!A:C,3,0)*VLOOKUP($C54&amp;$E54,'Updated SES'!A:J,10,0)</f>
        <v>#N/A</v>
      </c>
      <c r="O54" s="124" t="e">
        <f>VLOOKUP($B54,'Language Penetration'!$B$1:$BE$14,MATCH('Compile data Working'!$H11,'Language Penetration'!$B$1:$BE$1,0),0)</f>
        <v>#N/A</v>
      </c>
      <c r="P54" s="124" t="str">
        <f ca="1">IF(ISBLANK(J54),RANDBETWEEN(1,2)&amp;"%",IF(J54=1,RANDBETWEEN(35,40)&amp;"%",IF(J54=2,RANDBETWEEN(30,35)&amp;"%",IF(J54=3,RANDBETWEEN(25,30)&amp;"%",IF(J54=4,RANDBETWEEN(20,25)&amp;"%",IF(J54=5,RANDBETWEEN(15,20)&amp;"%",IF(J54=6,RANDBETWEEN(10,15)&amp;"%",IF(J54=7,RANDBETWEEN(8,10)&amp;"%",IF(J54=8,RANDBETWEEN(6,8)&amp;"%",IF(J54=9,RANDBETWEEN(4,6)&amp;"%",IF(J54=10,RANDBETWEEN(2,4)&amp;"%","")))))))))))</f>
        <v>2%</v>
      </c>
      <c r="Q54" s="123" t="e">
        <f ca="1">IFERROR(L54*(M54+N54)*O54*P54,RANDBETWEEN(1,2)%*L54*(M54+N54)*O54)</f>
        <v>#N/A</v>
      </c>
      <c r="R54" s="125">
        <f>VLOOKUP(D:D,ranking!W:X,2,0)</f>
        <v>0.7</v>
      </c>
      <c r="S54" s="126" t="e">
        <f ca="1">R54*Q54</f>
        <v>#N/A</v>
      </c>
      <c r="T54" s="123">
        <v>3.5709958989360242</v>
      </c>
    </row>
    <row r="55" spans="1:20" x14ac:dyDescent="0.25">
      <c r="A55" s="98" t="s">
        <v>2002</v>
      </c>
      <c r="B55" s="98" t="s">
        <v>85</v>
      </c>
      <c r="C55" s="46" t="s">
        <v>906</v>
      </c>
      <c r="D55" s="98" t="s">
        <v>434</v>
      </c>
      <c r="E55" s="46" t="s">
        <v>211</v>
      </c>
      <c r="F55" s="46" t="s">
        <v>213</v>
      </c>
      <c r="G55" s="46" t="s">
        <v>1963</v>
      </c>
      <c r="H55" s="46" t="s">
        <v>23</v>
      </c>
      <c r="I55" s="129">
        <v>46162</v>
      </c>
      <c r="J55" s="98"/>
      <c r="K55" s="46" t="s">
        <v>145</v>
      </c>
      <c r="L55" s="123">
        <f>VLOOKUP($C55&amp;$E55,'Updated SES'!A:N,14,0)</f>
        <v>127.11702000000001</v>
      </c>
      <c r="M55" s="124">
        <f>VLOOKUP($K55,'Genre Penetration'!A:B,2,0)*VLOOKUP($C55&amp;$E55,'Updated SES'!A:I,9,0)</f>
        <v>0.24789999999999998</v>
      </c>
      <c r="N55" s="124">
        <f>VLOOKUP(K:K,'Genre Penetration'!A:C,3,0)*VLOOKUP($C55&amp;$E55,'Updated SES'!A:J,10,0)</f>
        <v>0.20789999999999997</v>
      </c>
      <c r="O55" s="124">
        <f>VLOOKUP($B55,'Language Penetration'!$B$1:$BE$14,MATCH('Compile data Working'!$H228,'Language Penetration'!$B$1:$BE$1,0),0)</f>
        <v>0.2</v>
      </c>
      <c r="P55" s="124" t="str">
        <f ca="1">IF(ISBLANK(J55),RANDBETWEEN(1,2)&amp;"%",IF(J55=1,RANDBETWEEN(35,40)&amp;"%",IF(J55=2,RANDBETWEEN(30,35)&amp;"%",IF(J55=3,RANDBETWEEN(25,30)&amp;"%",IF(J55=4,RANDBETWEEN(20,25)&amp;"%",IF(J55=5,RANDBETWEEN(15,20)&amp;"%",IF(J55=6,RANDBETWEEN(10,15)&amp;"%",IF(J55=7,RANDBETWEEN(8,10)&amp;"%",IF(J55=8,RANDBETWEEN(6,8)&amp;"%",IF(J55=9,RANDBETWEEN(4,6)&amp;"%",IF(J55=10,RANDBETWEEN(2,4)&amp;"%","")))))))))))</f>
        <v>2%</v>
      </c>
      <c r="Q55" s="123">
        <f ca="1">IFERROR(L55*(M55+N55)*O55*P55,RANDBETWEEN(1,2)%*L55*(M55+N55)*O55)</f>
        <v>0.23175975086400002</v>
      </c>
      <c r="R55" s="125">
        <f>VLOOKUP(D:D,ranking!W:X,2,0)</f>
        <v>0.7</v>
      </c>
      <c r="S55" s="126">
        <f ca="1">R55*Q55</f>
        <v>0.16223182560480001</v>
      </c>
      <c r="T55" s="123">
        <v>3.5643821211168003</v>
      </c>
    </row>
    <row r="56" spans="1:20" x14ac:dyDescent="0.25">
      <c r="A56" s="98" t="s">
        <v>1057</v>
      </c>
      <c r="B56" s="98" t="s">
        <v>85</v>
      </c>
      <c r="C56" s="46" t="s">
        <v>123</v>
      </c>
      <c r="D56" s="98" t="s">
        <v>434</v>
      </c>
      <c r="E56" s="46" t="s">
        <v>211</v>
      </c>
      <c r="F56" s="46" t="s">
        <v>213</v>
      </c>
      <c r="G56" s="46" t="s">
        <v>1874</v>
      </c>
      <c r="H56" s="46" t="s">
        <v>21</v>
      </c>
      <c r="I56" s="129">
        <v>46157</v>
      </c>
      <c r="J56" s="46">
        <v>6</v>
      </c>
      <c r="K56" s="46" t="s">
        <v>293</v>
      </c>
      <c r="L56" s="123">
        <f>VLOOKUP($C56&amp;$E56,'Updated SES'!A:N,14,0)</f>
        <v>55.459200000000003</v>
      </c>
      <c r="M56" s="124">
        <f>VLOOKUP($K56,'Genre Penetration'!A:B,2,0)*VLOOKUP($C56&amp;$E56,'Updated SES'!A:I,9,0)</f>
        <v>0.26950000000000002</v>
      </c>
      <c r="N56" s="124">
        <f>VLOOKUP(K:K,'Genre Penetration'!A:C,3,0)*VLOOKUP($C56&amp;$E56,'Updated SES'!A:J,10,0)</f>
        <v>0.22949999999999998</v>
      </c>
      <c r="O56" s="124">
        <f>VLOOKUP($B56,'Language Penetration'!$B$1:$BE$14,MATCH('Compile data Working'!$H55,'Language Penetration'!$B$1:$BE$1,0),0)</f>
        <v>0.15</v>
      </c>
      <c r="P56" s="124" t="str">
        <f ca="1">IF(ISBLANK(J56),RANDBETWEEN(1,2)&amp;"%",IF(J56=1,RANDBETWEEN(35,40)&amp;"%",IF(J56=2,RANDBETWEEN(30,35)&amp;"%",IF(J56=3,RANDBETWEEN(25,30)&amp;"%",IF(J56=4,RANDBETWEEN(20,25)&amp;"%",IF(J56=5,RANDBETWEEN(15,20)&amp;"%",IF(J56=6,RANDBETWEEN(10,15)&amp;"%",IF(J56=7,RANDBETWEEN(8,10)&amp;"%",IF(J56=8,RANDBETWEEN(6,8)&amp;"%",IF(J56=9,RANDBETWEEN(4,6)&amp;"%",IF(J56=10,RANDBETWEEN(2,4)&amp;"%","")))))))))))</f>
        <v>14%</v>
      </c>
      <c r="Q56" s="123">
        <f ca="1">IFERROR(L56*(M56+N56)*O56*P56,RANDBETWEEN(1,2)%*L56*(M56+N56)*O56)</f>
        <v>0.58115695680000001</v>
      </c>
      <c r="R56" s="125">
        <f>VLOOKUP(D:D,ranking!W:X,2,0)</f>
        <v>0.7</v>
      </c>
      <c r="S56" s="126">
        <f ca="1">R56*Q56</f>
        <v>0.40680986976</v>
      </c>
      <c r="T56" s="123">
        <v>3.5528556194154217</v>
      </c>
    </row>
    <row r="57" spans="1:20" x14ac:dyDescent="0.25">
      <c r="A57" s="98" t="s">
        <v>2002</v>
      </c>
      <c r="B57" s="98" t="s">
        <v>85</v>
      </c>
      <c r="C57" s="46" t="s">
        <v>64</v>
      </c>
      <c r="D57" s="98" t="s">
        <v>434</v>
      </c>
      <c r="E57" s="46" t="s">
        <v>211</v>
      </c>
      <c r="F57" s="46" t="s">
        <v>213</v>
      </c>
      <c r="G57" s="53" t="s">
        <v>1963</v>
      </c>
      <c r="H57" s="46" t="s">
        <v>1999</v>
      </c>
      <c r="I57" s="129">
        <v>46164</v>
      </c>
      <c r="J57" s="98">
        <v>7</v>
      </c>
      <c r="K57" s="46" t="s">
        <v>145</v>
      </c>
      <c r="L57" s="123">
        <f>VLOOKUP($C57&amp;$E57,'Updated SES'!A:N,14,0)</f>
        <v>36.498239999999996</v>
      </c>
      <c r="M57" s="124">
        <f>VLOOKUP($K57,'Genre Penetration'!A:B,2,0)*VLOOKUP($C57&amp;$E57,'Updated SES'!A:I,9,0)</f>
        <v>0.19240000000000002</v>
      </c>
      <c r="N57" s="124">
        <f>VLOOKUP(K:K,'Genre Penetration'!A:C,3,0)*VLOOKUP($C57&amp;$E57,'Updated SES'!A:J,10,0)</f>
        <v>0.3024</v>
      </c>
      <c r="O57" s="124">
        <f>VLOOKUP($B57,'Language Penetration'!$B$1:$BE$14,MATCH('Compile data Working'!$H42,'Language Penetration'!$B$1:$BE$1,0),0)</f>
        <v>0.12</v>
      </c>
      <c r="P57" s="124" t="str">
        <f ca="1">IF(ISBLANK(J57),RANDBETWEEN(1,2)&amp;"%",IF(J57=1,RANDBETWEEN(35,40)&amp;"%",IF(J57=2,RANDBETWEEN(30,35)&amp;"%",IF(J57=3,RANDBETWEEN(25,30)&amp;"%",IF(J57=4,RANDBETWEEN(20,25)&amp;"%",IF(J57=5,RANDBETWEEN(15,20)&amp;"%",IF(J57=6,RANDBETWEEN(10,15)&amp;"%",IF(J57=7,RANDBETWEEN(8,10)&amp;"%",IF(J57=8,RANDBETWEEN(6,8)&amp;"%",IF(J57=9,RANDBETWEEN(4,6)&amp;"%",IF(J57=10,RANDBETWEEN(2,4)&amp;"%","")))))))))))</f>
        <v>8%</v>
      </c>
      <c r="Q57" s="123">
        <f ca="1">IFERROR(L57*(M57+N57)*O57*P57,RANDBETWEEN(1,2)%*L57*(M57+N57)*O57)</f>
        <v>0.1733695598592</v>
      </c>
      <c r="R57" s="125">
        <f>VLOOKUP(D:D,ranking!W:X,2,0)</f>
        <v>0.7</v>
      </c>
      <c r="S57" s="126">
        <f ca="1">R57*Q57</f>
        <v>0.12135869190143998</v>
      </c>
      <c r="T57" s="123">
        <v>3.5419609954719999</v>
      </c>
    </row>
    <row r="58" spans="1:20" x14ac:dyDescent="0.25">
      <c r="A58" s="98" t="s">
        <v>1057</v>
      </c>
      <c r="B58" s="98" t="s">
        <v>85</v>
      </c>
      <c r="C58" s="98" t="s">
        <v>64</v>
      </c>
      <c r="D58" s="46" t="s">
        <v>1012</v>
      </c>
      <c r="E58" s="98" t="s">
        <v>211</v>
      </c>
      <c r="F58" s="46" t="s">
        <v>215</v>
      </c>
      <c r="G58" s="98" t="s">
        <v>1848</v>
      </c>
      <c r="H58" s="120" t="s">
        <v>40</v>
      </c>
      <c r="I58" s="136">
        <v>46129</v>
      </c>
      <c r="J58" s="119">
        <v>3</v>
      </c>
      <c r="K58" s="98" t="s">
        <v>216</v>
      </c>
      <c r="L58" s="123">
        <f>VLOOKUP($C58&amp;$E58,'Updated SES'!A:N,14,0)</f>
        <v>36.498239999999996</v>
      </c>
      <c r="M58" s="124">
        <f>VLOOKUP($K58,'Genre Penetration'!A:B,2,0)*VLOOKUP($C58&amp;$E58,'Updated SES'!A:I,9,0)</f>
        <v>0.26</v>
      </c>
      <c r="N58" s="124">
        <f>VLOOKUP(K:K,'Genre Penetration'!A:C,3,0)*VLOOKUP($C58&amp;$E58,'Updated SES'!A:J,10,0)</f>
        <v>0.24</v>
      </c>
      <c r="O58" s="124" t="e">
        <f>VLOOKUP($B58,'Language Penetration'!$B$1:$BE$14,MATCH('Compile data Working'!$H112,'Language Penetration'!$B$1:$BE$1,0),0)</f>
        <v>#N/A</v>
      </c>
      <c r="P58" s="124" t="str">
        <f ca="1">IF(ISBLANK(J58),RANDBETWEEN(1,2)&amp;"%",IF(J58=1,RANDBETWEEN(35,40)&amp;"%",IF(J58=2,RANDBETWEEN(30,35)&amp;"%",IF(J58=3,RANDBETWEEN(25,30)&amp;"%",IF(J58=4,RANDBETWEEN(20,25)&amp;"%",IF(J58=5,RANDBETWEEN(15,20)&amp;"%",IF(J58=6,RANDBETWEEN(10,15)&amp;"%",IF(J58=7,RANDBETWEEN(8,10)&amp;"%",IF(J58=8,RANDBETWEEN(6,8)&amp;"%",IF(J58=9,RANDBETWEEN(4,6)&amp;"%",IF(J58=10,RANDBETWEEN(2,4)&amp;"%","")))))))))))</f>
        <v>26%</v>
      </c>
      <c r="Q58" s="123" t="e">
        <f ca="1">IFERROR(L58*(M58+N58)*O58*P58,RANDBETWEEN(1,2)%*L58*(M58+N58)*O58)</f>
        <v>#N/A</v>
      </c>
      <c r="R58" s="125">
        <f>VLOOKUP(D:D,ranking!W:X,2,0)</f>
        <v>0.6</v>
      </c>
      <c r="S58" s="126" t="e">
        <f ca="1">R58*Q58</f>
        <v>#N/A</v>
      </c>
      <c r="T58" s="123">
        <v>3.5386222469024795</v>
      </c>
    </row>
    <row r="59" spans="1:20" x14ac:dyDescent="0.25">
      <c r="A59" s="98" t="s">
        <v>1057</v>
      </c>
      <c r="B59" s="98" t="s">
        <v>85</v>
      </c>
      <c r="C59" s="46" t="s">
        <v>123</v>
      </c>
      <c r="D59" s="46" t="s">
        <v>1012</v>
      </c>
      <c r="E59" s="46" t="s">
        <v>211</v>
      </c>
      <c r="F59" s="46" t="s">
        <v>215</v>
      </c>
      <c r="G59" s="46" t="s">
        <v>1870</v>
      </c>
      <c r="H59" s="46" t="s">
        <v>28</v>
      </c>
      <c r="I59" s="129">
        <v>46156</v>
      </c>
      <c r="J59" s="46">
        <v>6</v>
      </c>
      <c r="K59" s="46" t="s">
        <v>97</v>
      </c>
      <c r="L59" s="123">
        <f>VLOOKUP($C59&amp;$E59,'Updated SES'!A:N,14,0)</f>
        <v>55.459200000000003</v>
      </c>
      <c r="M59" s="124">
        <f>VLOOKUP($K59,'Genre Penetration'!A:B,2,0)*VLOOKUP($C59&amp;$E59,'Updated SES'!A:I,9,0)</f>
        <v>0.3332</v>
      </c>
      <c r="N59" s="124">
        <f>VLOOKUP(K:K,'Genre Penetration'!A:C,3,0)*VLOOKUP($C59&amp;$E59,'Updated SES'!A:J,10,0)</f>
        <v>0.16320000000000001</v>
      </c>
      <c r="O59" s="124">
        <f>VLOOKUP($B59,'Language Penetration'!$B$1:$BE$14,MATCH('Compile data Working'!$H45,'Language Penetration'!$B$1:$BE$1,0),0)</f>
        <v>0.1</v>
      </c>
      <c r="P59" s="124" t="str">
        <f ca="1">IF(ISBLANK(J59),RANDBETWEEN(1,2)&amp;"%",IF(J59=1,RANDBETWEEN(35,40)&amp;"%",IF(J59=2,RANDBETWEEN(30,35)&amp;"%",IF(J59=3,RANDBETWEEN(25,30)&amp;"%",IF(J59=4,RANDBETWEEN(20,25)&amp;"%",IF(J59=5,RANDBETWEEN(15,20)&amp;"%",IF(J59=6,RANDBETWEEN(10,15)&amp;"%",IF(J59=7,RANDBETWEEN(8,10)&amp;"%",IF(J59=8,RANDBETWEEN(6,8)&amp;"%",IF(J59=9,RANDBETWEEN(4,6)&amp;"%",IF(J59=10,RANDBETWEEN(2,4)&amp;"%","")))))))))))</f>
        <v>11%</v>
      </c>
      <c r="Q59" s="123">
        <f ca="1">IFERROR(L59*(M59+N59)*O59*P59,RANDBETWEEN(1,2)%*L59*(M59+N59)*O59)</f>
        <v>0.30282941568000005</v>
      </c>
      <c r="R59" s="125">
        <f>VLOOKUP(D:D,ranking!W:X,2,0)</f>
        <v>0.6</v>
      </c>
      <c r="S59" s="126">
        <f ca="1">R59*Q59</f>
        <v>0.18169764940800001</v>
      </c>
      <c r="T59" s="123">
        <v>3.5299815777008829</v>
      </c>
    </row>
    <row r="60" spans="1:20" x14ac:dyDescent="0.25">
      <c r="A60" s="98" t="s">
        <v>2002</v>
      </c>
      <c r="B60" s="98" t="s">
        <v>85</v>
      </c>
      <c r="C60" s="46" t="s">
        <v>64</v>
      </c>
      <c r="D60" s="98" t="s">
        <v>434</v>
      </c>
      <c r="E60" s="46" t="s">
        <v>211</v>
      </c>
      <c r="F60" s="46" t="s">
        <v>213</v>
      </c>
      <c r="G60" s="46" t="s">
        <v>1981</v>
      </c>
      <c r="H60" s="46" t="s">
        <v>25</v>
      </c>
      <c r="I60" s="129">
        <v>46164</v>
      </c>
      <c r="J60" s="98"/>
      <c r="K60" s="46" t="s">
        <v>176</v>
      </c>
      <c r="L60" s="123">
        <f>VLOOKUP($C60&amp;$E60,'Updated SES'!A:N,14,0)</f>
        <v>36.498239999999996</v>
      </c>
      <c r="M60" s="124">
        <f>VLOOKUP($K60,'Genre Penetration'!A:B,2,0)*VLOOKUP($C60&amp;$E60,'Updated SES'!A:I,9,0)</f>
        <v>0.32240000000000002</v>
      </c>
      <c r="N60" s="124">
        <f>VLOOKUP(K:K,'Genre Penetration'!A:C,3,0)*VLOOKUP($C60&amp;$E60,'Updated SES'!A:J,10,0)</f>
        <v>0.18240000000000001</v>
      </c>
      <c r="O60" s="124" t="e">
        <f>VLOOKUP($B60,'Language Penetration'!$B$1:$BE$14,MATCH('Compile data Working'!$H120,'Language Penetration'!$B$1:$BE$1,0),0)</f>
        <v>#N/A</v>
      </c>
      <c r="P60" s="124" t="str">
        <f ca="1">IF(ISBLANK(J60),RANDBETWEEN(1,2)&amp;"%",IF(J60=1,RANDBETWEEN(35,40)&amp;"%",IF(J60=2,RANDBETWEEN(30,35)&amp;"%",IF(J60=3,RANDBETWEEN(25,30)&amp;"%",IF(J60=4,RANDBETWEEN(20,25)&amp;"%",IF(J60=5,RANDBETWEEN(15,20)&amp;"%",IF(J60=6,RANDBETWEEN(10,15)&amp;"%",IF(J60=7,RANDBETWEEN(8,10)&amp;"%",IF(J60=8,RANDBETWEEN(6,8)&amp;"%",IF(J60=9,RANDBETWEEN(4,6)&amp;"%",IF(J60=10,RANDBETWEEN(2,4)&amp;"%","")))))))))))</f>
        <v>1%</v>
      </c>
      <c r="Q60" s="123" t="e">
        <f ca="1">IFERROR(L60*(M60+N60)*O60*P60,RANDBETWEEN(1,2)%*L60*(M60+N60)*O60)</f>
        <v>#N/A</v>
      </c>
      <c r="R60" s="125">
        <f>VLOOKUP(D:D,ranking!W:X,2,0)</f>
        <v>0.7</v>
      </c>
      <c r="S60" s="126" t="e">
        <f ca="1">R60*Q60</f>
        <v>#N/A</v>
      </c>
      <c r="T60" s="123">
        <v>3.5284095415756798</v>
      </c>
    </row>
    <row r="61" spans="1:20" x14ac:dyDescent="0.25">
      <c r="A61" s="98" t="s">
        <v>1057</v>
      </c>
      <c r="B61" s="98" t="s">
        <v>85</v>
      </c>
      <c r="C61" s="46" t="s">
        <v>123</v>
      </c>
      <c r="D61" s="46" t="s">
        <v>1012</v>
      </c>
      <c r="E61" s="46" t="s">
        <v>211</v>
      </c>
      <c r="F61" s="46" t="s">
        <v>215</v>
      </c>
      <c r="G61" s="46" t="s">
        <v>1873</v>
      </c>
      <c r="H61" s="46" t="s">
        <v>28</v>
      </c>
      <c r="I61" s="129">
        <v>46157</v>
      </c>
      <c r="J61" s="46">
        <v>2</v>
      </c>
      <c r="K61" s="46" t="s">
        <v>202</v>
      </c>
      <c r="L61" s="123">
        <f>VLOOKUP($C61&amp;$E61,'Updated SES'!A:N,14,0)</f>
        <v>55.459200000000003</v>
      </c>
      <c r="M61" s="124">
        <f>VLOOKUP($K61,'Genre Penetration'!A:B,2,0)*VLOOKUP($C61&amp;$E61,'Updated SES'!A:I,9,0)</f>
        <v>0.3528</v>
      </c>
      <c r="N61" s="124">
        <f>VLOOKUP(K:K,'Genre Penetration'!A:C,3,0)*VLOOKUP($C61&amp;$E61,'Updated SES'!A:J,10,0)</f>
        <v>0.14280000000000001</v>
      </c>
      <c r="O61" s="124" t="e">
        <f>VLOOKUP($B61,'Language Penetration'!$B$1:$BE$14,MATCH('Compile data Working'!$H237,'Language Penetration'!$B$1:$BE$1,0),0)</f>
        <v>#N/A</v>
      </c>
      <c r="P61" s="124" t="str">
        <f ca="1">IF(ISBLANK(J61),RANDBETWEEN(1,2)&amp;"%",IF(J61=1,RANDBETWEEN(35,40)&amp;"%",IF(J61=2,RANDBETWEEN(30,35)&amp;"%",IF(J61=3,RANDBETWEEN(25,30)&amp;"%",IF(J61=4,RANDBETWEEN(20,25)&amp;"%",IF(J61=5,RANDBETWEEN(15,20)&amp;"%",IF(J61=6,RANDBETWEEN(10,15)&amp;"%",IF(J61=7,RANDBETWEEN(8,10)&amp;"%",IF(J61=8,RANDBETWEEN(6,8)&amp;"%",IF(J61=9,RANDBETWEEN(4,6)&amp;"%",IF(J61=10,RANDBETWEEN(2,4)&amp;"%","")))))))))))</f>
        <v>32%</v>
      </c>
      <c r="Q61" s="123" t="e">
        <f ca="1">IFERROR(L61*(M61+N61)*O61*P61,RANDBETWEEN(1,2)%*L61*(M61+N61)*O61)</f>
        <v>#N/A</v>
      </c>
      <c r="R61" s="125">
        <f>VLOOKUP(D:D,ranking!W:X,2,0)</f>
        <v>0.6</v>
      </c>
      <c r="S61" s="126" t="e">
        <f ca="1">R61*Q61</f>
        <v>#N/A</v>
      </c>
      <c r="T61" s="123">
        <v>3.5180742286556552</v>
      </c>
    </row>
    <row r="62" spans="1:20" x14ac:dyDescent="0.25">
      <c r="A62" s="98" t="s">
        <v>1781</v>
      </c>
      <c r="B62" s="98" t="s">
        <v>85</v>
      </c>
      <c r="C62" s="46" t="s">
        <v>906</v>
      </c>
      <c r="D62" s="98" t="s">
        <v>456</v>
      </c>
      <c r="E62" s="98" t="s">
        <v>211</v>
      </c>
      <c r="F62" s="46" t="s">
        <v>2011</v>
      </c>
      <c r="G62" s="46" t="s">
        <v>1800</v>
      </c>
      <c r="H62" s="46" t="s">
        <v>19</v>
      </c>
      <c r="I62" s="129">
        <v>44025</v>
      </c>
      <c r="J62" s="98"/>
      <c r="K62" s="46" t="s">
        <v>950</v>
      </c>
      <c r="L62" s="123">
        <f>VLOOKUP($C62&amp;$E62,'Updated SES'!A:N,14,0)</f>
        <v>127.11702000000001</v>
      </c>
      <c r="M62" s="124" t="e">
        <f>VLOOKUP($K62,'Genre Penetration'!A:B,2,0)*VLOOKUP($C62&amp;$E62,'Updated SES'!A:I,9,0)</f>
        <v>#N/A</v>
      </c>
      <c r="N62" s="124" t="e">
        <f>VLOOKUP(K:K,'Genre Penetration'!A:C,3,0)*VLOOKUP($C62&amp;$E62,'Updated SES'!A:J,10,0)</f>
        <v>#N/A</v>
      </c>
      <c r="O62" s="124" t="e">
        <f>VLOOKUP($B62,'Language Penetration'!$B$1:$BE$14,MATCH('Compile data Working'!$H20,'Language Penetration'!$B$1:$BE$1,0),0)</f>
        <v>#N/A</v>
      </c>
      <c r="P62" s="124" t="str">
        <f ca="1">IF(ISBLANK(J62),RANDBETWEEN(1,2)&amp;"%",IF(J62=1,RANDBETWEEN(35,40)&amp;"%",IF(J62=2,RANDBETWEEN(30,35)&amp;"%",IF(J62=3,RANDBETWEEN(25,30)&amp;"%",IF(J62=4,RANDBETWEEN(20,25)&amp;"%",IF(J62=5,RANDBETWEEN(15,20)&amp;"%",IF(J62=6,RANDBETWEEN(10,15)&amp;"%",IF(J62=7,RANDBETWEEN(8,10)&amp;"%",IF(J62=8,RANDBETWEEN(6,8)&amp;"%",IF(J62=9,RANDBETWEEN(4,6)&amp;"%",IF(J62=10,RANDBETWEEN(2,4)&amp;"%","")))))))))))</f>
        <v>2%</v>
      </c>
      <c r="Q62" s="123" t="e">
        <f ca="1">IFERROR(L62*(M62+N62)*O62*P62,RANDBETWEEN(1,2)%*L62*(M62+N62)*O62)</f>
        <v>#N/A</v>
      </c>
      <c r="R62" s="125">
        <f>VLOOKUP(D:D,ranking!W:X,2,0)</f>
        <v>0.3</v>
      </c>
      <c r="S62" s="126" t="e">
        <f ca="1">R62*Q62</f>
        <v>#N/A</v>
      </c>
      <c r="T62" s="123">
        <v>3.5152027016904315</v>
      </c>
    </row>
    <row r="63" spans="1:20" x14ac:dyDescent="0.25">
      <c r="A63" s="98" t="s">
        <v>2002</v>
      </c>
      <c r="B63" s="98" t="s">
        <v>85</v>
      </c>
      <c r="C63" s="46" t="s">
        <v>64</v>
      </c>
      <c r="D63" s="98" t="s">
        <v>434</v>
      </c>
      <c r="E63" s="46" t="s">
        <v>211</v>
      </c>
      <c r="F63" s="46" t="s">
        <v>213</v>
      </c>
      <c r="G63" s="46" t="s">
        <v>1975</v>
      </c>
      <c r="H63" s="46" t="s">
        <v>26</v>
      </c>
      <c r="I63" s="129">
        <v>46164</v>
      </c>
      <c r="J63" s="98"/>
      <c r="K63" s="46" t="s">
        <v>202</v>
      </c>
      <c r="L63" s="123">
        <f>VLOOKUP($C63&amp;$E63,'Updated SES'!A:N,14,0)</f>
        <v>36.498239999999996</v>
      </c>
      <c r="M63" s="124">
        <f>VLOOKUP($K63,'Genre Penetration'!A:B,2,0)*VLOOKUP($C63&amp;$E63,'Updated SES'!A:I,9,0)</f>
        <v>0.37440000000000001</v>
      </c>
      <c r="N63" s="124">
        <f>VLOOKUP(K:K,'Genre Penetration'!A:C,3,0)*VLOOKUP($C63&amp;$E63,'Updated SES'!A:J,10,0)</f>
        <v>0.13440000000000002</v>
      </c>
      <c r="O63" s="124">
        <f>VLOOKUP($B63,'Language Penetration'!$B$1:$BE$14,MATCH('Compile data Working'!$H24,'Language Penetration'!$B$1:$BE$1,0),0)</f>
        <v>0.6</v>
      </c>
      <c r="P63" s="124" t="str">
        <f ca="1">IF(ISBLANK(J63),RANDBETWEEN(1,2)&amp;"%",IF(J63=1,RANDBETWEEN(35,40)&amp;"%",IF(J63=2,RANDBETWEEN(30,35)&amp;"%",IF(J63=3,RANDBETWEEN(25,30)&amp;"%",IF(J63=4,RANDBETWEEN(20,25)&amp;"%",IF(J63=5,RANDBETWEEN(15,20)&amp;"%",IF(J63=6,RANDBETWEEN(10,15)&amp;"%",IF(J63=7,RANDBETWEEN(8,10)&amp;"%",IF(J63=8,RANDBETWEEN(6,8)&amp;"%",IF(J63=9,RANDBETWEEN(4,6)&amp;"%",IF(J63=10,RANDBETWEEN(2,4)&amp;"%","")))))))))))</f>
        <v>2%</v>
      </c>
      <c r="Q63" s="123">
        <f ca="1">IFERROR(L63*(M63+N63)*O63*P63,RANDBETWEEN(1,2)%*L63*(M63+N63)*O63)</f>
        <v>0.22284365414400001</v>
      </c>
      <c r="R63" s="125">
        <f>VLOOKUP(D:D,ranking!W:X,2,0)</f>
        <v>0.7</v>
      </c>
      <c r="S63" s="126">
        <f ca="1">R63*Q63</f>
        <v>0.15599055790079999</v>
      </c>
      <c r="T63" s="123">
        <v>3.4793527000731839</v>
      </c>
    </row>
    <row r="64" spans="1:20" x14ac:dyDescent="0.25">
      <c r="A64" s="98" t="s">
        <v>2002</v>
      </c>
      <c r="B64" s="98" t="s">
        <v>85</v>
      </c>
      <c r="C64" s="46" t="s">
        <v>123</v>
      </c>
      <c r="D64" s="46" t="s">
        <v>1012</v>
      </c>
      <c r="E64" s="46" t="s">
        <v>211</v>
      </c>
      <c r="F64" s="46" t="s">
        <v>215</v>
      </c>
      <c r="G64" s="46" t="s">
        <v>1973</v>
      </c>
      <c r="H64" s="46" t="s">
        <v>28</v>
      </c>
      <c r="I64" s="129">
        <v>46163</v>
      </c>
      <c r="J64" s="98">
        <v>7</v>
      </c>
      <c r="K64" s="46" t="s">
        <v>893</v>
      </c>
      <c r="L64" s="123">
        <f>VLOOKUP($C64&amp;$E64,'Updated SES'!A:N,14,0)</f>
        <v>55.459200000000003</v>
      </c>
      <c r="M64" s="124">
        <f>VLOOKUP($K64,'Genre Penetration'!A:B,2,0)*VLOOKUP($C64&amp;$E64,'Updated SES'!A:I,9,0)</f>
        <v>0.29399999999999998</v>
      </c>
      <c r="N64" s="124">
        <f>VLOOKUP(K:K,'Genre Penetration'!A:C,3,0)*VLOOKUP($C64&amp;$E64,'Updated SES'!A:J,10,0)</f>
        <v>0.20400000000000001</v>
      </c>
      <c r="O64" s="124">
        <f>VLOOKUP($B64,'Language Penetration'!$B$1:$BE$14,MATCH('Compile data Working'!$H235,'Language Penetration'!$B$1:$BE$1,0),0)</f>
        <v>0.6</v>
      </c>
      <c r="P64" s="124" t="str">
        <f ca="1">IF(ISBLANK(J64),RANDBETWEEN(1,2)&amp;"%",IF(J64=1,RANDBETWEEN(35,40)&amp;"%",IF(J64=2,RANDBETWEEN(30,35)&amp;"%",IF(J64=3,RANDBETWEEN(25,30)&amp;"%",IF(J64=4,RANDBETWEEN(20,25)&amp;"%",IF(J64=5,RANDBETWEEN(15,20)&amp;"%",IF(J64=6,RANDBETWEEN(10,15)&amp;"%",IF(J64=7,RANDBETWEEN(8,10)&amp;"%",IF(J64=8,RANDBETWEEN(6,8)&amp;"%",IF(J64=9,RANDBETWEEN(4,6)&amp;"%",IF(J64=10,RANDBETWEEN(2,4)&amp;"%","")))))))))))</f>
        <v>10%</v>
      </c>
      <c r="Q64" s="123">
        <f ca="1">IFERROR(L64*(M64+N64)*O64*P64,RANDBETWEEN(1,2)%*L64*(M64+N64)*O64)</f>
        <v>1.6571208960000001</v>
      </c>
      <c r="R64" s="125">
        <f>VLOOKUP(D:D,ranking!W:X,2,0)</f>
        <v>0.6</v>
      </c>
      <c r="S64" s="126">
        <f ca="1">R64*Q64</f>
        <v>0.99427253760000001</v>
      </c>
      <c r="T64" s="123">
        <v>3.4403631613959678</v>
      </c>
    </row>
    <row r="65" spans="1:20" x14ac:dyDescent="0.25">
      <c r="A65" s="98" t="s">
        <v>2002</v>
      </c>
      <c r="B65" s="98" t="s">
        <v>85</v>
      </c>
      <c r="C65" s="46" t="s">
        <v>123</v>
      </c>
      <c r="D65" s="46" t="s">
        <v>1012</v>
      </c>
      <c r="E65" s="46" t="s">
        <v>211</v>
      </c>
      <c r="F65" s="46" t="s">
        <v>215</v>
      </c>
      <c r="G65" s="46" t="s">
        <v>1950</v>
      </c>
      <c r="H65" s="46" t="s">
        <v>20</v>
      </c>
      <c r="I65" s="129">
        <v>46161</v>
      </c>
      <c r="J65" s="98"/>
      <c r="K65" s="46" t="s">
        <v>216</v>
      </c>
      <c r="L65" s="123">
        <f>VLOOKUP($C65&amp;$E65,'Updated SES'!A:N,14,0)</f>
        <v>55.459200000000003</v>
      </c>
      <c r="M65" s="124">
        <f>VLOOKUP($K65,'Genre Penetration'!A:B,2,0)*VLOOKUP($C65&amp;$E65,'Updated SES'!A:I,9,0)</f>
        <v>0.245</v>
      </c>
      <c r="N65" s="124">
        <f>VLOOKUP(K:K,'Genre Penetration'!A:C,3,0)*VLOOKUP($C65&amp;$E65,'Updated SES'!A:J,10,0)</f>
        <v>0.255</v>
      </c>
      <c r="O65" s="124" t="e">
        <f>VLOOKUP($B65,'Language Penetration'!$B$1:$BE$14,MATCH('Compile data Working'!#REF!,'Language Penetration'!$B$1:$BE$1,0),0)</f>
        <v>#REF!</v>
      </c>
      <c r="P65" s="124" t="str">
        <f ca="1">IF(ISBLANK(J65),RANDBETWEEN(1,2)&amp;"%",IF(J65=1,RANDBETWEEN(35,40)&amp;"%",IF(J65=2,RANDBETWEEN(30,35)&amp;"%",IF(J65=3,RANDBETWEEN(25,30)&amp;"%",IF(J65=4,RANDBETWEEN(20,25)&amp;"%",IF(J65=5,RANDBETWEEN(15,20)&amp;"%",IF(J65=6,RANDBETWEEN(10,15)&amp;"%",IF(J65=7,RANDBETWEEN(8,10)&amp;"%",IF(J65=8,RANDBETWEEN(6,8)&amp;"%",IF(J65=9,RANDBETWEEN(4,6)&amp;"%",IF(J65=10,RANDBETWEEN(2,4)&amp;"%","")))))))))))</f>
        <v>1%</v>
      </c>
      <c r="Q65" s="123" t="e">
        <f ca="1">IFERROR(L65*(M65+N65)*O65*P65,RANDBETWEEN(1,2)%*L65*(M65+N65)*O65)</f>
        <v>#REF!</v>
      </c>
      <c r="R65" s="125">
        <f>VLOOKUP(D:D,ranking!W:X,2,0)</f>
        <v>0.6</v>
      </c>
      <c r="S65" s="126" t="e">
        <f ca="1">R65*Q65</f>
        <v>#REF!</v>
      </c>
      <c r="T65" s="123">
        <v>3.4156060472385001</v>
      </c>
    </row>
    <row r="66" spans="1:20" x14ac:dyDescent="0.25">
      <c r="A66" s="98" t="s">
        <v>1781</v>
      </c>
      <c r="B66" s="98" t="s">
        <v>85</v>
      </c>
      <c r="C66" s="46" t="s">
        <v>64</v>
      </c>
      <c r="D66" s="46" t="s">
        <v>1012</v>
      </c>
      <c r="E66" s="119" t="s">
        <v>211</v>
      </c>
      <c r="F66" s="46" t="s">
        <v>215</v>
      </c>
      <c r="G66" s="46" t="s">
        <v>2028</v>
      </c>
      <c r="H66" s="46" t="s">
        <v>19</v>
      </c>
      <c r="I66" s="129">
        <v>46115</v>
      </c>
      <c r="J66" s="98"/>
      <c r="K66" s="46" t="s">
        <v>216</v>
      </c>
      <c r="L66" s="123">
        <f>VLOOKUP($C66&amp;$E66,'Updated SES'!A:N,14,0)</f>
        <v>36.498239999999996</v>
      </c>
      <c r="M66" s="124">
        <f>VLOOKUP($K66,'Genre Penetration'!A:B,2,0)*VLOOKUP($C66&amp;$E66,'Updated SES'!A:I,9,0)</f>
        <v>0.26</v>
      </c>
      <c r="N66" s="124">
        <f>VLOOKUP(K:K,'Genre Penetration'!A:C,3,0)*VLOOKUP($C66&amp;$E66,'Updated SES'!A:J,10,0)</f>
        <v>0.24</v>
      </c>
      <c r="O66" s="124" t="e">
        <f>VLOOKUP($B66,'Language Penetration'!$B$1:$BE$14,MATCH('Compile data Working'!#REF!,'Language Penetration'!$B$1:$BE$1,0),0)</f>
        <v>#REF!</v>
      </c>
      <c r="P66" s="124" t="str">
        <f ca="1">IF(ISBLANK(J66),RANDBETWEEN(1,2)&amp;"%",IF(J66=1,RANDBETWEEN(35,40)&amp;"%",IF(J66=2,RANDBETWEEN(30,35)&amp;"%",IF(J66=3,RANDBETWEEN(25,30)&amp;"%",IF(J66=4,RANDBETWEEN(20,25)&amp;"%",IF(J66=5,RANDBETWEEN(15,20)&amp;"%",IF(J66=6,RANDBETWEEN(10,15)&amp;"%",IF(J66=7,RANDBETWEEN(8,10)&amp;"%",IF(J66=8,RANDBETWEEN(6,8)&amp;"%",IF(J66=9,RANDBETWEEN(4,6)&amp;"%",IF(J66=10,RANDBETWEEN(2,4)&amp;"%","")))))))))))</f>
        <v>2%</v>
      </c>
      <c r="Q66" s="123" t="e">
        <f ca="1">IFERROR(L66*(M66+N66)*O66*P66,RANDBETWEEN(1,2)%*L66*(M66+N66)*O66)</f>
        <v>#REF!</v>
      </c>
      <c r="R66" s="125">
        <f>VLOOKUP(D:D,ranking!W:X,2,0)</f>
        <v>0.6</v>
      </c>
      <c r="S66" s="126" t="e">
        <f ca="1">R66*Q66</f>
        <v>#REF!</v>
      </c>
      <c r="T66" s="123">
        <v>3.4071394149658047</v>
      </c>
    </row>
    <row r="67" spans="1:20" x14ac:dyDescent="0.25">
      <c r="A67" s="98" t="s">
        <v>2002</v>
      </c>
      <c r="B67" s="98" t="s">
        <v>85</v>
      </c>
      <c r="C67" s="46" t="s">
        <v>906</v>
      </c>
      <c r="D67" s="46" t="s">
        <v>1012</v>
      </c>
      <c r="E67" s="46" t="s">
        <v>211</v>
      </c>
      <c r="F67" s="46" t="s">
        <v>215</v>
      </c>
      <c r="G67" s="46" t="s">
        <v>1994</v>
      </c>
      <c r="H67" s="46" t="s">
        <v>20</v>
      </c>
      <c r="I67" s="129">
        <v>46164</v>
      </c>
      <c r="J67" s="98"/>
      <c r="K67" s="46" t="s">
        <v>216</v>
      </c>
      <c r="L67" s="123">
        <f>VLOOKUP($C67&amp;$E67,'Updated SES'!A:N,14,0)</f>
        <v>127.11702000000001</v>
      </c>
      <c r="M67" s="124">
        <f>VLOOKUP($K67,'Genre Penetration'!A:B,2,0)*VLOOKUP($C67&amp;$E67,'Updated SES'!A:I,9,0)</f>
        <v>0.33499999999999996</v>
      </c>
      <c r="N67" s="124">
        <f>VLOOKUP(K:K,'Genre Penetration'!A:C,3,0)*VLOOKUP($C67&amp;$E67,'Updated SES'!A:J,10,0)</f>
        <v>0.16499999999999998</v>
      </c>
      <c r="O67" s="124">
        <f>VLOOKUP($B67,'Language Penetration'!$B$1:$BE$14,MATCH('Compile data Working'!$H95,'Language Penetration'!$B$1:$BE$1,0),0)</f>
        <v>0.15</v>
      </c>
      <c r="P67" s="124" t="str">
        <f ca="1">IF(ISBLANK(J67),RANDBETWEEN(1,2)&amp;"%",IF(J67=1,RANDBETWEEN(35,40)&amp;"%",IF(J67=2,RANDBETWEEN(30,35)&amp;"%",IF(J67=3,RANDBETWEEN(25,30)&amp;"%",IF(J67=4,RANDBETWEEN(20,25)&amp;"%",IF(J67=5,RANDBETWEEN(15,20)&amp;"%",IF(J67=6,RANDBETWEEN(10,15)&amp;"%",IF(J67=7,RANDBETWEEN(8,10)&amp;"%",IF(J67=8,RANDBETWEEN(6,8)&amp;"%",IF(J67=9,RANDBETWEEN(4,6)&amp;"%",IF(J67=10,RANDBETWEEN(2,4)&amp;"%","")))))))))))</f>
        <v>2%</v>
      </c>
      <c r="Q67" s="123">
        <f ca="1">IFERROR(L67*(M67+N67)*O67*P67,RANDBETWEEN(1,2)%*L67*(M67+N67)*O67)</f>
        <v>0.19067553000000001</v>
      </c>
      <c r="R67" s="125">
        <f>VLOOKUP(D:D,ranking!W:X,2,0)</f>
        <v>0.6</v>
      </c>
      <c r="S67" s="126">
        <f ca="1">R67*Q67</f>
        <v>0.11440531800000001</v>
      </c>
      <c r="T67" s="123">
        <v>3.4050596981050876</v>
      </c>
    </row>
    <row r="68" spans="1:20" x14ac:dyDescent="0.25">
      <c r="A68" s="98" t="s">
        <v>2002</v>
      </c>
      <c r="B68" s="98" t="s">
        <v>85</v>
      </c>
      <c r="C68" s="46" t="s">
        <v>150</v>
      </c>
      <c r="D68" s="46" t="s">
        <v>1012</v>
      </c>
      <c r="E68" s="46" t="s">
        <v>211</v>
      </c>
      <c r="F68" s="46" t="s">
        <v>215</v>
      </c>
      <c r="G68" s="46" t="s">
        <v>1992</v>
      </c>
      <c r="H68" s="46" t="s">
        <v>19</v>
      </c>
      <c r="I68" s="129">
        <v>46164</v>
      </c>
      <c r="J68" s="98">
        <v>1</v>
      </c>
      <c r="K68" s="46" t="s">
        <v>84</v>
      </c>
      <c r="L68" s="123">
        <f>VLOOKUP($C68&amp;$E68,'Updated SES'!A:N,14,0)</f>
        <v>60.152000000000001</v>
      </c>
      <c r="M68" s="124">
        <f>VLOOKUP($K68,'Genre Penetration'!A:B,2,0)*VLOOKUP($C68&amp;$E68,'Updated SES'!A:I,9,0)</f>
        <v>0.41600000000000004</v>
      </c>
      <c r="N68" s="124">
        <f>VLOOKUP(K:K,'Genre Penetration'!A:C,3,0)*VLOOKUP($C68&amp;$E68,'Updated SES'!A:J,10,0)</f>
        <v>0.126</v>
      </c>
      <c r="O68" s="124">
        <f>VLOOKUP($B68,'Language Penetration'!$B$1:$BE$14,MATCH('Compile data Working'!$H160,'Language Penetration'!$B$1:$BE$1,0),0)</f>
        <v>0.6</v>
      </c>
      <c r="P68" s="124" t="str">
        <f ca="1">IF(ISBLANK(J68),RANDBETWEEN(1,2)&amp;"%",IF(J68=1,RANDBETWEEN(35,40)&amp;"%",IF(J68=2,RANDBETWEEN(30,35)&amp;"%",IF(J68=3,RANDBETWEEN(25,30)&amp;"%",IF(J68=4,RANDBETWEEN(20,25)&amp;"%",IF(J68=5,RANDBETWEEN(15,20)&amp;"%",IF(J68=6,RANDBETWEEN(10,15)&amp;"%",IF(J68=7,RANDBETWEEN(8,10)&amp;"%",IF(J68=8,RANDBETWEEN(6,8)&amp;"%",IF(J68=9,RANDBETWEEN(4,6)&amp;"%",IF(J68=10,RANDBETWEEN(2,4)&amp;"%","")))))))))))</f>
        <v>35%</v>
      </c>
      <c r="Q68" s="123">
        <f ca="1">IFERROR(L68*(M68+N68)*O68*P68,RANDBETWEEN(1,2)%*L68*(M68+N68)*O68)</f>
        <v>6.8465006399999995</v>
      </c>
      <c r="R68" s="125">
        <f>VLOOKUP(D:D,ranking!W:X,2,0)</f>
        <v>0.6</v>
      </c>
      <c r="S68" s="126">
        <f ca="1">R68*Q68</f>
        <v>4.1079003839999997</v>
      </c>
      <c r="T68" s="123">
        <v>3.4040408154319994</v>
      </c>
    </row>
    <row r="69" spans="1:20" x14ac:dyDescent="0.25">
      <c r="A69" s="98" t="s">
        <v>2002</v>
      </c>
      <c r="B69" s="98" t="s">
        <v>85</v>
      </c>
      <c r="C69" s="46" t="s">
        <v>123</v>
      </c>
      <c r="D69" s="46" t="s">
        <v>1012</v>
      </c>
      <c r="E69" s="46" t="s">
        <v>211</v>
      </c>
      <c r="F69" s="46" t="s">
        <v>215</v>
      </c>
      <c r="G69" s="46" t="s">
        <v>1969</v>
      </c>
      <c r="H69" s="46" t="s">
        <v>20</v>
      </c>
      <c r="I69" s="129">
        <v>46163</v>
      </c>
      <c r="J69" s="98"/>
      <c r="K69" s="46" t="s">
        <v>158</v>
      </c>
      <c r="L69" s="123">
        <f>VLOOKUP($C69&amp;$E69,'Updated SES'!A:N,14,0)</f>
        <v>55.459200000000003</v>
      </c>
      <c r="M69" s="124">
        <f>VLOOKUP($K69,'Genre Penetration'!A:B,2,0)*VLOOKUP($C69&amp;$E69,'Updated SES'!A:I,9,0)</f>
        <v>0.2205</v>
      </c>
      <c r="N69" s="124">
        <f>VLOOKUP(K:K,'Genre Penetration'!A:C,3,0)*VLOOKUP($C69&amp;$E69,'Updated SES'!A:J,10,0)</f>
        <v>0.28050000000000003</v>
      </c>
      <c r="O69" s="124">
        <f>VLOOKUP($B69,'Language Penetration'!$B$1:$BE$14,MATCH('Compile data Working'!$H86,'Language Penetration'!$B$1:$BE$1,0),0)</f>
        <v>7.0000000000000007E-2</v>
      </c>
      <c r="P69" s="124" t="str">
        <f ca="1">IF(ISBLANK(J69),RANDBETWEEN(1,2)&amp;"%",IF(J69=1,RANDBETWEEN(35,40)&amp;"%",IF(J69=2,RANDBETWEEN(30,35)&amp;"%",IF(J69=3,RANDBETWEEN(25,30)&amp;"%",IF(J69=4,RANDBETWEEN(20,25)&amp;"%",IF(J69=5,RANDBETWEEN(15,20)&amp;"%",IF(J69=6,RANDBETWEEN(10,15)&amp;"%",IF(J69=7,RANDBETWEEN(8,10)&amp;"%",IF(J69=8,RANDBETWEEN(6,8)&amp;"%",IF(J69=9,RANDBETWEEN(4,6)&amp;"%",IF(J69=10,RANDBETWEEN(2,4)&amp;"%","")))))))))))</f>
        <v>1%</v>
      </c>
      <c r="Q69" s="123">
        <f ca="1">IFERROR(L69*(M69+N69)*O69*P69,RANDBETWEEN(1,2)%*L69*(M69+N69)*O69)</f>
        <v>1.9449541440000006E-2</v>
      </c>
      <c r="R69" s="125">
        <f>VLOOKUP(D:D,ranking!W:X,2,0)</f>
        <v>0.6</v>
      </c>
      <c r="S69" s="126">
        <f ca="1">R69*Q69</f>
        <v>1.1669724864000003E-2</v>
      </c>
      <c r="T69" s="123">
        <v>3.3280339008151993</v>
      </c>
    </row>
    <row r="70" spans="1:20" x14ac:dyDescent="0.25">
      <c r="A70" s="98" t="s">
        <v>1057</v>
      </c>
      <c r="B70" s="98" t="s">
        <v>85</v>
      </c>
      <c r="C70" s="98" t="s">
        <v>906</v>
      </c>
      <c r="D70" s="98" t="s">
        <v>434</v>
      </c>
      <c r="E70" s="46" t="s">
        <v>211</v>
      </c>
      <c r="F70" s="46" t="s">
        <v>213</v>
      </c>
      <c r="G70" s="46" t="s">
        <v>1900</v>
      </c>
      <c r="H70" s="46" t="s">
        <v>246</v>
      </c>
      <c r="I70" s="129">
        <v>46150</v>
      </c>
      <c r="J70" s="119">
        <v>5</v>
      </c>
      <c r="K70" s="46" t="s">
        <v>138</v>
      </c>
      <c r="L70" s="123">
        <f>VLOOKUP($C70&amp;$E70,'Updated SES'!A:N,14,0)</f>
        <v>127.11702000000001</v>
      </c>
      <c r="M70" s="124">
        <f>VLOOKUP($K70,'Genre Penetration'!A:B,2,0)*VLOOKUP($C70&amp;$E70,'Updated SES'!A:I,9,0)</f>
        <v>0.31489999999999996</v>
      </c>
      <c r="N70" s="124">
        <f>VLOOKUP(K:K,'Genre Penetration'!A:C,3,0)*VLOOKUP($C70&amp;$E70,'Updated SES'!A:J,10,0)</f>
        <v>0.1749</v>
      </c>
      <c r="O70" s="124" t="e">
        <f>VLOOKUP($B70,'Language Penetration'!$B$1:$BE$14,MATCH('Compile data Working'!$H155,'Language Penetration'!$B$1:$BE$1,0),0)</f>
        <v>#N/A</v>
      </c>
      <c r="P70" s="124" t="str">
        <f ca="1">IF(ISBLANK(J70),RANDBETWEEN(1,2)&amp;"%",IF(J70=1,RANDBETWEEN(35,40)&amp;"%",IF(J70=2,RANDBETWEEN(30,35)&amp;"%",IF(J70=3,RANDBETWEEN(25,30)&amp;"%",IF(J70=4,RANDBETWEEN(20,25)&amp;"%",IF(J70=5,RANDBETWEEN(15,20)&amp;"%",IF(J70=6,RANDBETWEEN(10,15)&amp;"%",IF(J70=7,RANDBETWEEN(8,10)&amp;"%",IF(J70=8,RANDBETWEEN(6,8)&amp;"%",IF(J70=9,RANDBETWEEN(4,6)&amp;"%",IF(J70=10,RANDBETWEEN(2,4)&amp;"%","")))))))))))</f>
        <v>19%</v>
      </c>
      <c r="Q70" s="123" t="e">
        <f ca="1">IFERROR(L70*(M70+N70)*O70*P70,RANDBETWEEN(1,2)%*L70*(M70+N70)*O70)</f>
        <v>#N/A</v>
      </c>
      <c r="R70" s="125">
        <f>VLOOKUP(D:D,ranking!W:X,2,0)</f>
        <v>0.7</v>
      </c>
      <c r="S70" s="126" t="e">
        <f ca="1">R70*Q70</f>
        <v>#N/A</v>
      </c>
      <c r="T70" s="123">
        <v>3.3189753561748616</v>
      </c>
    </row>
    <row r="71" spans="1:20" x14ac:dyDescent="0.25">
      <c r="A71" s="98" t="s">
        <v>1057</v>
      </c>
      <c r="B71" s="98" t="s">
        <v>85</v>
      </c>
      <c r="C71" s="46" t="s">
        <v>123</v>
      </c>
      <c r="D71" s="98" t="s">
        <v>434</v>
      </c>
      <c r="E71" s="46" t="s">
        <v>211</v>
      </c>
      <c r="F71" s="46" t="s">
        <v>213</v>
      </c>
      <c r="G71" s="46" t="s">
        <v>1904</v>
      </c>
      <c r="H71" s="46" t="s">
        <v>246</v>
      </c>
      <c r="I71" s="129">
        <v>46128</v>
      </c>
      <c r="J71" s="46">
        <v>7</v>
      </c>
      <c r="K71" s="46" t="s">
        <v>154</v>
      </c>
      <c r="L71" s="123">
        <f>VLOOKUP($C71&amp;$E71,'Updated SES'!A:N,14,0)</f>
        <v>55.459200000000003</v>
      </c>
      <c r="M71" s="124">
        <f>VLOOKUP($K71,'Genre Penetration'!A:B,2,0)*VLOOKUP($C71&amp;$E71,'Updated SES'!A:I,9,0)</f>
        <v>0.14699999999999999</v>
      </c>
      <c r="N71" s="124">
        <f>VLOOKUP(K:K,'Genre Penetration'!A:C,3,0)*VLOOKUP($C71&amp;$E71,'Updated SES'!A:J,10,0)</f>
        <v>0.35699999999999998</v>
      </c>
      <c r="O71" s="124" t="e">
        <f>VLOOKUP($B71,'Language Penetration'!$B$1:$BE$14,MATCH('Compile data Working'!$H233,'Language Penetration'!$B$1:$BE$1,0),0)</f>
        <v>#N/A</v>
      </c>
      <c r="P71" s="124" t="str">
        <f ca="1">IF(ISBLANK(J71),RANDBETWEEN(1,2)&amp;"%",IF(J71=1,RANDBETWEEN(35,40)&amp;"%",IF(J71=2,RANDBETWEEN(30,35)&amp;"%",IF(J71=3,RANDBETWEEN(25,30)&amp;"%",IF(J71=4,RANDBETWEEN(20,25)&amp;"%",IF(J71=5,RANDBETWEEN(15,20)&amp;"%",IF(J71=6,RANDBETWEEN(10,15)&amp;"%",IF(J71=7,RANDBETWEEN(8,10)&amp;"%",IF(J71=8,RANDBETWEEN(6,8)&amp;"%",IF(J71=9,RANDBETWEEN(4,6)&amp;"%",IF(J71=10,RANDBETWEEN(2,4)&amp;"%","")))))))))))</f>
        <v>10%</v>
      </c>
      <c r="Q71" s="123" t="e">
        <f ca="1">IFERROR(L71*(M71+N71)*O71*P71,RANDBETWEEN(1,2)%*L71*(M71+N71)*O71)</f>
        <v>#N/A</v>
      </c>
      <c r="R71" s="125">
        <f>VLOOKUP(D:D,ranking!W:X,2,0)</f>
        <v>0.7</v>
      </c>
      <c r="S71" s="126" t="e">
        <f ca="1">R71*Q71</f>
        <v>#N/A</v>
      </c>
      <c r="T71" s="123">
        <v>3.2263897690419201</v>
      </c>
    </row>
    <row r="72" spans="1:20" x14ac:dyDescent="0.25">
      <c r="A72" s="98" t="s">
        <v>2002</v>
      </c>
      <c r="B72" s="98" t="s">
        <v>85</v>
      </c>
      <c r="C72" s="46" t="s">
        <v>123</v>
      </c>
      <c r="D72" s="46" t="s">
        <v>1012</v>
      </c>
      <c r="E72" s="46" t="s">
        <v>211</v>
      </c>
      <c r="F72" s="46" t="s">
        <v>215</v>
      </c>
      <c r="G72" s="46" t="s">
        <v>1983</v>
      </c>
      <c r="H72" s="46" t="s">
        <v>21</v>
      </c>
      <c r="I72" s="129">
        <v>46164</v>
      </c>
      <c r="J72" s="98"/>
      <c r="K72" s="46" t="s">
        <v>977</v>
      </c>
      <c r="L72" s="123">
        <f>VLOOKUP($C72&amp;$E72,'Updated SES'!A:N,14,0)</f>
        <v>55.459200000000003</v>
      </c>
      <c r="M72" s="124">
        <f>VLOOKUP($K72,'Genre Penetration'!A:B,2,0)*VLOOKUP($C72&amp;$E72,'Updated SES'!A:I,9,0)</f>
        <v>0.26950000000000002</v>
      </c>
      <c r="N72" s="124">
        <f>VLOOKUP(K:K,'Genre Penetration'!A:C,3,0)*VLOOKUP($C72&amp;$E72,'Updated SES'!A:J,10,0)</f>
        <v>0.22950000000000001</v>
      </c>
      <c r="O72" s="124" t="e">
        <f>VLOOKUP($B72,'Language Penetration'!$B$1:$BE$14,MATCH('Compile data Working'!#REF!,'Language Penetration'!$B$1:$BE$1,0),0)</f>
        <v>#REF!</v>
      </c>
      <c r="P72" s="124" t="str">
        <f ca="1">IF(ISBLANK(J72),RANDBETWEEN(1,2)&amp;"%",IF(J72=1,RANDBETWEEN(35,40)&amp;"%",IF(J72=2,RANDBETWEEN(30,35)&amp;"%",IF(J72=3,RANDBETWEEN(25,30)&amp;"%",IF(J72=4,RANDBETWEEN(20,25)&amp;"%",IF(J72=5,RANDBETWEEN(15,20)&amp;"%",IF(J72=6,RANDBETWEEN(10,15)&amp;"%",IF(J72=7,RANDBETWEEN(8,10)&amp;"%",IF(J72=8,RANDBETWEEN(6,8)&amp;"%",IF(J72=9,RANDBETWEEN(4,6)&amp;"%",IF(J72=10,RANDBETWEEN(2,4)&amp;"%","")))))))))))</f>
        <v>1%</v>
      </c>
      <c r="Q72" s="123" t="e">
        <f ca="1">IFERROR(L72*(M72+N72)*O72*P72,RANDBETWEEN(1,2)%*L72*(M72+N72)*O72)</f>
        <v>#REF!</v>
      </c>
      <c r="R72" s="125">
        <f>VLOOKUP(D:D,ranking!W:X,2,0)</f>
        <v>0.6</v>
      </c>
      <c r="S72" s="126" t="e">
        <f ca="1">R72*Q72</f>
        <v>#REF!</v>
      </c>
      <c r="T72" s="123">
        <v>3.2146425677742081</v>
      </c>
    </row>
    <row r="73" spans="1:20" x14ac:dyDescent="0.25">
      <c r="A73" s="98" t="s">
        <v>1057</v>
      </c>
      <c r="B73" s="98" t="s">
        <v>85</v>
      </c>
      <c r="C73" s="98" t="s">
        <v>64</v>
      </c>
      <c r="D73" s="98" t="s">
        <v>434</v>
      </c>
      <c r="E73" s="119" t="s">
        <v>211</v>
      </c>
      <c r="F73" s="46" t="s">
        <v>213</v>
      </c>
      <c r="G73" s="98" t="s">
        <v>1868</v>
      </c>
      <c r="H73" s="98" t="s">
        <v>40</v>
      </c>
      <c r="I73" s="136">
        <v>46154</v>
      </c>
      <c r="J73" s="119">
        <v>5</v>
      </c>
      <c r="K73" s="98" t="s">
        <v>980</v>
      </c>
      <c r="L73" s="123">
        <f>VLOOKUP($C73&amp;$E73,'Updated SES'!A:N,14,0)</f>
        <v>36.498239999999996</v>
      </c>
      <c r="M73" s="124">
        <f>VLOOKUP($K73,'Genre Penetration'!A:B,2,0)*VLOOKUP($C73&amp;$E73,'Updated SES'!A:I,9,0)</f>
        <v>0.312</v>
      </c>
      <c r="N73" s="124">
        <f>VLOOKUP(K:K,'Genre Penetration'!A:C,3,0)*VLOOKUP($C73&amp;$E73,'Updated SES'!A:J,10,0)</f>
        <v>0.192</v>
      </c>
      <c r="O73" s="124">
        <f>VLOOKUP($B73,'Language Penetration'!$B$1:$BE$14,MATCH('Compile data Working'!$H94,'Language Penetration'!$B$1:$BE$1,0),0)</f>
        <v>0.2</v>
      </c>
      <c r="P73" s="124" t="str">
        <f ca="1">IF(ISBLANK(J73),RANDBETWEEN(1,2)&amp;"%",IF(J73=1,RANDBETWEEN(35,40)&amp;"%",IF(J73=2,RANDBETWEEN(30,35)&amp;"%",IF(J73=3,RANDBETWEEN(25,30)&amp;"%",IF(J73=4,RANDBETWEEN(20,25)&amp;"%",IF(J73=5,RANDBETWEEN(15,20)&amp;"%",IF(J73=6,RANDBETWEEN(10,15)&amp;"%",IF(J73=7,RANDBETWEEN(8,10)&amp;"%",IF(J73=8,RANDBETWEEN(6,8)&amp;"%",IF(J73=9,RANDBETWEEN(4,6)&amp;"%",IF(J73=10,RANDBETWEEN(2,4)&amp;"%","")))))))))))</f>
        <v>16%</v>
      </c>
      <c r="Q73" s="123">
        <f ca="1">IFERROR(L73*(M73+N73)*O73*P73,RANDBETWEEN(1,2)%*L73*(M73+N73)*O73)</f>
        <v>0.58864361472000004</v>
      </c>
      <c r="R73" s="125">
        <f>VLOOKUP(D:D,ranking!W:X,2,0)</f>
        <v>0.7</v>
      </c>
      <c r="S73" s="126">
        <f ca="1">R73*Q73</f>
        <v>0.41205053030400002</v>
      </c>
      <c r="T73" s="123">
        <v>3.1845658429121313</v>
      </c>
    </row>
    <row r="74" spans="1:20" x14ac:dyDescent="0.25">
      <c r="A74" s="98" t="s">
        <v>1057</v>
      </c>
      <c r="B74" s="98" t="s">
        <v>85</v>
      </c>
      <c r="C74" s="98" t="s">
        <v>150</v>
      </c>
      <c r="D74" s="46" t="s">
        <v>1013</v>
      </c>
      <c r="E74" s="98" t="s">
        <v>211</v>
      </c>
      <c r="F74" s="46" t="s">
        <v>213</v>
      </c>
      <c r="G74" s="98" t="s">
        <v>1807</v>
      </c>
      <c r="H74" s="98" t="s">
        <v>19</v>
      </c>
      <c r="I74" s="136">
        <v>46122</v>
      </c>
      <c r="J74" s="119">
        <v>6</v>
      </c>
      <c r="K74" s="98" t="s">
        <v>422</v>
      </c>
      <c r="L74" s="123">
        <f>VLOOKUP($C74&amp;$E74,'Updated SES'!A:N,14,0)</f>
        <v>60.152000000000001</v>
      </c>
      <c r="M74" s="124">
        <f>VLOOKUP($K74,'Genre Penetration'!A:B,2,0)*VLOOKUP($C74&amp;$E74,'Updated SES'!A:I,9,0)</f>
        <v>0.377</v>
      </c>
      <c r="N74" s="124">
        <f>VLOOKUP(K:K,'Genre Penetration'!A:C,3,0)*VLOOKUP($C74&amp;$E74,'Updated SES'!A:J,10,0)</f>
        <v>0.14699999999999999</v>
      </c>
      <c r="O74" s="124" t="e">
        <f>VLOOKUP($B74,'Language Penetration'!$B$1:$BE$14,MATCH('Compile data Working'!$H7,'Language Penetration'!$B$1:$BE$1,0),0)</f>
        <v>#N/A</v>
      </c>
      <c r="P74" s="124" t="str">
        <f ca="1">IF(ISBLANK(J74),RANDBETWEEN(1,2)&amp;"%",IF(J74=1,RANDBETWEEN(35,40)&amp;"%",IF(J74=2,RANDBETWEEN(30,35)&amp;"%",IF(J74=3,RANDBETWEEN(25,30)&amp;"%",IF(J74=4,RANDBETWEEN(20,25)&amp;"%",IF(J74=5,RANDBETWEEN(15,20)&amp;"%",IF(J74=6,RANDBETWEEN(10,15)&amp;"%",IF(J74=7,RANDBETWEEN(8,10)&amp;"%",IF(J74=8,RANDBETWEEN(6,8)&amp;"%",IF(J74=9,RANDBETWEEN(4,6)&amp;"%",IF(J74=10,RANDBETWEEN(2,4)&amp;"%","")))))))))))</f>
        <v>11%</v>
      </c>
      <c r="Q74" s="123" t="e">
        <f ca="1">IFERROR(L74*(M74+N74)*O74*P74,RANDBETWEEN(1,2)%*L74*(M74+N74)*O74)</f>
        <v>#N/A</v>
      </c>
      <c r="R74" s="125">
        <f>VLOOKUP(D:D,ranking!W:X,2,0)</f>
        <v>0.8</v>
      </c>
      <c r="S74" s="126" t="e">
        <f ca="1">R74*Q74</f>
        <v>#N/A</v>
      </c>
      <c r="T74" s="123">
        <v>3.1469185093983443</v>
      </c>
    </row>
    <row r="75" spans="1:20" x14ac:dyDescent="0.25">
      <c r="A75" s="98" t="s">
        <v>2002</v>
      </c>
      <c r="B75" s="98" t="s">
        <v>85</v>
      </c>
      <c r="C75" s="46" t="s">
        <v>906</v>
      </c>
      <c r="D75" s="46" t="s">
        <v>1012</v>
      </c>
      <c r="E75" s="46" t="s">
        <v>211</v>
      </c>
      <c r="F75" s="46" t="s">
        <v>215</v>
      </c>
      <c r="G75" s="46" t="s">
        <v>1945</v>
      </c>
      <c r="H75" s="46" t="s">
        <v>21</v>
      </c>
      <c r="I75" s="129">
        <v>46158</v>
      </c>
      <c r="J75" s="98"/>
      <c r="K75" s="46" t="s">
        <v>216</v>
      </c>
      <c r="L75" s="123">
        <f>VLOOKUP($C75&amp;$E75,'Updated SES'!A:N,14,0)</f>
        <v>127.11702000000001</v>
      </c>
      <c r="M75" s="124">
        <f>VLOOKUP($K75,'Genre Penetration'!A:B,2,0)*VLOOKUP($C75&amp;$E75,'Updated SES'!A:I,9,0)</f>
        <v>0.33499999999999996</v>
      </c>
      <c r="N75" s="124">
        <f>VLOOKUP(K:K,'Genre Penetration'!A:C,3,0)*VLOOKUP($C75&amp;$E75,'Updated SES'!A:J,10,0)</f>
        <v>0.16499999999999998</v>
      </c>
      <c r="O75" s="124" t="e">
        <f>VLOOKUP($B75,'Language Penetration'!$B$1:$BE$14,MATCH('Compile data Working'!$H76,'Language Penetration'!$B$1:$BE$1,0),0)</f>
        <v>#N/A</v>
      </c>
      <c r="P75" s="124" t="str">
        <f ca="1">IF(ISBLANK(J75),RANDBETWEEN(1,2)&amp;"%",IF(J75=1,RANDBETWEEN(35,40)&amp;"%",IF(J75=2,RANDBETWEEN(30,35)&amp;"%",IF(J75=3,RANDBETWEEN(25,30)&amp;"%",IF(J75=4,RANDBETWEEN(20,25)&amp;"%",IF(J75=5,RANDBETWEEN(15,20)&amp;"%",IF(J75=6,RANDBETWEEN(10,15)&amp;"%",IF(J75=7,RANDBETWEEN(8,10)&amp;"%",IF(J75=8,RANDBETWEEN(6,8)&amp;"%",IF(J75=9,RANDBETWEEN(4,6)&amp;"%",IF(J75=10,RANDBETWEEN(2,4)&amp;"%","")))))))))))</f>
        <v>1%</v>
      </c>
      <c r="Q75" s="123" t="e">
        <f ca="1">IFERROR(L75*(M75+N75)*O75*P75,RANDBETWEEN(1,2)%*L75*(M75+N75)*O75)</f>
        <v>#N/A</v>
      </c>
      <c r="R75" s="125">
        <f>VLOOKUP(D:D,ranking!W:X,2,0)</f>
        <v>0.6</v>
      </c>
      <c r="S75" s="126" t="e">
        <f ca="1">R75*Q75</f>
        <v>#N/A</v>
      </c>
      <c r="T75" s="123">
        <v>3.0716542724446718</v>
      </c>
    </row>
    <row r="76" spans="1:20" x14ac:dyDescent="0.25">
      <c r="A76" s="98" t="s">
        <v>1057</v>
      </c>
      <c r="B76" s="98" t="s">
        <v>85</v>
      </c>
      <c r="C76" s="98" t="s">
        <v>64</v>
      </c>
      <c r="D76" s="46" t="s">
        <v>1012</v>
      </c>
      <c r="E76" s="98" t="s">
        <v>211</v>
      </c>
      <c r="F76" s="46" t="s">
        <v>215</v>
      </c>
      <c r="G76" s="98" t="s">
        <v>2005</v>
      </c>
      <c r="H76" s="119" t="s">
        <v>1058</v>
      </c>
      <c r="I76" s="136">
        <v>46154</v>
      </c>
      <c r="J76" s="119">
        <v>10</v>
      </c>
      <c r="K76" s="98" t="s">
        <v>1415</v>
      </c>
      <c r="L76" s="123">
        <f>VLOOKUP($C76&amp;$E76,'Updated SES'!A:N,14,0)</f>
        <v>36.498239999999996</v>
      </c>
      <c r="M76" s="124">
        <f>VLOOKUP($K76,'Genre Penetration'!A:B,2,0)*VLOOKUP($C76&amp;$E76,'Updated SES'!A:I,9,0)</f>
        <v>0.28945768960674173</v>
      </c>
      <c r="N76" s="124">
        <f>VLOOKUP(K:K,'Genre Penetration'!A:C,3,0)*VLOOKUP($C76&amp;$E76,'Updated SES'!A:J,10,0)</f>
        <v>0.21280828651685388</v>
      </c>
      <c r="O76" s="124" t="e">
        <f>VLOOKUP($B76,'Language Penetration'!$B$1:$BE$14,MATCH('Compile data Working'!$H21,'Language Penetration'!$B$1:$BE$1,0),0)</f>
        <v>#N/A</v>
      </c>
      <c r="P76" s="124" t="str">
        <f ca="1">IF(ISBLANK(J76),RANDBETWEEN(1,2)&amp;"%",IF(J76=1,RANDBETWEEN(35,40)&amp;"%",IF(J76=2,RANDBETWEEN(30,35)&amp;"%",IF(J76=3,RANDBETWEEN(25,30)&amp;"%",IF(J76=4,RANDBETWEEN(20,25)&amp;"%",IF(J76=5,RANDBETWEEN(15,20)&amp;"%",IF(J76=6,RANDBETWEEN(10,15)&amp;"%",IF(J76=7,RANDBETWEEN(8,10)&amp;"%",IF(J76=8,RANDBETWEEN(6,8)&amp;"%",IF(J76=9,RANDBETWEEN(4,6)&amp;"%",IF(J76=10,RANDBETWEEN(2,4)&amp;"%","")))))))))))</f>
        <v>4%</v>
      </c>
      <c r="Q76" s="123" t="e">
        <f ca="1">IFERROR(L76*(M76+N76)*O76*P76,RANDBETWEEN(1,2)%*L76*(M76+N76)*O76)</f>
        <v>#N/A</v>
      </c>
      <c r="R76" s="125">
        <f>VLOOKUP(D:D,ranking!W:X,2,0)</f>
        <v>0.6</v>
      </c>
      <c r="S76" s="126" t="e">
        <f ca="1">R76*Q76</f>
        <v>#N/A</v>
      </c>
      <c r="T76" s="123">
        <v>3.0028375782399999</v>
      </c>
    </row>
    <row r="77" spans="1:20" x14ac:dyDescent="0.25">
      <c r="A77" s="98" t="s">
        <v>2002</v>
      </c>
      <c r="B77" s="98" t="s">
        <v>85</v>
      </c>
      <c r="C77" s="46" t="s">
        <v>100</v>
      </c>
      <c r="D77" s="98" t="s">
        <v>434</v>
      </c>
      <c r="E77" s="46" t="s">
        <v>211</v>
      </c>
      <c r="F77" s="46" t="s">
        <v>213</v>
      </c>
      <c r="G77" s="53" t="s">
        <v>1974</v>
      </c>
      <c r="H77" s="46" t="s">
        <v>23</v>
      </c>
      <c r="I77" s="129">
        <v>46163</v>
      </c>
      <c r="J77" s="98"/>
      <c r="K77" s="46" t="s">
        <v>124</v>
      </c>
      <c r="L77" s="123">
        <f>VLOOKUP($C77&amp;$E77,'Updated SES'!A:N,14,0)</f>
        <v>1.8480000000000003</v>
      </c>
      <c r="M77" s="124">
        <f>VLOOKUP($K77,'Genre Penetration'!A:B,2,0)*VLOOKUP($C77&amp;$E77,'Updated SES'!A:I,9,0)</f>
        <v>0.35100000000000003</v>
      </c>
      <c r="N77" s="124">
        <f>VLOOKUP(K:K,'Genre Penetration'!A:C,3,0)*VLOOKUP($C77&amp;$E77,'Updated SES'!A:J,10,0)</f>
        <v>0.12100000000000001</v>
      </c>
      <c r="O77" s="124">
        <v>8.0000000000000002E-3</v>
      </c>
      <c r="P77" s="124" t="str">
        <f ca="1">IF(ISBLANK(J77),RANDBETWEEN(1,2)&amp;"%",IF(J77=1,RANDBETWEEN(35,40)&amp;"%",IF(J77=2,RANDBETWEEN(30,35)&amp;"%",IF(J77=3,RANDBETWEEN(25,30)&amp;"%",IF(J77=4,RANDBETWEEN(20,25)&amp;"%",IF(J77=5,RANDBETWEEN(15,20)&amp;"%",IF(J77=6,RANDBETWEEN(10,15)&amp;"%",IF(J77=7,RANDBETWEEN(8,10)&amp;"%",IF(J77=8,RANDBETWEEN(6,8)&amp;"%",IF(J77=9,RANDBETWEEN(4,6)&amp;"%",IF(J77=10,RANDBETWEEN(2,4)&amp;"%","")))))))))))</f>
        <v>1%</v>
      </c>
      <c r="Q77" s="123">
        <f ca="1">IFERROR(L77*(M77+N77)*O77*P77,RANDBETWEEN(1,2)%*L77*(M77+N77)*O77)</f>
        <v>6.9780480000000019E-5</v>
      </c>
      <c r="R77" s="125">
        <f>VLOOKUP(D:D,ranking!W:X,2,0)</f>
        <v>0.7</v>
      </c>
      <c r="S77" s="126">
        <f ca="1">R77*Q77</f>
        <v>4.8846336000000012E-5</v>
      </c>
      <c r="T77" s="123">
        <v>2.98130231334338</v>
      </c>
    </row>
    <row r="78" spans="1:20" x14ac:dyDescent="0.25">
      <c r="A78" s="98" t="s">
        <v>1057</v>
      </c>
      <c r="B78" s="98" t="s">
        <v>85</v>
      </c>
      <c r="C78" s="98" t="s">
        <v>64</v>
      </c>
      <c r="D78" s="46" t="s">
        <v>1012</v>
      </c>
      <c r="E78" s="98" t="s">
        <v>211</v>
      </c>
      <c r="F78" s="46" t="s">
        <v>215</v>
      </c>
      <c r="G78" s="120" t="s">
        <v>1892</v>
      </c>
      <c r="H78" s="120" t="s">
        <v>19</v>
      </c>
      <c r="I78" s="136">
        <v>46143</v>
      </c>
      <c r="J78" s="119">
        <v>4</v>
      </c>
      <c r="K78" s="98" t="s">
        <v>980</v>
      </c>
      <c r="L78" s="123">
        <f>VLOOKUP($C78&amp;$E78,'Updated SES'!A:N,14,0)</f>
        <v>36.498239999999996</v>
      </c>
      <c r="M78" s="124">
        <f>VLOOKUP($K78,'Genre Penetration'!A:B,2,0)*VLOOKUP($C78&amp;$E78,'Updated SES'!A:I,9,0)</f>
        <v>0.312</v>
      </c>
      <c r="N78" s="124">
        <f>VLOOKUP(K:K,'Genre Penetration'!A:C,3,0)*VLOOKUP($C78&amp;$E78,'Updated SES'!A:J,10,0)</f>
        <v>0.192</v>
      </c>
      <c r="O78" s="124">
        <f>VLOOKUP($B78,'Language Penetration'!$B$1:$BE$14,MATCH('Compile data Working'!$H205,'Language Penetration'!$B$1:$BE$1,0),0)</f>
        <v>0.2</v>
      </c>
      <c r="P78" s="124" t="str">
        <f ca="1">IF(ISBLANK(J78),RANDBETWEEN(1,2)&amp;"%",IF(J78=1,RANDBETWEEN(35,40)&amp;"%",IF(J78=2,RANDBETWEEN(30,35)&amp;"%",IF(J78=3,RANDBETWEEN(25,30)&amp;"%",IF(J78=4,RANDBETWEEN(20,25)&amp;"%",IF(J78=5,RANDBETWEEN(15,20)&amp;"%",IF(J78=6,RANDBETWEEN(10,15)&amp;"%",IF(J78=7,RANDBETWEEN(8,10)&amp;"%",IF(J78=8,RANDBETWEEN(6,8)&amp;"%",IF(J78=9,RANDBETWEEN(4,6)&amp;"%",IF(J78=10,RANDBETWEEN(2,4)&amp;"%","")))))))))))</f>
        <v>21%</v>
      </c>
      <c r="Q78" s="123">
        <f ca="1">IFERROR(L78*(M78+N78)*O78*P78,RANDBETWEEN(1,2)%*L78*(M78+N78)*O78)</f>
        <v>0.77259474431999997</v>
      </c>
      <c r="R78" s="125">
        <f>VLOOKUP(D:D,ranking!W:X,2,0)</f>
        <v>0.6</v>
      </c>
      <c r="S78" s="126">
        <f ca="1">R78*Q78</f>
        <v>0.46355684659199997</v>
      </c>
      <c r="T78" s="123">
        <v>2.9706420139476992</v>
      </c>
    </row>
    <row r="79" spans="1:20" x14ac:dyDescent="0.25">
      <c r="A79" s="98" t="s">
        <v>2002</v>
      </c>
      <c r="B79" s="98" t="s">
        <v>85</v>
      </c>
      <c r="C79" s="46" t="s">
        <v>406</v>
      </c>
      <c r="D79" s="46" t="s">
        <v>1012</v>
      </c>
      <c r="E79" s="46" t="s">
        <v>211</v>
      </c>
      <c r="F79" s="46" t="s">
        <v>215</v>
      </c>
      <c r="G79" s="46" t="s">
        <v>1961</v>
      </c>
      <c r="H79" s="46" t="s">
        <v>20</v>
      </c>
      <c r="I79" s="129">
        <v>46162</v>
      </c>
      <c r="J79" s="98">
        <v>4</v>
      </c>
      <c r="K79" s="46" t="s">
        <v>156</v>
      </c>
      <c r="L79" s="123">
        <f>VLOOKUP($C79&amp;$E79,'Updated SES'!A:N,14,0)</f>
        <v>1.669</v>
      </c>
      <c r="M79" s="124">
        <f>VLOOKUP($K79,'Genre Penetration'!A:B,2,0)*VLOOKUP($C79&amp;$E79,'Updated SES'!A:I,9,0)</f>
        <v>0.39600000000000002</v>
      </c>
      <c r="N79" s="124">
        <f>VLOOKUP(K:K,'Genre Penetration'!A:C,3,0)*VLOOKUP($C79&amp;$E79,'Updated SES'!A:J,10,0)</f>
        <v>0.13600000000000001</v>
      </c>
      <c r="O79" s="124" t="e">
        <f>VLOOKUP($B79,'Language Penetration'!$B$1:$BE$14,MATCH('Compile data Working'!#REF!,'Language Penetration'!$B$1:$BE$1,0),0)</f>
        <v>#REF!</v>
      </c>
      <c r="P79" s="124" t="str">
        <f ca="1">IF(ISBLANK(J79),RANDBETWEEN(1,2)&amp;"%",IF(J79=1,RANDBETWEEN(35,40)&amp;"%",IF(J79=2,RANDBETWEEN(30,35)&amp;"%",IF(J79=3,RANDBETWEEN(25,30)&amp;"%",IF(J79=4,RANDBETWEEN(20,25)&amp;"%",IF(J79=5,RANDBETWEEN(15,20)&amp;"%",IF(J79=6,RANDBETWEEN(10,15)&amp;"%",IF(J79=7,RANDBETWEEN(8,10)&amp;"%",IF(J79=8,RANDBETWEEN(6,8)&amp;"%",IF(J79=9,RANDBETWEEN(4,6)&amp;"%",IF(J79=10,RANDBETWEEN(2,4)&amp;"%","")))))))))))</f>
        <v>20%</v>
      </c>
      <c r="Q79" s="123" t="e">
        <f ca="1">IFERROR(L79*(M79+N79)*O79*P79,RANDBETWEEN(1,2)%*L79*(M79+N79)*O79)</f>
        <v>#REF!</v>
      </c>
      <c r="R79" s="125">
        <f>VLOOKUP(D:D,ranking!W:X,2,0)</f>
        <v>0.6</v>
      </c>
      <c r="S79" s="126" t="e">
        <f ca="1">R79*Q79</f>
        <v>#REF!</v>
      </c>
      <c r="T79" s="123">
        <v>2.9699998074864227</v>
      </c>
    </row>
    <row r="80" spans="1:20" x14ac:dyDescent="0.25">
      <c r="A80" s="98" t="s">
        <v>1057</v>
      </c>
      <c r="B80" s="98" t="s">
        <v>85</v>
      </c>
      <c r="C80" s="46" t="s">
        <v>123</v>
      </c>
      <c r="D80" s="46" t="s">
        <v>1012</v>
      </c>
      <c r="E80" s="46" t="s">
        <v>211</v>
      </c>
      <c r="F80" s="46" t="s">
        <v>215</v>
      </c>
      <c r="G80" s="46" t="s">
        <v>1879</v>
      </c>
      <c r="H80" s="46" t="s">
        <v>28</v>
      </c>
      <c r="I80" s="129">
        <v>46157</v>
      </c>
      <c r="J80" s="46">
        <v>3</v>
      </c>
      <c r="K80" s="46" t="s">
        <v>52</v>
      </c>
      <c r="L80" s="123">
        <f>VLOOKUP($C80&amp;$E80,'Updated SES'!A:N,14,0)</f>
        <v>55.459200000000003</v>
      </c>
      <c r="M80" s="124">
        <f>VLOOKUP($K80,'Genre Penetration'!A:B,2,0)*VLOOKUP($C80&amp;$E80,'Updated SES'!A:I,9,0)</f>
        <v>0.29399999999999998</v>
      </c>
      <c r="N80" s="124">
        <f>VLOOKUP(K:K,'Genre Penetration'!A:C,3,0)*VLOOKUP($C80&amp;$E80,'Updated SES'!A:J,10,0)</f>
        <v>0.20400000000000001</v>
      </c>
      <c r="O80" s="124">
        <f>VLOOKUP($B80,'Language Penetration'!$B$1:$BE$14,MATCH('Compile data Working'!$H66,'Language Penetration'!$B$1:$BE$1,0),0)</f>
        <v>0.6</v>
      </c>
      <c r="P80" s="124" t="str">
        <f ca="1">IF(ISBLANK(J80),RANDBETWEEN(1,2)&amp;"%",IF(J80=1,RANDBETWEEN(35,40)&amp;"%",IF(J80=2,RANDBETWEEN(30,35)&amp;"%",IF(J80=3,RANDBETWEEN(25,30)&amp;"%",IF(J80=4,RANDBETWEEN(20,25)&amp;"%",IF(J80=5,RANDBETWEEN(15,20)&amp;"%",IF(J80=6,RANDBETWEEN(10,15)&amp;"%",IF(J80=7,RANDBETWEEN(8,10)&amp;"%",IF(J80=8,RANDBETWEEN(6,8)&amp;"%",IF(J80=9,RANDBETWEEN(4,6)&amp;"%",IF(J80=10,RANDBETWEEN(2,4)&amp;"%","")))))))))))</f>
        <v>25%</v>
      </c>
      <c r="Q80" s="123">
        <f ca="1">IFERROR(L80*(M80+N80)*O80*P80,RANDBETWEEN(1,2)%*L80*(M80+N80)*O80)</f>
        <v>4.14280224</v>
      </c>
      <c r="R80" s="125">
        <f>VLOOKUP(D:D,ranking!W:X,2,0)</f>
        <v>0.6</v>
      </c>
      <c r="S80" s="126">
        <f ca="1">R80*Q80</f>
        <v>2.4856813440000001</v>
      </c>
      <c r="T80" s="123">
        <v>2.9685279541469995</v>
      </c>
    </row>
    <row r="81" spans="1:20" x14ac:dyDescent="0.25">
      <c r="A81" s="98" t="s">
        <v>1057</v>
      </c>
      <c r="B81" s="98" t="s">
        <v>85</v>
      </c>
      <c r="C81" s="98" t="s">
        <v>64</v>
      </c>
      <c r="D81" s="46" t="s">
        <v>1013</v>
      </c>
      <c r="E81" s="119" t="s">
        <v>211</v>
      </c>
      <c r="F81" s="46" t="s">
        <v>213</v>
      </c>
      <c r="G81" s="98" t="s">
        <v>2004</v>
      </c>
      <c r="H81" s="98" t="s">
        <v>1058</v>
      </c>
      <c r="I81" s="136">
        <v>46162</v>
      </c>
      <c r="J81" s="119">
        <v>2</v>
      </c>
      <c r="K81" s="98" t="s">
        <v>983</v>
      </c>
      <c r="L81" s="123">
        <f>VLOOKUP($C81&amp;$E81,'Updated SES'!A:N,14,0)</f>
        <v>36.498239999999996</v>
      </c>
      <c r="M81" s="124">
        <f>VLOOKUP($K81,'Genre Penetration'!A:B,2,0)*VLOOKUP($C81&amp;$E81,'Updated SES'!A:I,9,0)</f>
        <v>0.312</v>
      </c>
      <c r="N81" s="124">
        <f>VLOOKUP(K:K,'Genre Penetration'!A:C,3,0)*VLOOKUP($C81&amp;$E81,'Updated SES'!A:J,10,0)</f>
        <v>0.192</v>
      </c>
      <c r="O81" s="124" t="e">
        <f>VLOOKUP($B81,'Language Penetration'!$B$1:$BE$14,MATCH('Compile data Working'!$H109,'Language Penetration'!$B$1:$BE$1,0),0)</f>
        <v>#N/A</v>
      </c>
      <c r="P81" s="124" t="str">
        <f ca="1">IF(ISBLANK(J81),RANDBETWEEN(1,2)&amp;"%",IF(J81=1,RANDBETWEEN(35,40)&amp;"%",IF(J81=2,RANDBETWEEN(30,35)&amp;"%",IF(J81=3,RANDBETWEEN(25,30)&amp;"%",IF(J81=4,RANDBETWEEN(20,25)&amp;"%",IF(J81=5,RANDBETWEEN(15,20)&amp;"%",IF(J81=6,RANDBETWEEN(10,15)&amp;"%",IF(J81=7,RANDBETWEEN(8,10)&amp;"%",IF(J81=8,RANDBETWEEN(6,8)&amp;"%",IF(J81=9,RANDBETWEEN(4,6)&amp;"%",IF(J81=10,RANDBETWEEN(2,4)&amp;"%","")))))))))))</f>
        <v>32%</v>
      </c>
      <c r="Q81" s="123" t="e">
        <f ca="1">IFERROR(L81*(M81+N81)*O81*P81,RANDBETWEEN(1,2)%*L81*(M81+N81)*O81)</f>
        <v>#N/A</v>
      </c>
      <c r="R81" s="125">
        <f>VLOOKUP(D:D,ranking!W:X,2,0)</f>
        <v>0.8</v>
      </c>
      <c r="S81" s="126" t="e">
        <f ca="1">R81*Q81</f>
        <v>#N/A</v>
      </c>
      <c r="T81" s="123">
        <v>2.9638237151846401</v>
      </c>
    </row>
    <row r="82" spans="1:20" x14ac:dyDescent="0.25">
      <c r="A82" s="98" t="s">
        <v>2002</v>
      </c>
      <c r="B82" s="98" t="s">
        <v>85</v>
      </c>
      <c r="C82" s="46" t="s">
        <v>49</v>
      </c>
      <c r="D82" s="98" t="s">
        <v>434</v>
      </c>
      <c r="E82" s="46" t="s">
        <v>211</v>
      </c>
      <c r="F82" s="46" t="s">
        <v>213</v>
      </c>
      <c r="G82" s="46" t="s">
        <v>1962</v>
      </c>
      <c r="H82" s="46" t="s">
        <v>22</v>
      </c>
      <c r="I82" s="129">
        <v>46162</v>
      </c>
      <c r="J82" s="98"/>
      <c r="K82" s="46" t="s">
        <v>162</v>
      </c>
      <c r="L82" s="123">
        <f>VLOOKUP($C82&amp;$E82,'Updated SES'!A:N,14,0)</f>
        <v>12.626640000000002</v>
      </c>
      <c r="M82" s="124">
        <f>VLOOKUP($K82,'Genre Penetration'!A:B,2,0)*VLOOKUP($C82&amp;$E82,'Updated SES'!A:I,9,0)</f>
        <v>0.53199999999999992</v>
      </c>
      <c r="N82" s="124">
        <f>VLOOKUP(K:K,'Genre Penetration'!A:C,3,0)*VLOOKUP($C82&amp;$E82,'Updated SES'!A:J,10,0)</f>
        <v>7.1999999999999995E-2</v>
      </c>
      <c r="O82" s="124" t="e">
        <f>VLOOKUP($B82,'Language Penetration'!$B$1:$BE$14,MATCH('Compile data Working'!#REF!,'Language Penetration'!$B$1:$BE$1,0),0)</f>
        <v>#REF!</v>
      </c>
      <c r="P82" s="124" t="str">
        <f ca="1">IF(ISBLANK(J82),RANDBETWEEN(1,2)&amp;"%",IF(J82=1,RANDBETWEEN(35,40)&amp;"%",IF(J82=2,RANDBETWEEN(30,35)&amp;"%",IF(J82=3,RANDBETWEEN(25,30)&amp;"%",IF(J82=4,RANDBETWEEN(20,25)&amp;"%",IF(J82=5,RANDBETWEEN(15,20)&amp;"%",IF(J82=6,RANDBETWEEN(10,15)&amp;"%",IF(J82=7,RANDBETWEEN(8,10)&amp;"%",IF(J82=8,RANDBETWEEN(6,8)&amp;"%",IF(J82=9,RANDBETWEEN(4,6)&amp;"%",IF(J82=10,RANDBETWEEN(2,4)&amp;"%","")))))))))))</f>
        <v>2%</v>
      </c>
      <c r="Q82" s="123" t="e">
        <f ca="1">IFERROR(L82*(M82+N82)*O82*P82,RANDBETWEEN(1,2)%*L82*(M82+N82)*O82)</f>
        <v>#REF!</v>
      </c>
      <c r="R82" s="125">
        <f>VLOOKUP(D:D,ranking!W:X,2,0)</f>
        <v>0.7</v>
      </c>
      <c r="S82" s="126" t="e">
        <f ca="1">R82*Q82</f>
        <v>#REF!</v>
      </c>
      <c r="T82" s="123">
        <v>2.9602295864688601</v>
      </c>
    </row>
    <row r="83" spans="1:20" x14ac:dyDescent="0.25">
      <c r="A83" s="98" t="s">
        <v>2002</v>
      </c>
      <c r="B83" s="98" t="s">
        <v>85</v>
      </c>
      <c r="C83" s="46" t="s">
        <v>64</v>
      </c>
      <c r="D83" s="98" t="s">
        <v>434</v>
      </c>
      <c r="E83" s="46" t="s">
        <v>211</v>
      </c>
      <c r="F83" s="46" t="s">
        <v>213</v>
      </c>
      <c r="G83" s="46" t="s">
        <v>1980</v>
      </c>
      <c r="H83" s="46" t="s">
        <v>453</v>
      </c>
      <c r="I83" s="129">
        <v>46164</v>
      </c>
      <c r="J83" s="98">
        <v>4</v>
      </c>
      <c r="K83" s="46" t="s">
        <v>130</v>
      </c>
      <c r="L83" s="123">
        <f>VLOOKUP($C83&amp;$E83,'Updated SES'!A:N,14,0)</f>
        <v>36.498239999999996</v>
      </c>
      <c r="M83" s="124">
        <f>VLOOKUP($K83,'Genre Penetration'!A:B,2,0)*VLOOKUP($C83&amp;$E83,'Updated SES'!A:I,9,0)</f>
        <v>0.29120000000000001</v>
      </c>
      <c r="N83" s="124">
        <f>VLOOKUP(K:K,'Genre Penetration'!A:C,3,0)*VLOOKUP($C83&amp;$E83,'Updated SES'!A:J,10,0)</f>
        <v>0.2112</v>
      </c>
      <c r="O83" s="124">
        <f>VLOOKUP($B83,'Language Penetration'!$B$1:$BE$14,MATCH('Compile data Working'!$H29,'Language Penetration'!$B$1:$BE$1,0),0)</f>
        <v>0.1</v>
      </c>
      <c r="P83" s="124" t="str">
        <f ca="1">IF(ISBLANK(J83),RANDBETWEEN(1,2)&amp;"%",IF(J83=1,RANDBETWEEN(35,40)&amp;"%",IF(J83=2,RANDBETWEEN(30,35)&amp;"%",IF(J83=3,RANDBETWEEN(25,30)&amp;"%",IF(J83=4,RANDBETWEEN(20,25)&amp;"%",IF(J83=5,RANDBETWEEN(15,20)&amp;"%",IF(J83=6,RANDBETWEEN(10,15)&amp;"%",IF(J83=7,RANDBETWEEN(8,10)&amp;"%",IF(J83=8,RANDBETWEEN(6,8)&amp;"%",IF(J83=9,RANDBETWEEN(4,6)&amp;"%",IF(J83=10,RANDBETWEEN(2,4)&amp;"%","")))))))))))</f>
        <v>20%</v>
      </c>
      <c r="Q83" s="123">
        <f ca="1">IFERROR(L83*(M83+N83)*O83*P83,RANDBETWEEN(1,2)%*L83*(M83+N83)*O83)</f>
        <v>0.36673431551999996</v>
      </c>
      <c r="R83" s="125">
        <f>VLOOKUP(D:D,ranking!W:X,2,0)</f>
        <v>0.7</v>
      </c>
      <c r="S83" s="126">
        <f ca="1">R83*Q83</f>
        <v>0.25671402086399997</v>
      </c>
      <c r="T83" s="123">
        <v>2.9557157248000001</v>
      </c>
    </row>
    <row r="84" spans="1:20" x14ac:dyDescent="0.25">
      <c r="A84" s="98" t="s">
        <v>2002</v>
      </c>
      <c r="B84" s="98" t="s">
        <v>85</v>
      </c>
      <c r="C84" s="46" t="s">
        <v>64</v>
      </c>
      <c r="D84" s="98" t="s">
        <v>434</v>
      </c>
      <c r="E84" s="46" t="s">
        <v>233</v>
      </c>
      <c r="F84" s="46" t="s">
        <v>213</v>
      </c>
      <c r="G84" s="46" t="s">
        <v>1951</v>
      </c>
      <c r="H84" s="46" t="s">
        <v>23</v>
      </c>
      <c r="I84" s="129">
        <v>46161</v>
      </c>
      <c r="J84" s="98"/>
      <c r="K84" s="46" t="s">
        <v>168</v>
      </c>
      <c r="L84" s="123">
        <f>VLOOKUP($C84&amp;$E84,'Updated SES'!A:N,14,0)</f>
        <v>4.6890000000000001</v>
      </c>
      <c r="M84" s="124">
        <f>VLOOKUP($K84,'Genre Penetration'!A:B,2,0)*VLOOKUP($C84&amp;$E84,'Updated SES'!A:I,9,0)</f>
        <v>0.43520000000000003</v>
      </c>
      <c r="N84" s="124">
        <f>VLOOKUP(K:K,'Genre Penetration'!A:C,3,0)*VLOOKUP($C84&amp;$E84,'Updated SES'!A:J,10,0)</f>
        <v>0.1152</v>
      </c>
      <c r="O84" s="124">
        <v>8.0000000000000002E-3</v>
      </c>
      <c r="P84" s="124" t="str">
        <f ca="1">IF(ISBLANK(J84),RANDBETWEEN(1,2)&amp;"%",IF(J84=1,RANDBETWEEN(35,40)&amp;"%",IF(J84=2,RANDBETWEEN(30,35)&amp;"%",IF(J84=3,RANDBETWEEN(25,30)&amp;"%",IF(J84=4,RANDBETWEEN(20,25)&amp;"%",IF(J84=5,RANDBETWEEN(15,20)&amp;"%",IF(J84=6,RANDBETWEEN(10,15)&amp;"%",IF(J84=7,RANDBETWEEN(8,10)&amp;"%",IF(J84=8,RANDBETWEEN(6,8)&amp;"%",IF(J84=9,RANDBETWEEN(4,6)&amp;"%",IF(J84=10,RANDBETWEEN(2,4)&amp;"%","")))))))))))</f>
        <v>2%</v>
      </c>
      <c r="Q84" s="123">
        <f ca="1">IFERROR(L84*(M84+N84)*O84*P84,RANDBETWEEN(1,2)%*L84*(M84+N84)*O84)</f>
        <v>4.1293209600000002E-4</v>
      </c>
      <c r="R84" s="125">
        <f>VLOOKUP(D:D,ranking!W:X,2,0)</f>
        <v>0.7</v>
      </c>
      <c r="S84" s="126">
        <f ca="1">R84*Q84</f>
        <v>2.8905246719999997E-4</v>
      </c>
      <c r="T84" s="123">
        <v>2.9525289395200001</v>
      </c>
    </row>
    <row r="85" spans="1:20" x14ac:dyDescent="0.25">
      <c r="A85" s="98" t="s">
        <v>2002</v>
      </c>
      <c r="B85" s="98" t="s">
        <v>85</v>
      </c>
      <c r="C85" s="46" t="s">
        <v>132</v>
      </c>
      <c r="D85" s="98" t="s">
        <v>434</v>
      </c>
      <c r="E85" s="46" t="s">
        <v>211</v>
      </c>
      <c r="F85" s="46" t="s">
        <v>213</v>
      </c>
      <c r="G85" s="46" t="s">
        <v>1970</v>
      </c>
      <c r="H85" s="46" t="s">
        <v>246</v>
      </c>
      <c r="I85" s="129">
        <v>46163</v>
      </c>
      <c r="J85" s="98">
        <v>2</v>
      </c>
      <c r="K85" s="46" t="s">
        <v>145</v>
      </c>
      <c r="L85" s="123">
        <f>VLOOKUP($C85&amp;$E85,'Updated SES'!A:N,14,0)</f>
        <v>21.682040000000004</v>
      </c>
      <c r="M85" s="124">
        <f>VLOOKUP($K85,'Genre Penetration'!A:B,2,0)*VLOOKUP($C85&amp;$E85,'Updated SES'!A:I,9,0)</f>
        <v>0.24049999999999999</v>
      </c>
      <c r="N85" s="124">
        <f>VLOOKUP(K:K,'Genre Penetration'!A:C,3,0)*VLOOKUP($C85&amp;$E85,'Updated SES'!A:J,10,0)</f>
        <v>0.22049999999999997</v>
      </c>
      <c r="O85" s="124" t="e">
        <f>VLOOKUP($B85,'Language Penetration'!$B$1:$BE$14,MATCH('Compile data Working'!$H142,'Language Penetration'!$B$1:$BE$1,0),0)</f>
        <v>#N/A</v>
      </c>
      <c r="P85" s="124" t="str">
        <f ca="1">IF(ISBLANK(J85),RANDBETWEEN(1,2)&amp;"%",IF(J85=1,RANDBETWEEN(35,40)&amp;"%",IF(J85=2,RANDBETWEEN(30,35)&amp;"%",IF(J85=3,RANDBETWEEN(25,30)&amp;"%",IF(J85=4,RANDBETWEEN(20,25)&amp;"%",IF(J85=5,RANDBETWEEN(15,20)&amp;"%",IF(J85=6,RANDBETWEEN(10,15)&amp;"%",IF(J85=7,RANDBETWEEN(8,10)&amp;"%",IF(J85=8,RANDBETWEEN(6,8)&amp;"%",IF(J85=9,RANDBETWEEN(4,6)&amp;"%",IF(J85=10,RANDBETWEEN(2,4)&amp;"%","")))))))))))</f>
        <v>34%</v>
      </c>
      <c r="Q85" s="123" t="e">
        <f ca="1">IFERROR(L85*(M85+N85)*O85*P85,RANDBETWEEN(1,2)%*L85*(M85+N85)*O85)</f>
        <v>#N/A</v>
      </c>
      <c r="R85" s="125">
        <f>VLOOKUP(D:D,ranking!W:X,2,0)</f>
        <v>0.7</v>
      </c>
      <c r="S85" s="126" t="e">
        <f ca="1">R85*Q85</f>
        <v>#N/A</v>
      </c>
      <c r="T85" s="123">
        <v>2.9249101588097202</v>
      </c>
    </row>
    <row r="86" spans="1:20" x14ac:dyDescent="0.25">
      <c r="A86" s="98" t="s">
        <v>2002</v>
      </c>
      <c r="B86" s="98" t="s">
        <v>85</v>
      </c>
      <c r="C86" s="46" t="s">
        <v>135</v>
      </c>
      <c r="D86" s="98" t="s">
        <v>434</v>
      </c>
      <c r="E86" s="46" t="s">
        <v>211</v>
      </c>
      <c r="F86" s="46" t="s">
        <v>213</v>
      </c>
      <c r="G86" s="46" t="s">
        <v>1977</v>
      </c>
      <c r="H86" s="46" t="s">
        <v>26</v>
      </c>
      <c r="I86" s="129">
        <v>46164</v>
      </c>
      <c r="J86" s="98"/>
      <c r="K86" s="46" t="s">
        <v>308</v>
      </c>
      <c r="L86" s="123">
        <f>VLOOKUP($C86&amp;$E86,'Updated SES'!A:N,14,0)</f>
        <v>12.64146</v>
      </c>
      <c r="M86" s="124">
        <f>VLOOKUP($K86,'Genre Penetration'!A:B,2,0)*VLOOKUP($C86&amp;$E86,'Updated SES'!A:I,9,0)</f>
        <v>0.4602</v>
      </c>
      <c r="N86" s="124">
        <f>VLOOKUP(K:K,'Genre Penetration'!A:C,3,0)*VLOOKUP($C86&amp;$E86,'Updated SES'!A:J,10,0)</f>
        <v>9.0200000000000002E-2</v>
      </c>
      <c r="O86" s="124" t="e">
        <f>VLOOKUP($B86,'Language Penetration'!$B$1:$BE$14,MATCH('Compile data Working'!#REF!,'Language Penetration'!$B$1:$BE$1,0),0)</f>
        <v>#REF!</v>
      </c>
      <c r="P86" s="124" t="str">
        <f ca="1">IF(ISBLANK(J86),RANDBETWEEN(1,2)&amp;"%",IF(J86=1,RANDBETWEEN(35,40)&amp;"%",IF(J86=2,RANDBETWEEN(30,35)&amp;"%",IF(J86=3,RANDBETWEEN(25,30)&amp;"%",IF(J86=4,RANDBETWEEN(20,25)&amp;"%",IF(J86=5,RANDBETWEEN(15,20)&amp;"%",IF(J86=6,RANDBETWEEN(10,15)&amp;"%",IF(J86=7,RANDBETWEEN(8,10)&amp;"%",IF(J86=8,RANDBETWEEN(6,8)&amp;"%",IF(J86=9,RANDBETWEEN(4,6)&amp;"%",IF(J86=10,RANDBETWEEN(2,4)&amp;"%","")))))))))))</f>
        <v>1%</v>
      </c>
      <c r="Q86" s="123" t="e">
        <f ca="1">IFERROR(L86*(M86+N86)*O86*P86,RANDBETWEEN(1,2)%*L86*(M86+N86)*O86)</f>
        <v>#REF!</v>
      </c>
      <c r="R86" s="125">
        <f>VLOOKUP(D:D,ranking!W:X,2,0)</f>
        <v>0.7</v>
      </c>
      <c r="S86" s="126" t="e">
        <f ca="1">R86*Q86</f>
        <v>#REF!</v>
      </c>
      <c r="T86" s="123">
        <v>2.9150064129023998</v>
      </c>
    </row>
    <row r="87" spans="1:20" x14ac:dyDescent="0.25">
      <c r="A87" s="98" t="s">
        <v>1057</v>
      </c>
      <c r="B87" s="98" t="s">
        <v>85</v>
      </c>
      <c r="C87" s="98" t="s">
        <v>132</v>
      </c>
      <c r="D87" s="46" t="s">
        <v>1012</v>
      </c>
      <c r="E87" s="98" t="s">
        <v>211</v>
      </c>
      <c r="F87" s="46" t="s">
        <v>215</v>
      </c>
      <c r="G87" s="98" t="s">
        <v>1908</v>
      </c>
      <c r="H87" s="98" t="s">
        <v>1222</v>
      </c>
      <c r="I87" s="136">
        <v>46143</v>
      </c>
      <c r="J87" s="119">
        <v>5</v>
      </c>
      <c r="K87" s="98" t="s">
        <v>202</v>
      </c>
      <c r="L87" s="123">
        <f>VLOOKUP($C87&amp;$E87,'Updated SES'!A:N,14,0)</f>
        <v>21.682040000000004</v>
      </c>
      <c r="M87" s="124">
        <f>VLOOKUP($K87,'Genre Penetration'!A:B,2,0)*VLOOKUP($C87&amp;$E87,'Updated SES'!A:I,9,0)</f>
        <v>0.46799999999999997</v>
      </c>
      <c r="N87" s="124">
        <f>VLOOKUP(K:K,'Genre Penetration'!A:C,3,0)*VLOOKUP($C87&amp;$E87,'Updated SES'!A:J,10,0)</f>
        <v>9.8000000000000004E-2</v>
      </c>
      <c r="O87" s="124" t="e">
        <f>VLOOKUP($B87,'Language Penetration'!$B$1:$BE$14,MATCH('Compile data Working'!$H97,'Language Penetration'!$B$1:$BE$1,0),0)</f>
        <v>#N/A</v>
      </c>
      <c r="P87" s="124" t="str">
        <f ca="1">IF(ISBLANK(J87),RANDBETWEEN(1,2)&amp;"%",IF(J87=1,RANDBETWEEN(35,40)&amp;"%",IF(J87=2,RANDBETWEEN(30,35)&amp;"%",IF(J87=3,RANDBETWEEN(25,30)&amp;"%",IF(J87=4,RANDBETWEEN(20,25)&amp;"%",IF(J87=5,RANDBETWEEN(15,20)&amp;"%",IF(J87=6,RANDBETWEEN(10,15)&amp;"%",IF(J87=7,RANDBETWEEN(8,10)&amp;"%",IF(J87=8,RANDBETWEEN(6,8)&amp;"%",IF(J87=9,RANDBETWEEN(4,6)&amp;"%",IF(J87=10,RANDBETWEEN(2,4)&amp;"%","")))))))))))</f>
        <v>17%</v>
      </c>
      <c r="Q87" s="123" t="e">
        <f ca="1">IFERROR(L87*(M87+N87)*O87*P87,RANDBETWEEN(1,2)%*L87*(M87+N87)*O87)</f>
        <v>#N/A</v>
      </c>
      <c r="R87" s="125">
        <f>VLOOKUP(D:D,ranking!W:X,2,0)</f>
        <v>0.6</v>
      </c>
      <c r="S87" s="126" t="e">
        <f ca="1">R87*Q87</f>
        <v>#N/A</v>
      </c>
      <c r="T87" s="123">
        <v>2.9134860647111998</v>
      </c>
    </row>
    <row r="88" spans="1:20" x14ac:dyDescent="0.25">
      <c r="A88" s="98" t="s">
        <v>2002</v>
      </c>
      <c r="B88" s="98" t="s">
        <v>85</v>
      </c>
      <c r="C88" s="46" t="s">
        <v>123</v>
      </c>
      <c r="D88" s="46" t="s">
        <v>1012</v>
      </c>
      <c r="E88" s="46" t="s">
        <v>211</v>
      </c>
      <c r="F88" s="46" t="s">
        <v>215</v>
      </c>
      <c r="G88" s="46" t="s">
        <v>1959</v>
      </c>
      <c r="H88" s="46" t="s">
        <v>28</v>
      </c>
      <c r="I88" s="129">
        <v>46162</v>
      </c>
      <c r="J88" s="98"/>
      <c r="K88" s="46" t="s">
        <v>158</v>
      </c>
      <c r="L88" s="123">
        <f>VLOOKUP($C88&amp;$E88,'Updated SES'!A:N,14,0)</f>
        <v>55.459200000000003</v>
      </c>
      <c r="M88" s="124">
        <f>VLOOKUP($K88,'Genre Penetration'!A:B,2,0)*VLOOKUP($C88&amp;$E88,'Updated SES'!A:I,9,0)</f>
        <v>0.2205</v>
      </c>
      <c r="N88" s="124">
        <f>VLOOKUP(K:K,'Genre Penetration'!A:C,3,0)*VLOOKUP($C88&amp;$E88,'Updated SES'!A:J,10,0)</f>
        <v>0.28050000000000003</v>
      </c>
      <c r="O88" s="124">
        <f>VLOOKUP($B88,'Language Penetration'!$B$1:$BE$14,MATCH('Compile data Working'!$H9,'Language Penetration'!$B$1:$BE$1,0),0)</f>
        <v>0.6</v>
      </c>
      <c r="P88" s="124" t="str">
        <f ca="1">IF(ISBLANK(J88),RANDBETWEEN(1,2)&amp;"%",IF(J88=1,RANDBETWEEN(35,40)&amp;"%",IF(J88=2,RANDBETWEEN(30,35)&amp;"%",IF(J88=3,RANDBETWEEN(25,30)&amp;"%",IF(J88=4,RANDBETWEEN(20,25)&amp;"%",IF(J88=5,RANDBETWEEN(15,20)&amp;"%",IF(J88=6,RANDBETWEEN(10,15)&amp;"%",IF(J88=7,RANDBETWEEN(8,10)&amp;"%",IF(J88=8,RANDBETWEEN(6,8)&amp;"%",IF(J88=9,RANDBETWEEN(4,6)&amp;"%",IF(J88=10,RANDBETWEEN(2,4)&amp;"%","")))))))))))</f>
        <v>1%</v>
      </c>
      <c r="Q88" s="123">
        <f ca="1">IFERROR(L88*(M88+N88)*O88*P88,RANDBETWEEN(1,2)%*L88*(M88+N88)*O88)</f>
        <v>0.16671035519999999</v>
      </c>
      <c r="R88" s="125">
        <f>VLOOKUP(D:D,ranking!W:X,2,0)</f>
        <v>0.6</v>
      </c>
      <c r="S88" s="126">
        <f ca="1">R88*Q88</f>
        <v>0.10002621312</v>
      </c>
      <c r="T88" s="123">
        <v>2.9062444672511298</v>
      </c>
    </row>
    <row r="89" spans="1:20" x14ac:dyDescent="0.25">
      <c r="A89" s="98" t="s">
        <v>2002</v>
      </c>
      <c r="B89" s="98" t="s">
        <v>85</v>
      </c>
      <c r="C89" s="46" t="s">
        <v>879</v>
      </c>
      <c r="D89" s="46" t="s">
        <v>1866</v>
      </c>
      <c r="E89" s="46" t="s">
        <v>219</v>
      </c>
      <c r="F89" s="46" t="s">
        <v>215</v>
      </c>
      <c r="G89" s="46" t="s">
        <v>1997</v>
      </c>
      <c r="H89" s="46" t="s">
        <v>19</v>
      </c>
      <c r="I89" s="129">
        <v>46164</v>
      </c>
      <c r="J89" s="98"/>
      <c r="K89" s="46" t="s">
        <v>216</v>
      </c>
      <c r="L89" s="123">
        <f>VLOOKUP($C89&amp;$E89,'Updated SES'!A:N,14,0)</f>
        <v>78.939870000000013</v>
      </c>
      <c r="M89" s="124">
        <f>VLOOKUP($K89,'Genre Penetration'!A:B,2,0)*VLOOKUP($C89&amp;$E89,'Updated SES'!A:I,9,0)</f>
        <v>0.4</v>
      </c>
      <c r="N89" s="124">
        <f>VLOOKUP(K:K,'Genre Penetration'!A:C,3,0)*VLOOKUP($C89&amp;$E89,'Updated SES'!A:J,10,0)</f>
        <v>0.1</v>
      </c>
      <c r="O89" s="124" t="e">
        <f>VLOOKUP($B89,'Language Penetration'!$B$1:$BE$14,MATCH('Compile data Working'!$H14,'Language Penetration'!$B$1:$BE$1,0),0)</f>
        <v>#N/A</v>
      </c>
      <c r="P89" s="124" t="str">
        <f ca="1">IF(ISBLANK(J89),RANDBETWEEN(1,2)&amp;"%",IF(J89=1,RANDBETWEEN(35,40)&amp;"%",IF(J89=2,RANDBETWEEN(30,35)&amp;"%",IF(J89=3,RANDBETWEEN(25,30)&amp;"%",IF(J89=4,RANDBETWEEN(20,25)&amp;"%",IF(J89=5,RANDBETWEEN(15,20)&amp;"%",IF(J89=6,RANDBETWEEN(10,15)&amp;"%",IF(J89=7,RANDBETWEEN(8,10)&amp;"%",IF(J89=8,RANDBETWEEN(6,8)&amp;"%",IF(J89=9,RANDBETWEEN(4,6)&amp;"%",IF(J89=10,RANDBETWEEN(2,4)&amp;"%","")))))))))))</f>
        <v>1%</v>
      </c>
      <c r="Q89" s="123" t="e">
        <f ca="1">IFERROR(L89*(M89+N89)*O89*P89,RANDBETWEEN(1,2)%*L89*(M89+N89)*O89)</f>
        <v>#N/A</v>
      </c>
      <c r="R89" s="125">
        <f>VLOOKUP(D:D,ranking!W:X,2,0)</f>
        <v>0.6</v>
      </c>
      <c r="S89" s="126" t="e">
        <f ca="1">R89*Q89</f>
        <v>#N/A</v>
      </c>
      <c r="T89" s="123">
        <v>2.8755650647412434</v>
      </c>
    </row>
    <row r="90" spans="1:20" x14ac:dyDescent="0.25">
      <c r="A90" s="98" t="s">
        <v>2002</v>
      </c>
      <c r="B90" s="98" t="s">
        <v>85</v>
      </c>
      <c r="C90" s="46" t="s">
        <v>64</v>
      </c>
      <c r="D90" s="46" t="s">
        <v>1012</v>
      </c>
      <c r="E90" s="46" t="s">
        <v>211</v>
      </c>
      <c r="F90" s="46" t="s">
        <v>215</v>
      </c>
      <c r="G90" s="46" t="s">
        <v>1960</v>
      </c>
      <c r="H90" s="46" t="s">
        <v>20</v>
      </c>
      <c r="I90" s="129">
        <v>46162</v>
      </c>
      <c r="J90" s="98"/>
      <c r="K90" s="46" t="s">
        <v>1862</v>
      </c>
      <c r="L90" s="123">
        <f>VLOOKUP($C90&amp;$E90,'Updated SES'!A:N,14,0)</f>
        <v>36.498239999999996</v>
      </c>
      <c r="M90" s="124">
        <f>VLOOKUP($K90,'Genre Penetration'!A:B,2,0)*VLOOKUP($C90&amp;$E90,'Updated SES'!A:I,9,0)</f>
        <v>0.20800000000000002</v>
      </c>
      <c r="N90" s="124">
        <f>VLOOKUP(K:K,'Genre Penetration'!A:C,3,0)*VLOOKUP($C90&amp;$E90,'Updated SES'!A:J,10,0)</f>
        <v>0.28799999999999998</v>
      </c>
      <c r="O90" s="124">
        <f>VLOOKUP($B90,'Language Penetration'!$B$1:$BE$14,MATCH('Compile data Working'!$H227,'Language Penetration'!$B$1:$BE$1,0),0)</f>
        <v>0.12</v>
      </c>
      <c r="P90" s="124" t="str">
        <f ca="1">IF(ISBLANK(J90),RANDBETWEEN(1,2)&amp;"%",IF(J90=1,RANDBETWEEN(35,40)&amp;"%",IF(J90=2,RANDBETWEEN(30,35)&amp;"%",IF(J90=3,RANDBETWEEN(25,30)&amp;"%",IF(J90=4,RANDBETWEEN(20,25)&amp;"%",IF(J90=5,RANDBETWEEN(15,20)&amp;"%",IF(J90=6,RANDBETWEEN(10,15)&amp;"%",IF(J90=7,RANDBETWEEN(8,10)&amp;"%",IF(J90=8,RANDBETWEEN(6,8)&amp;"%",IF(J90=9,RANDBETWEEN(4,6)&amp;"%",IF(J90=10,RANDBETWEEN(2,4)&amp;"%","")))))))))))</f>
        <v>1%</v>
      </c>
      <c r="Q90" s="123">
        <f ca="1">IFERROR(L90*(M90+N90)*O90*P90,RANDBETWEEN(1,2)%*L90*(M90+N90)*O90)</f>
        <v>2.1723752447999997E-2</v>
      </c>
      <c r="R90" s="125">
        <f>VLOOKUP(D:D,ranking!W:X,2,0)</f>
        <v>0.6</v>
      </c>
      <c r="S90" s="126">
        <f ca="1">R90*Q90</f>
        <v>1.3034251468799997E-2</v>
      </c>
      <c r="T90" s="123">
        <v>2.811736814037995</v>
      </c>
    </row>
    <row r="91" spans="1:20" x14ac:dyDescent="0.25">
      <c r="A91" s="98" t="s">
        <v>1057</v>
      </c>
      <c r="B91" s="98" t="s">
        <v>85</v>
      </c>
      <c r="C91" s="98" t="s">
        <v>906</v>
      </c>
      <c r="D91" s="46" t="s">
        <v>1012</v>
      </c>
      <c r="E91" s="98" t="s">
        <v>211</v>
      </c>
      <c r="F91" s="46" t="s">
        <v>215</v>
      </c>
      <c r="G91" s="98" t="s">
        <v>1791</v>
      </c>
      <c r="H91" s="98" t="s">
        <v>1924</v>
      </c>
      <c r="I91" s="136">
        <v>46101</v>
      </c>
      <c r="J91" s="119">
        <v>8</v>
      </c>
      <c r="K91" s="98" t="s">
        <v>216</v>
      </c>
      <c r="L91" s="123">
        <f>VLOOKUP($C91&amp;$E91,'Updated SES'!A:N,14,0)</f>
        <v>127.11702000000001</v>
      </c>
      <c r="M91" s="124">
        <f>VLOOKUP($K91,'Genre Penetration'!A:B,2,0)*VLOOKUP($C91&amp;$E91,'Updated SES'!A:I,9,0)</f>
        <v>0.33499999999999996</v>
      </c>
      <c r="N91" s="124">
        <f>VLOOKUP(K:K,'Genre Penetration'!A:C,3,0)*VLOOKUP($C91&amp;$E91,'Updated SES'!A:J,10,0)</f>
        <v>0.16499999999999998</v>
      </c>
      <c r="O91" s="124">
        <f>VLOOKUP($B91,'Language Penetration'!$B$1:$BE$14,MATCH('Compile data Working'!$H223,'Language Penetration'!$B$1:$BE$1,0),0)</f>
        <v>0.2</v>
      </c>
      <c r="P91" s="124" t="str">
        <f ca="1">IF(ISBLANK(J91),RANDBETWEEN(1,2)&amp;"%",IF(J91=1,RANDBETWEEN(35,40)&amp;"%",IF(J91=2,RANDBETWEEN(30,35)&amp;"%",IF(J91=3,RANDBETWEEN(25,30)&amp;"%",IF(J91=4,RANDBETWEEN(20,25)&amp;"%",IF(J91=5,RANDBETWEEN(15,20)&amp;"%",IF(J91=6,RANDBETWEEN(10,15)&amp;"%",IF(J91=7,RANDBETWEEN(8,10)&amp;"%",IF(J91=8,RANDBETWEEN(6,8)&amp;"%",IF(J91=9,RANDBETWEEN(4,6)&amp;"%",IF(J91=10,RANDBETWEEN(2,4)&amp;"%","")))))))))))</f>
        <v>7%</v>
      </c>
      <c r="Q91" s="123">
        <f ca="1">IFERROR(L91*(M91+N91)*O91*P91,RANDBETWEEN(1,2)%*L91*(M91+N91)*O91)</f>
        <v>0.88981914000000017</v>
      </c>
      <c r="R91" s="125">
        <f>VLOOKUP(D:D,ranking!W:X,2,0)</f>
        <v>0.6</v>
      </c>
      <c r="S91" s="126">
        <f ca="1">R91*Q91</f>
        <v>0.53389148400000008</v>
      </c>
      <c r="T91" s="123">
        <v>2.779083500237399</v>
      </c>
    </row>
    <row r="92" spans="1:20" x14ac:dyDescent="0.25">
      <c r="A92" s="98" t="s">
        <v>1057</v>
      </c>
      <c r="B92" s="98" t="s">
        <v>85</v>
      </c>
      <c r="C92" s="98" t="s">
        <v>64</v>
      </c>
      <c r="D92" s="46" t="s">
        <v>1012</v>
      </c>
      <c r="E92" s="98" t="s">
        <v>211</v>
      </c>
      <c r="F92" s="46" t="s">
        <v>215</v>
      </c>
      <c r="G92" s="98" t="s">
        <v>1893</v>
      </c>
      <c r="H92" s="120" t="s">
        <v>19</v>
      </c>
      <c r="I92" s="136">
        <v>46150</v>
      </c>
      <c r="J92" s="119">
        <v>7</v>
      </c>
      <c r="K92" s="98" t="s">
        <v>46</v>
      </c>
      <c r="L92" s="123">
        <f>VLOOKUP($C92&amp;$E92,'Updated SES'!A:N,14,0)</f>
        <v>36.498239999999996</v>
      </c>
      <c r="M92" s="124">
        <f>VLOOKUP($K92,'Genre Penetration'!A:B,2,0)*VLOOKUP($C92&amp;$E92,'Updated SES'!A:I,9,0)</f>
        <v>0.36399999999999999</v>
      </c>
      <c r="N92" s="124">
        <f>VLOOKUP(K:K,'Genre Penetration'!A:C,3,0)*VLOOKUP($C92&amp;$E92,'Updated SES'!A:J,10,0)</f>
        <v>0.14399999999999999</v>
      </c>
      <c r="O92" s="124" t="e">
        <f>VLOOKUP($B92,'Language Penetration'!$B$1:$BE$14,MATCH('Compile data Working'!$H110,'Language Penetration'!$B$1:$BE$1,0),0)</f>
        <v>#N/A</v>
      </c>
      <c r="P92" s="124" t="str">
        <f ca="1">IF(ISBLANK(J92),RANDBETWEEN(1,2)&amp;"%",IF(J92=1,RANDBETWEEN(35,40)&amp;"%",IF(J92=2,RANDBETWEEN(30,35)&amp;"%",IF(J92=3,RANDBETWEEN(25,30)&amp;"%",IF(J92=4,RANDBETWEEN(20,25)&amp;"%",IF(J92=5,RANDBETWEEN(15,20)&amp;"%",IF(J92=6,RANDBETWEEN(10,15)&amp;"%",IF(J92=7,RANDBETWEEN(8,10)&amp;"%",IF(J92=8,RANDBETWEEN(6,8)&amp;"%",IF(J92=9,RANDBETWEEN(4,6)&amp;"%",IF(J92=10,RANDBETWEEN(2,4)&amp;"%","")))))))))))</f>
        <v>10%</v>
      </c>
      <c r="Q92" s="123" t="e">
        <f ca="1">IFERROR(L92*(M92+N92)*O92*P92,RANDBETWEEN(1,2)%*L92*(M92+N92)*O92)</f>
        <v>#N/A</v>
      </c>
      <c r="R92" s="125">
        <f>VLOOKUP(D:D,ranking!W:X,2,0)</f>
        <v>0.6</v>
      </c>
      <c r="S92" s="126" t="e">
        <f ca="1">R92*Q92</f>
        <v>#N/A</v>
      </c>
      <c r="T92" s="123">
        <v>2.7347729313381111</v>
      </c>
    </row>
    <row r="93" spans="1:20" x14ac:dyDescent="0.25">
      <c r="A93" s="98" t="s">
        <v>1057</v>
      </c>
      <c r="B93" s="98" t="s">
        <v>85</v>
      </c>
      <c r="C93" s="46" t="s">
        <v>1229</v>
      </c>
      <c r="D93" s="46" t="s">
        <v>1866</v>
      </c>
      <c r="E93" s="46" t="s">
        <v>219</v>
      </c>
      <c r="F93" s="46" t="s">
        <v>215</v>
      </c>
      <c r="G93" s="46" t="s">
        <v>1883</v>
      </c>
      <c r="H93" s="46" t="s">
        <v>19</v>
      </c>
      <c r="I93" s="129">
        <v>46115</v>
      </c>
      <c r="J93" s="46">
        <v>4</v>
      </c>
      <c r="K93" s="46" t="s">
        <v>202</v>
      </c>
      <c r="L93" s="123">
        <f>VLOOKUP($C93&amp;$E93,'Updated SES'!A:N,14,0)</f>
        <v>78.939870000000013</v>
      </c>
      <c r="M93" s="124">
        <f>VLOOKUP($K93,'Genre Penetration'!A:B,2,0)*VLOOKUP($C93&amp;$E93,'Updated SES'!A:I,9,0)</f>
        <v>0.57599999999999996</v>
      </c>
      <c r="N93" s="124">
        <f>VLOOKUP(K:K,'Genre Penetration'!A:C,3,0)*VLOOKUP($C93&amp;$E93,'Updated SES'!A:J,10,0)</f>
        <v>5.6000000000000008E-2</v>
      </c>
      <c r="O93" s="124">
        <f>VLOOKUP($B93,'Language Penetration'!$B$1:$BE$14,MATCH('Compile data Working'!$H52,'Language Penetration'!$B$1:$BE$1,0),0)</f>
        <v>0.2</v>
      </c>
      <c r="P93" s="124" t="str">
        <f ca="1">IF(ISBLANK(J93),RANDBETWEEN(1,2)&amp;"%",IF(J93=1,RANDBETWEEN(35,40)&amp;"%",IF(J93=2,RANDBETWEEN(30,35)&amp;"%",IF(J93=3,RANDBETWEEN(25,30)&amp;"%",IF(J93=4,RANDBETWEEN(20,25)&amp;"%",IF(J93=5,RANDBETWEEN(15,20)&amp;"%",IF(J93=6,RANDBETWEEN(10,15)&amp;"%",IF(J93=7,RANDBETWEEN(8,10)&amp;"%",IF(J93=8,RANDBETWEEN(6,8)&amp;"%",IF(J93=9,RANDBETWEEN(4,6)&amp;"%",IF(J93=10,RANDBETWEEN(2,4)&amp;"%","")))))))))))</f>
        <v>25%</v>
      </c>
      <c r="Q93" s="123">
        <f ca="1">IFERROR(L93*(M93+N93)*O93*P93,RANDBETWEEN(1,2)%*L93*(M93+N93)*O93)</f>
        <v>2.4944998920000003</v>
      </c>
      <c r="R93" s="125">
        <f>VLOOKUP(D:D,ranking!W:X,2,0)</f>
        <v>0.6</v>
      </c>
      <c r="S93" s="126">
        <f ca="1">R93*Q93</f>
        <v>1.4966999352000001</v>
      </c>
      <c r="T93" s="123">
        <v>2.6645572261214236</v>
      </c>
    </row>
    <row r="94" spans="1:20" x14ac:dyDescent="0.25">
      <c r="A94" s="98" t="s">
        <v>1057</v>
      </c>
      <c r="B94" s="98" t="s">
        <v>85</v>
      </c>
      <c r="C94" s="98" t="s">
        <v>406</v>
      </c>
      <c r="D94" s="46" t="s">
        <v>1013</v>
      </c>
      <c r="E94" s="119" t="s">
        <v>211</v>
      </c>
      <c r="F94" s="46" t="s">
        <v>213</v>
      </c>
      <c r="G94" s="98" t="s">
        <v>1896</v>
      </c>
      <c r="H94" s="119" t="s">
        <v>20</v>
      </c>
      <c r="I94" s="136">
        <v>46156</v>
      </c>
      <c r="J94" s="119">
        <v>3</v>
      </c>
      <c r="K94" s="98" t="s">
        <v>310</v>
      </c>
      <c r="L94" s="123">
        <f>VLOOKUP($C94&amp;$E94,'Updated SES'!A:N,14,0)</f>
        <v>1.669</v>
      </c>
      <c r="M94" s="124">
        <f>VLOOKUP($K94,'Genre Penetration'!A:B,2,0)*VLOOKUP($C94&amp;$E94,'Updated SES'!A:I,9,0)</f>
        <v>0.33</v>
      </c>
      <c r="N94" s="124">
        <f>VLOOKUP(K:K,'Genre Penetration'!A:C,3,0)*VLOOKUP($C94&amp;$E94,'Updated SES'!A:J,10,0)</f>
        <v>0.18</v>
      </c>
      <c r="O94" s="124" t="e">
        <f>VLOOKUP($B94,'Language Penetration'!$B$1:$BE$14,MATCH('Compile data Working'!$H35,'Language Penetration'!$B$1:$BE$1,0),0)</f>
        <v>#N/A</v>
      </c>
      <c r="P94" s="124" t="str">
        <f ca="1">IF(ISBLANK(J94),RANDBETWEEN(1,2)&amp;"%",IF(J94=1,RANDBETWEEN(35,40)&amp;"%",IF(J94=2,RANDBETWEEN(30,35)&amp;"%",IF(J94=3,RANDBETWEEN(25,30)&amp;"%",IF(J94=4,RANDBETWEEN(20,25)&amp;"%",IF(J94=5,RANDBETWEEN(15,20)&amp;"%",IF(J94=6,RANDBETWEEN(10,15)&amp;"%",IF(J94=7,RANDBETWEEN(8,10)&amp;"%",IF(J94=8,RANDBETWEEN(6,8)&amp;"%",IF(J94=9,RANDBETWEEN(4,6)&amp;"%",IF(J94=10,RANDBETWEEN(2,4)&amp;"%","")))))))))))</f>
        <v>25%</v>
      </c>
      <c r="Q94" s="123" t="e">
        <f ca="1">IFERROR(L94*(M94+N94)*O94*P94,RANDBETWEEN(1,2)%*L94*(M94+N94)*O94)</f>
        <v>#N/A</v>
      </c>
      <c r="R94" s="125">
        <f>VLOOKUP(D:D,ranking!W:X,2,0)</f>
        <v>0.8</v>
      </c>
      <c r="S94" s="126" t="e">
        <f ca="1">R94*Q94</f>
        <v>#N/A</v>
      </c>
      <c r="T94" s="123">
        <v>2.6048284253165948</v>
      </c>
    </row>
    <row r="95" spans="1:20" x14ac:dyDescent="0.25">
      <c r="A95" s="98" t="s">
        <v>1781</v>
      </c>
      <c r="B95" s="98" t="s">
        <v>85</v>
      </c>
      <c r="C95" s="46" t="s">
        <v>49</v>
      </c>
      <c r="D95" s="46" t="s">
        <v>1013</v>
      </c>
      <c r="E95" s="119" t="s">
        <v>211</v>
      </c>
      <c r="F95" s="46" t="s">
        <v>213</v>
      </c>
      <c r="G95" s="46" t="s">
        <v>2057</v>
      </c>
      <c r="H95" s="46" t="s">
        <v>23</v>
      </c>
      <c r="I95" s="129">
        <v>46157</v>
      </c>
      <c r="J95" s="46"/>
      <c r="K95" s="46" t="s">
        <v>124</v>
      </c>
      <c r="L95" s="123">
        <f>VLOOKUP($C95&amp;$E95,'Updated SES'!A:N,14,0)</f>
        <v>12.626640000000002</v>
      </c>
      <c r="M95" s="124">
        <f>VLOOKUP($K95,'Genre Penetration'!A:B,2,0)*VLOOKUP($C95&amp;$E95,'Updated SES'!A:I,9,0)</f>
        <v>0.34200000000000003</v>
      </c>
      <c r="N95" s="124">
        <f>VLOOKUP(K:K,'Genre Penetration'!A:C,3,0)*VLOOKUP($C95&amp;$E95,'Updated SES'!A:J,10,0)</f>
        <v>0.13200000000000001</v>
      </c>
      <c r="O95" s="124" t="e">
        <f>VLOOKUP($B95,'Language Penetration'!$B$1:$BE$14,MATCH('Compile data Working'!#REF!,'Language Penetration'!$B$1:$BE$1,0),0)</f>
        <v>#REF!</v>
      </c>
      <c r="P95" s="124" t="str">
        <f ca="1">IF(ISBLANK(J95),RANDBETWEEN(1,2)&amp;"%",IF(J95=1,RANDBETWEEN(35,40)&amp;"%",IF(J95=2,RANDBETWEEN(30,35)&amp;"%",IF(J95=3,RANDBETWEEN(25,30)&amp;"%",IF(J95=4,RANDBETWEEN(20,25)&amp;"%",IF(J95=5,RANDBETWEEN(15,20)&amp;"%",IF(J95=6,RANDBETWEEN(10,15)&amp;"%",IF(J95=7,RANDBETWEEN(8,10)&amp;"%",IF(J95=8,RANDBETWEEN(6,8)&amp;"%",IF(J95=9,RANDBETWEEN(4,6)&amp;"%",IF(J95=10,RANDBETWEEN(2,4)&amp;"%","")))))))))))</f>
        <v>1%</v>
      </c>
      <c r="Q95" s="123" t="e">
        <f ca="1">IFERROR(L95*(M95+N95)*O95*P95,RANDBETWEEN(1,2)%*L95*(M95+N95)*O95)</f>
        <v>#REF!</v>
      </c>
      <c r="R95" s="125">
        <f>VLOOKUP(D:D,ranking!W:X,2,0)</f>
        <v>0.8</v>
      </c>
      <c r="S95" s="126" t="e">
        <f ca="1">R95*Q95</f>
        <v>#REF!</v>
      </c>
      <c r="T95" s="123">
        <v>2.6040600790399999</v>
      </c>
    </row>
    <row r="96" spans="1:20" x14ac:dyDescent="0.25">
      <c r="A96" s="98" t="s">
        <v>2002</v>
      </c>
      <c r="B96" s="98" t="s">
        <v>85</v>
      </c>
      <c r="C96" s="46" t="s">
        <v>64</v>
      </c>
      <c r="D96" s="46" t="s">
        <v>1013</v>
      </c>
      <c r="E96" s="46" t="s">
        <v>211</v>
      </c>
      <c r="F96" s="46" t="s">
        <v>213</v>
      </c>
      <c r="G96" s="46" t="s">
        <v>1995</v>
      </c>
      <c r="H96" s="46" t="s">
        <v>40</v>
      </c>
      <c r="I96" s="129">
        <v>46164</v>
      </c>
      <c r="J96" s="98">
        <v>1</v>
      </c>
      <c r="K96" s="46" t="s">
        <v>173</v>
      </c>
      <c r="L96" s="123">
        <f>VLOOKUP($C96&amp;$E96,'Updated SES'!A:N,14,0)</f>
        <v>36.498239999999996</v>
      </c>
      <c r="M96" s="124">
        <f>VLOOKUP($K96,'Genre Penetration'!A:B,2,0)*VLOOKUP($C96&amp;$E96,'Updated SES'!A:I,9,0)</f>
        <v>0.28600000000000003</v>
      </c>
      <c r="N96" s="124">
        <f>VLOOKUP(K:K,'Genre Penetration'!A:C,3,0)*VLOOKUP($C96&amp;$E96,'Updated SES'!A:J,10,0)</f>
        <v>0.216</v>
      </c>
      <c r="O96" s="124" t="e">
        <f>VLOOKUP($B96,'Language Penetration'!$B$1:$BE$14,MATCH('Compile data Working'!$H98,'Language Penetration'!$B$1:$BE$1,0),0)</f>
        <v>#N/A</v>
      </c>
      <c r="P96" s="124" t="str">
        <f ca="1">IF(ISBLANK(J96),RANDBETWEEN(1,2)&amp;"%",IF(J96=1,RANDBETWEEN(35,40)&amp;"%",IF(J96=2,RANDBETWEEN(30,35)&amp;"%",IF(J96=3,RANDBETWEEN(25,30)&amp;"%",IF(J96=4,RANDBETWEEN(20,25)&amp;"%",IF(J96=5,RANDBETWEEN(15,20)&amp;"%",IF(J96=6,RANDBETWEEN(10,15)&amp;"%",IF(J96=7,RANDBETWEEN(8,10)&amp;"%",IF(J96=8,RANDBETWEEN(6,8)&amp;"%",IF(J96=9,RANDBETWEEN(4,6)&amp;"%",IF(J96=10,RANDBETWEEN(2,4)&amp;"%","")))))))))))</f>
        <v>37%</v>
      </c>
      <c r="Q96" s="123" t="e">
        <f ca="1">IFERROR(L96*(M96+N96)*O96*P96,RANDBETWEEN(1,2)%*L96*(M96+N96)*O96)</f>
        <v>#N/A</v>
      </c>
      <c r="R96" s="125">
        <f>VLOOKUP(D:D,ranking!W:X,2,0)</f>
        <v>0.8</v>
      </c>
      <c r="S96" s="126" t="e">
        <f ca="1">R96*Q96</f>
        <v>#N/A</v>
      </c>
      <c r="T96" s="123">
        <v>2.5986450107916541</v>
      </c>
    </row>
    <row r="97" spans="1:20" x14ac:dyDescent="0.25">
      <c r="A97" s="98" t="s">
        <v>2002</v>
      </c>
      <c r="B97" s="98" t="s">
        <v>85</v>
      </c>
      <c r="C97" s="46" t="s">
        <v>906</v>
      </c>
      <c r="D97" s="98" t="s">
        <v>434</v>
      </c>
      <c r="E97" s="46" t="s">
        <v>211</v>
      </c>
      <c r="F97" s="46" t="s">
        <v>213</v>
      </c>
      <c r="G97" s="53" t="s">
        <v>1958</v>
      </c>
      <c r="H97" s="46" t="s">
        <v>28</v>
      </c>
      <c r="I97" s="129">
        <v>46162</v>
      </c>
      <c r="J97" s="98"/>
      <c r="K97" s="46" t="s">
        <v>2000</v>
      </c>
      <c r="L97" s="123">
        <f>VLOOKUP($C97&amp;$E97,'Updated SES'!A:N,14,0)</f>
        <v>127.11702000000001</v>
      </c>
      <c r="M97" s="124" t="e">
        <f>VLOOKUP($K97,'Genre Penetration'!A:B,2,0)*VLOOKUP($C97&amp;$E97,'Updated SES'!A:I,9,0)</f>
        <v>#N/A</v>
      </c>
      <c r="N97" s="124" t="e">
        <f>VLOOKUP(K:K,'Genre Penetration'!A:C,3,0)*VLOOKUP($C97&amp;$E97,'Updated SES'!A:J,10,0)</f>
        <v>#N/A</v>
      </c>
      <c r="O97" s="124" t="e">
        <f>VLOOKUP($B97,'Language Penetration'!$B$1:$BE$14,MATCH('Compile data Working'!#REF!,'Language Penetration'!$B$1:$BE$1,0),0)</f>
        <v>#REF!</v>
      </c>
      <c r="P97" s="124" t="str">
        <f ca="1">IF(ISBLANK(J97),RANDBETWEEN(1,2)&amp;"%",IF(J97=1,RANDBETWEEN(35,40)&amp;"%",IF(J97=2,RANDBETWEEN(30,35)&amp;"%",IF(J97=3,RANDBETWEEN(25,30)&amp;"%",IF(J97=4,RANDBETWEEN(20,25)&amp;"%",IF(J97=5,RANDBETWEEN(15,20)&amp;"%",IF(J97=6,RANDBETWEEN(10,15)&amp;"%",IF(J97=7,RANDBETWEEN(8,10)&amp;"%",IF(J97=8,RANDBETWEEN(6,8)&amp;"%",IF(J97=9,RANDBETWEEN(4,6)&amp;"%",IF(J97=10,RANDBETWEEN(2,4)&amp;"%","")))))))))))</f>
        <v>1%</v>
      </c>
      <c r="Q97" s="123" t="e">
        <f ca="1">IFERROR(L97*(M97+N97)*O97*P97,RANDBETWEEN(1,2)%*L97*(M97+N97)*O97)</f>
        <v>#N/A</v>
      </c>
      <c r="R97" s="125">
        <f>VLOOKUP(D:D,ranking!W:X,2,0)</f>
        <v>0.7</v>
      </c>
      <c r="S97" s="126" t="e">
        <f ca="1">R97*Q97</f>
        <v>#N/A</v>
      </c>
      <c r="T97" s="123">
        <v>2.5647084413435906</v>
      </c>
    </row>
    <row r="98" spans="1:20" x14ac:dyDescent="0.25">
      <c r="A98" s="98" t="s">
        <v>1057</v>
      </c>
      <c r="B98" s="98" t="s">
        <v>85</v>
      </c>
      <c r="C98" s="98" t="s">
        <v>64</v>
      </c>
      <c r="D98" s="46" t="s">
        <v>1012</v>
      </c>
      <c r="E98" s="98" t="s">
        <v>211</v>
      </c>
      <c r="F98" s="46" t="s">
        <v>215</v>
      </c>
      <c r="G98" s="98" t="s">
        <v>1876</v>
      </c>
      <c r="H98" s="119" t="s">
        <v>1058</v>
      </c>
      <c r="I98" s="136">
        <v>46157</v>
      </c>
      <c r="J98" s="119">
        <v>5</v>
      </c>
      <c r="K98" s="98" t="s">
        <v>980</v>
      </c>
      <c r="L98" s="123">
        <f>VLOOKUP($C98&amp;$E98,'Updated SES'!A:N,14,0)</f>
        <v>36.498239999999996</v>
      </c>
      <c r="M98" s="124">
        <f>VLOOKUP($K98,'Genre Penetration'!A:B,2,0)*VLOOKUP($C98&amp;$E98,'Updated SES'!A:I,9,0)</f>
        <v>0.312</v>
      </c>
      <c r="N98" s="124">
        <f>VLOOKUP(K:K,'Genre Penetration'!A:C,3,0)*VLOOKUP($C98&amp;$E98,'Updated SES'!A:J,10,0)</f>
        <v>0.192</v>
      </c>
      <c r="O98" s="124">
        <f>VLOOKUP($B98,'Language Penetration'!$B$1:$BE$14,MATCH('Compile data Working'!$H200,'Language Penetration'!$B$1:$BE$1,0),0)</f>
        <v>0.6</v>
      </c>
      <c r="P98" s="124" t="str">
        <f ca="1">IF(ISBLANK(J98),RANDBETWEEN(1,2)&amp;"%",IF(J98=1,RANDBETWEEN(35,40)&amp;"%",IF(J98=2,RANDBETWEEN(30,35)&amp;"%",IF(J98=3,RANDBETWEEN(25,30)&amp;"%",IF(J98=4,RANDBETWEEN(20,25)&amp;"%",IF(J98=5,RANDBETWEEN(15,20)&amp;"%",IF(J98=6,RANDBETWEEN(10,15)&amp;"%",IF(J98=7,RANDBETWEEN(8,10)&amp;"%",IF(J98=8,RANDBETWEEN(6,8)&amp;"%",IF(J98=9,RANDBETWEEN(4,6)&amp;"%",IF(J98=10,RANDBETWEEN(2,4)&amp;"%","")))))))))))</f>
        <v>19%</v>
      </c>
      <c r="Q98" s="123">
        <f ca="1">IFERROR(L98*(M98+N98)*O98*P98,RANDBETWEEN(1,2)%*L98*(M98+N98)*O98)</f>
        <v>2.0970428774399998</v>
      </c>
      <c r="R98" s="125">
        <f>VLOOKUP(D:D,ranking!W:X,2,0)</f>
        <v>0.6</v>
      </c>
      <c r="S98" s="126">
        <f ca="1">R98*Q98</f>
        <v>1.2582257264639998</v>
      </c>
      <c r="T98" s="123">
        <v>2.5531323997034536</v>
      </c>
    </row>
    <row r="99" spans="1:20" x14ac:dyDescent="0.25">
      <c r="A99" s="98" t="s">
        <v>2002</v>
      </c>
      <c r="B99" s="98" t="s">
        <v>85</v>
      </c>
      <c r="C99" s="46" t="s">
        <v>123</v>
      </c>
      <c r="D99" s="98" t="s">
        <v>434</v>
      </c>
      <c r="E99" s="46" t="s">
        <v>211</v>
      </c>
      <c r="F99" s="46" t="s">
        <v>213</v>
      </c>
      <c r="G99" s="53" t="s">
        <v>1967</v>
      </c>
      <c r="H99" s="46" t="s">
        <v>20</v>
      </c>
      <c r="I99" s="129">
        <v>46163</v>
      </c>
      <c r="J99" s="98"/>
      <c r="K99" s="46" t="s">
        <v>154</v>
      </c>
      <c r="L99" s="123">
        <f>VLOOKUP($C99&amp;$E99,'Updated SES'!A:N,14,0)</f>
        <v>55.459200000000003</v>
      </c>
      <c r="M99" s="124">
        <f>VLOOKUP($K99,'Genre Penetration'!A:B,2,0)*VLOOKUP($C99&amp;$E99,'Updated SES'!A:I,9,0)</f>
        <v>0.14699999999999999</v>
      </c>
      <c r="N99" s="124">
        <f>VLOOKUP(K:K,'Genre Penetration'!A:C,3,0)*VLOOKUP($C99&amp;$E99,'Updated SES'!A:J,10,0)</f>
        <v>0.35699999999999998</v>
      </c>
      <c r="O99" s="124">
        <f>VLOOKUP($B99,'Language Penetration'!$B$1:$BE$14,MATCH('Compile data Working'!$H19,'Language Penetration'!$B$1:$BE$1,0),0)</f>
        <v>7.0000000000000007E-2</v>
      </c>
      <c r="P99" s="124" t="str">
        <f ca="1">IF(ISBLANK(J99),RANDBETWEEN(1,2)&amp;"%",IF(J99=1,RANDBETWEEN(35,40)&amp;"%",IF(J99=2,RANDBETWEEN(30,35)&amp;"%",IF(J99=3,RANDBETWEEN(25,30)&amp;"%",IF(J99=4,RANDBETWEEN(20,25)&amp;"%",IF(J99=5,RANDBETWEEN(15,20)&amp;"%",IF(J99=6,RANDBETWEEN(10,15)&amp;"%",IF(J99=7,RANDBETWEEN(8,10)&amp;"%",IF(J99=8,RANDBETWEEN(6,8)&amp;"%",IF(J99=9,RANDBETWEEN(4,6)&amp;"%",IF(J99=10,RANDBETWEEN(2,4)&amp;"%","")))))))))))</f>
        <v>2%</v>
      </c>
      <c r="Q99" s="123">
        <f ca="1">IFERROR(L99*(M99+N99)*O99*P99,RANDBETWEEN(1,2)%*L99*(M99+N99)*O99)</f>
        <v>3.913201152000001E-2</v>
      </c>
      <c r="R99" s="125">
        <f>VLOOKUP(D:D,ranking!W:X,2,0)</f>
        <v>0.7</v>
      </c>
      <c r="S99" s="126">
        <f ca="1">R99*Q99</f>
        <v>2.7392408064000003E-2</v>
      </c>
      <c r="T99" s="123">
        <v>2.5426766999296002</v>
      </c>
    </row>
    <row r="100" spans="1:20" x14ac:dyDescent="0.25">
      <c r="A100" s="98" t="s">
        <v>2002</v>
      </c>
      <c r="B100" s="98" t="s">
        <v>85</v>
      </c>
      <c r="C100" s="46" t="s">
        <v>135</v>
      </c>
      <c r="D100" s="98" t="s">
        <v>434</v>
      </c>
      <c r="E100" s="46" t="s">
        <v>211</v>
      </c>
      <c r="F100" s="46" t="s">
        <v>213</v>
      </c>
      <c r="G100" s="46" t="s">
        <v>1986</v>
      </c>
      <c r="H100" s="46" t="s">
        <v>22</v>
      </c>
      <c r="I100" s="129">
        <v>46164</v>
      </c>
      <c r="J100" s="98"/>
      <c r="K100" s="46" t="s">
        <v>324</v>
      </c>
      <c r="L100" s="123">
        <f>VLOOKUP($C100&amp;$E100,'Updated SES'!A:N,14,0)</f>
        <v>12.64146</v>
      </c>
      <c r="M100" s="124">
        <f>VLOOKUP($K100,'Genre Penetration'!A:B,2,0)*VLOOKUP($C100&amp;$E100,'Updated SES'!A:I,9,0)</f>
        <v>0.49920000000000003</v>
      </c>
      <c r="N100" s="124">
        <f>VLOOKUP(K:K,'Genre Penetration'!A:C,3,0)*VLOOKUP($C100&amp;$E100,'Updated SES'!A:J,10,0)</f>
        <v>7.9199999999999993E-2</v>
      </c>
      <c r="O100" s="124">
        <f>VLOOKUP($B100,'Language Penetration'!$B$1:$BE$14,MATCH('Compile data Working'!$H12,'Language Penetration'!$B$1:$BE$1,0),0)</f>
        <v>0.6</v>
      </c>
      <c r="P100" s="124" t="str">
        <f ca="1">IF(ISBLANK(J100),RANDBETWEEN(1,2)&amp;"%",IF(J100=1,RANDBETWEEN(35,40)&amp;"%",IF(J100=2,RANDBETWEEN(30,35)&amp;"%",IF(J100=3,RANDBETWEEN(25,30)&amp;"%",IF(J100=4,RANDBETWEEN(20,25)&amp;"%",IF(J100=5,RANDBETWEEN(15,20)&amp;"%",IF(J100=6,RANDBETWEEN(10,15)&amp;"%",IF(J100=7,RANDBETWEEN(8,10)&amp;"%",IF(J100=8,RANDBETWEEN(6,8)&amp;"%",IF(J100=9,RANDBETWEEN(4,6)&amp;"%",IF(J100=10,RANDBETWEEN(2,4)&amp;"%","")))))))))))</f>
        <v>1%</v>
      </c>
      <c r="Q100" s="123">
        <f ca="1">IFERROR(L100*(M100+N100)*O100*P100,RANDBETWEEN(1,2)%*L100*(M100+N100)*O100)</f>
        <v>4.3870922784000004E-2</v>
      </c>
      <c r="R100" s="125">
        <f>VLOOKUP(D:D,ranking!W:X,2,0)</f>
        <v>0.7</v>
      </c>
      <c r="S100" s="126">
        <f ca="1">R100*Q100</f>
        <v>3.0709645948800001E-2</v>
      </c>
      <c r="T100" s="123">
        <v>2.4744639828580608</v>
      </c>
    </row>
    <row r="101" spans="1:20" x14ac:dyDescent="0.25">
      <c r="A101" s="98" t="s">
        <v>2002</v>
      </c>
      <c r="B101" s="98" t="s">
        <v>85</v>
      </c>
      <c r="C101" s="46" t="s">
        <v>127</v>
      </c>
      <c r="D101" s="46" t="s">
        <v>1012</v>
      </c>
      <c r="E101" s="46" t="s">
        <v>211</v>
      </c>
      <c r="F101" s="46" t="s">
        <v>215</v>
      </c>
      <c r="G101" s="46" t="s">
        <v>1968</v>
      </c>
      <c r="H101" s="46" t="s">
        <v>30</v>
      </c>
      <c r="I101" s="129">
        <v>46163</v>
      </c>
      <c r="J101" s="98"/>
      <c r="K101" s="46" t="s">
        <v>124</v>
      </c>
      <c r="L101" s="123">
        <f>VLOOKUP($C101&amp;$E101,'Updated SES'!A:N,14,0)</f>
        <v>15.819999999999999</v>
      </c>
      <c r="M101" s="124">
        <f>VLOOKUP($K101,'Genre Penetration'!A:B,2,0)*VLOOKUP($C101&amp;$E101,'Updated SES'!A:I,9,0)</f>
        <v>0.33750000000000002</v>
      </c>
      <c r="N101" s="124">
        <f>VLOOKUP(K:K,'Genre Penetration'!A:C,3,0)*VLOOKUP($C101&amp;$E101,'Updated SES'!A:J,10,0)</f>
        <v>0.13750000000000001</v>
      </c>
      <c r="O101" s="124" t="e">
        <f>VLOOKUP($B101,'Language Penetration'!$B$1:$BE$14,MATCH('Compile data Working'!#REF!,'Language Penetration'!$B$1:$BE$1,0),0)</f>
        <v>#REF!</v>
      </c>
      <c r="P101" s="124" t="str">
        <f ca="1">IF(ISBLANK(J101),RANDBETWEEN(1,2)&amp;"%",IF(J101=1,RANDBETWEEN(35,40)&amp;"%",IF(J101=2,RANDBETWEEN(30,35)&amp;"%",IF(J101=3,RANDBETWEEN(25,30)&amp;"%",IF(J101=4,RANDBETWEEN(20,25)&amp;"%",IF(J101=5,RANDBETWEEN(15,20)&amp;"%",IF(J101=6,RANDBETWEEN(10,15)&amp;"%",IF(J101=7,RANDBETWEEN(8,10)&amp;"%",IF(J101=8,RANDBETWEEN(6,8)&amp;"%",IF(J101=9,RANDBETWEEN(4,6)&amp;"%",IF(J101=10,RANDBETWEEN(2,4)&amp;"%","")))))))))))</f>
        <v>2%</v>
      </c>
      <c r="Q101" s="123" t="e">
        <f ca="1">IFERROR(L101*(M101+N101)*O101*P101,RANDBETWEEN(1,2)%*L101*(M101+N101)*O101)</f>
        <v>#REF!</v>
      </c>
      <c r="R101" s="125">
        <f>VLOOKUP(D:D,ranking!W:X,2,0)</f>
        <v>0.6</v>
      </c>
      <c r="S101" s="126" t="e">
        <f ca="1">R101*Q101</f>
        <v>#REF!</v>
      </c>
      <c r="T101" s="123">
        <v>2.4224935472552187</v>
      </c>
    </row>
    <row r="102" spans="1:20" x14ac:dyDescent="0.25">
      <c r="A102" s="98" t="s">
        <v>2002</v>
      </c>
      <c r="B102" s="98" t="s">
        <v>85</v>
      </c>
      <c r="C102" s="46" t="s">
        <v>123</v>
      </c>
      <c r="D102" s="46" t="s">
        <v>1012</v>
      </c>
      <c r="E102" s="46" t="s">
        <v>211</v>
      </c>
      <c r="F102" s="46" t="s">
        <v>215</v>
      </c>
      <c r="G102" s="46" t="s">
        <v>1971</v>
      </c>
      <c r="H102" s="46" t="s">
        <v>20</v>
      </c>
      <c r="I102" s="129">
        <v>46163</v>
      </c>
      <c r="J102" s="98"/>
      <c r="K102" s="46" t="s">
        <v>172</v>
      </c>
      <c r="L102" s="123">
        <f>VLOOKUP($C102&amp;$E102,'Updated SES'!A:N,14,0)</f>
        <v>55.459200000000003</v>
      </c>
      <c r="M102" s="124">
        <f>VLOOKUP($K102,'Genre Penetration'!A:B,2,0)*VLOOKUP($C102&amp;$E102,'Updated SES'!A:I,9,0)</f>
        <v>0.19600000000000001</v>
      </c>
      <c r="N102" s="124">
        <f>VLOOKUP(K:K,'Genre Penetration'!A:C,3,0)*VLOOKUP($C102&amp;$E102,'Updated SES'!A:J,10,0)</f>
        <v>0.30599999999999999</v>
      </c>
      <c r="O102" s="124">
        <f>VLOOKUP($B102,'Language Penetration'!$B$1:$BE$14,MATCH('Compile data Working'!$H232,'Language Penetration'!$B$1:$BE$1,0),0)</f>
        <v>0.6</v>
      </c>
      <c r="P102" s="124" t="str">
        <f ca="1">IF(ISBLANK(J102),RANDBETWEEN(1,2)&amp;"%",IF(J102=1,RANDBETWEEN(35,40)&amp;"%",IF(J102=2,RANDBETWEEN(30,35)&amp;"%",IF(J102=3,RANDBETWEEN(25,30)&amp;"%",IF(J102=4,RANDBETWEEN(20,25)&amp;"%",IF(J102=5,RANDBETWEEN(15,20)&amp;"%",IF(J102=6,RANDBETWEEN(10,15)&amp;"%",IF(J102=7,RANDBETWEEN(8,10)&amp;"%",IF(J102=8,RANDBETWEEN(6,8)&amp;"%",IF(J102=9,RANDBETWEEN(4,6)&amp;"%",IF(J102=10,RANDBETWEEN(2,4)&amp;"%","")))))))))))</f>
        <v>2%</v>
      </c>
      <c r="Q102" s="123">
        <f ca="1">IFERROR(L102*(M102+N102)*O102*P102,RANDBETWEEN(1,2)%*L102*(M102+N102)*O102)</f>
        <v>0.3340862208</v>
      </c>
      <c r="R102" s="125">
        <f>VLOOKUP(D:D,ranking!W:X,2,0)</f>
        <v>0.6</v>
      </c>
      <c r="S102" s="126">
        <f ca="1">R102*Q102</f>
        <v>0.20045173248000001</v>
      </c>
      <c r="T102" s="123">
        <v>2.3954951956776962</v>
      </c>
    </row>
    <row r="103" spans="1:20" x14ac:dyDescent="0.25">
      <c r="A103" s="98" t="s">
        <v>1057</v>
      </c>
      <c r="B103" s="98" t="s">
        <v>85</v>
      </c>
      <c r="C103" s="98" t="s">
        <v>150</v>
      </c>
      <c r="D103" s="98" t="s">
        <v>434</v>
      </c>
      <c r="E103" s="98" t="s">
        <v>211</v>
      </c>
      <c r="F103" s="46" t="s">
        <v>213</v>
      </c>
      <c r="G103" s="98" t="s">
        <v>1794</v>
      </c>
      <c r="H103" s="98" t="s">
        <v>19</v>
      </c>
      <c r="I103" s="136">
        <v>46115</v>
      </c>
      <c r="J103" s="119">
        <v>8</v>
      </c>
      <c r="K103" s="98" t="s">
        <v>138</v>
      </c>
      <c r="L103" s="123">
        <f>VLOOKUP($C103&amp;$E103,'Updated SES'!A:N,14,0)</f>
        <v>60.152000000000001</v>
      </c>
      <c r="M103" s="124">
        <f>VLOOKUP($K103,'Genre Penetration'!A:B,2,0)*VLOOKUP($C103&amp;$E103,'Updated SES'!A:I,9,0)</f>
        <v>0.30549999999999999</v>
      </c>
      <c r="N103" s="124">
        <f>VLOOKUP(K:K,'Genre Penetration'!A:C,3,0)*VLOOKUP($C103&amp;$E103,'Updated SES'!A:J,10,0)</f>
        <v>0.1855</v>
      </c>
      <c r="O103" s="124">
        <f>VLOOKUP($B103,'Language Penetration'!$B$1:$BE$14,MATCH('Compile data Working'!$H182,'Language Penetration'!$B$1:$BE$1,0),0)</f>
        <v>0.2</v>
      </c>
      <c r="P103" s="124" t="str">
        <f ca="1">IF(ISBLANK(J103),RANDBETWEEN(1,2)&amp;"%",IF(J103=1,RANDBETWEEN(35,40)&amp;"%",IF(J103=2,RANDBETWEEN(30,35)&amp;"%",IF(J103=3,RANDBETWEEN(25,30)&amp;"%",IF(J103=4,RANDBETWEEN(20,25)&amp;"%",IF(J103=5,RANDBETWEEN(15,20)&amp;"%",IF(J103=6,RANDBETWEEN(10,15)&amp;"%",IF(J103=7,RANDBETWEEN(8,10)&amp;"%",IF(J103=8,RANDBETWEEN(6,8)&amp;"%",IF(J103=9,RANDBETWEEN(4,6)&amp;"%",IF(J103=10,RANDBETWEEN(2,4)&amp;"%","")))))))))))</f>
        <v>7%</v>
      </c>
      <c r="Q103" s="123">
        <f ca="1">IFERROR(L103*(M103+N103)*O103*P103,RANDBETWEEN(1,2)%*L103*(M103+N103)*O103)</f>
        <v>0.41348484800000002</v>
      </c>
      <c r="R103" s="125">
        <f>VLOOKUP(D:D,ranking!W:X,2,0)</f>
        <v>0.7</v>
      </c>
      <c r="S103" s="126">
        <f ca="1">R103*Q103</f>
        <v>0.28943939359999998</v>
      </c>
      <c r="T103" s="123">
        <v>2.1811445997515637</v>
      </c>
    </row>
    <row r="104" spans="1:20" x14ac:dyDescent="0.25">
      <c r="A104" s="98" t="s">
        <v>1781</v>
      </c>
      <c r="B104" s="98" t="s">
        <v>85</v>
      </c>
      <c r="C104" s="46" t="s">
        <v>906</v>
      </c>
      <c r="D104" s="98" t="s">
        <v>456</v>
      </c>
      <c r="E104" s="98" t="s">
        <v>211</v>
      </c>
      <c r="F104" s="46" t="s">
        <v>2011</v>
      </c>
      <c r="G104" s="46" t="s">
        <v>2036</v>
      </c>
      <c r="H104" s="46" t="s">
        <v>19</v>
      </c>
      <c r="I104" s="129">
        <v>46018</v>
      </c>
      <c r="J104" s="46"/>
      <c r="K104" s="46" t="s">
        <v>2077</v>
      </c>
      <c r="L104" s="123">
        <f>VLOOKUP($C104&amp;$E104,'Updated SES'!A:N,14,0)</f>
        <v>127.11702000000001</v>
      </c>
      <c r="M104" s="124" t="e">
        <f>VLOOKUP($K104,'Genre Penetration'!A:B,2,0)*VLOOKUP($C104&amp;$E104,'Updated SES'!A:I,9,0)</f>
        <v>#N/A</v>
      </c>
      <c r="N104" s="124" t="e">
        <f>VLOOKUP(K:K,'Genre Penetration'!A:C,3,0)*VLOOKUP($C104&amp;$E104,'Updated SES'!A:J,10,0)</f>
        <v>#N/A</v>
      </c>
      <c r="O104" s="124">
        <f>VLOOKUP($B104,'Language Penetration'!$B$1:$BE$14,MATCH('Compile data Working'!$H127,'Language Penetration'!$B$1:$BE$1,0),0)</f>
        <v>0.6</v>
      </c>
      <c r="P104" s="124" t="str">
        <f ca="1">IF(ISBLANK(J104),RANDBETWEEN(1,2)&amp;"%",IF(J104=1,RANDBETWEEN(35,40)&amp;"%",IF(J104=2,RANDBETWEEN(30,35)&amp;"%",IF(J104=3,RANDBETWEEN(25,30)&amp;"%",IF(J104=4,RANDBETWEEN(20,25)&amp;"%",IF(J104=5,RANDBETWEEN(15,20)&amp;"%",IF(J104=6,RANDBETWEEN(10,15)&amp;"%",IF(J104=7,RANDBETWEEN(8,10)&amp;"%",IF(J104=8,RANDBETWEEN(6,8)&amp;"%",IF(J104=9,RANDBETWEEN(4,6)&amp;"%",IF(J104=10,RANDBETWEEN(2,4)&amp;"%","")))))))))))</f>
        <v>1%</v>
      </c>
      <c r="Q104" s="123" t="e">
        <f ca="1">IFERROR(L104*(M104+N104)*O104*P104,RANDBETWEEN(1,2)%*L104*(M104+N104)*O104)</f>
        <v>#N/A</v>
      </c>
      <c r="R104" s="125">
        <f>VLOOKUP(D:D,ranking!W:X,2,0)</f>
        <v>0.3</v>
      </c>
      <c r="S104" s="126" t="e">
        <f ca="1">R104*Q104</f>
        <v>#N/A</v>
      </c>
      <c r="T104" s="123">
        <v>2.1525429492811776</v>
      </c>
    </row>
    <row r="105" spans="1:20" x14ac:dyDescent="0.25">
      <c r="A105" s="98" t="s">
        <v>1781</v>
      </c>
      <c r="B105" s="98" t="s">
        <v>85</v>
      </c>
      <c r="C105" s="46" t="s">
        <v>906</v>
      </c>
      <c r="D105" s="98" t="s">
        <v>456</v>
      </c>
      <c r="E105" s="98" t="s">
        <v>211</v>
      </c>
      <c r="F105" s="46" t="s">
        <v>2011</v>
      </c>
      <c r="G105" s="46" t="s">
        <v>2013</v>
      </c>
      <c r="H105" s="46" t="s">
        <v>2062</v>
      </c>
      <c r="I105" s="129">
        <v>46048</v>
      </c>
      <c r="J105" s="119"/>
      <c r="K105" s="46" t="s">
        <v>970</v>
      </c>
      <c r="L105" s="123">
        <f>VLOOKUP($C105&amp;$E105,'Updated SES'!A:N,14,0)</f>
        <v>127.11702000000001</v>
      </c>
      <c r="M105" s="124">
        <f>VLOOKUP($K105,'Genre Penetration'!A:B,2,0)*VLOOKUP($C105&amp;$E105,'Updated SES'!A:I,9,0)</f>
        <v>0.33499999999999996</v>
      </c>
      <c r="N105" s="124">
        <f>VLOOKUP(K:K,'Genre Penetration'!A:C,3,0)*VLOOKUP($C105&amp;$E105,'Updated SES'!A:J,10,0)</f>
        <v>0.16499999999999998</v>
      </c>
      <c r="O105" s="124">
        <f>VLOOKUP($B105,'Language Penetration'!$B$1:$BE$14,MATCH('Compile data Working'!$H5,'Language Penetration'!$B$1:$BE$1,0),0)</f>
        <v>0.6</v>
      </c>
      <c r="P105" s="124" t="str">
        <f ca="1">IF(ISBLANK(J105),RANDBETWEEN(1,2)&amp;"%",IF(J105=1,RANDBETWEEN(35,40)&amp;"%",IF(J105=2,RANDBETWEEN(30,35)&amp;"%",IF(J105=3,RANDBETWEEN(25,30)&amp;"%",IF(J105=4,RANDBETWEEN(20,25)&amp;"%",IF(J105=5,RANDBETWEEN(15,20)&amp;"%",IF(J105=6,RANDBETWEEN(10,15)&amp;"%",IF(J105=7,RANDBETWEEN(8,10)&amp;"%",IF(J105=8,RANDBETWEEN(6,8)&amp;"%",IF(J105=9,RANDBETWEEN(4,6)&amp;"%",IF(J105=10,RANDBETWEEN(2,4)&amp;"%","")))))))))))</f>
        <v>2%</v>
      </c>
      <c r="Q105" s="123">
        <f ca="1">IFERROR(L105*(M105+N105)*O105*P105,RANDBETWEEN(1,2)%*L105*(M105+N105)*O105)</f>
        <v>0.76270212000000004</v>
      </c>
      <c r="R105" s="125">
        <f>VLOOKUP(D:D,ranking!W:X,2,0)</f>
        <v>0.3</v>
      </c>
      <c r="S105" s="126">
        <f ca="1">R105*Q105</f>
        <v>0.22881063600000001</v>
      </c>
      <c r="T105" s="123">
        <v>2.1403795572919835</v>
      </c>
    </row>
    <row r="106" spans="1:20" x14ac:dyDescent="0.25">
      <c r="A106" s="98" t="s">
        <v>1781</v>
      </c>
      <c r="B106" s="98" t="s">
        <v>85</v>
      </c>
      <c r="C106" s="46" t="s">
        <v>123</v>
      </c>
      <c r="D106" s="46" t="s">
        <v>1013</v>
      </c>
      <c r="E106" s="119" t="s">
        <v>211</v>
      </c>
      <c r="F106" s="46" t="s">
        <v>213</v>
      </c>
      <c r="G106" s="46" t="s">
        <v>2032</v>
      </c>
      <c r="H106" s="46" t="s">
        <v>26</v>
      </c>
      <c r="I106" s="129">
        <v>46150</v>
      </c>
      <c r="J106" s="46"/>
      <c r="K106" s="46" t="s">
        <v>2066</v>
      </c>
      <c r="L106" s="123">
        <f>VLOOKUP($C106&amp;$E106,'Updated SES'!A:N,14,0)</f>
        <v>55.459200000000003</v>
      </c>
      <c r="M106" s="124" t="e">
        <f>VLOOKUP($K106,'Genre Penetration'!A:B,2,0)*VLOOKUP($C106&amp;$E106,'Updated SES'!A:I,9,0)</f>
        <v>#N/A</v>
      </c>
      <c r="N106" s="124" t="e">
        <f>VLOOKUP(K:K,'Genre Penetration'!A:C,3,0)*VLOOKUP($C106&amp;$E106,'Updated SES'!A:J,10,0)</f>
        <v>#N/A</v>
      </c>
      <c r="O106" s="124">
        <f>VLOOKUP($B106,'Language Penetration'!$B$1:$BE$14,MATCH('Compile data Working'!$H122,'Language Penetration'!$B$1:$BE$1,0),0)</f>
        <v>0.6</v>
      </c>
      <c r="P106" s="124" t="str">
        <f ca="1">IF(ISBLANK(J106),RANDBETWEEN(1,2)&amp;"%",IF(J106=1,RANDBETWEEN(35,40)&amp;"%",IF(J106=2,RANDBETWEEN(30,35)&amp;"%",IF(J106=3,RANDBETWEEN(25,30)&amp;"%",IF(J106=4,RANDBETWEEN(20,25)&amp;"%",IF(J106=5,RANDBETWEEN(15,20)&amp;"%",IF(J106=6,RANDBETWEEN(10,15)&amp;"%",IF(J106=7,RANDBETWEEN(8,10)&amp;"%",IF(J106=8,RANDBETWEEN(6,8)&amp;"%",IF(J106=9,RANDBETWEEN(4,6)&amp;"%",IF(J106=10,RANDBETWEEN(2,4)&amp;"%","")))))))))))</f>
        <v>1%</v>
      </c>
      <c r="Q106" s="123" t="e">
        <f ca="1">IFERROR(L106*(M106+N106)*O106*P106,RANDBETWEEN(1,2)%*L106*(M106+N106)*O106)</f>
        <v>#N/A</v>
      </c>
      <c r="R106" s="125">
        <f>VLOOKUP(D:D,ranking!W:X,2,0)</f>
        <v>0.8</v>
      </c>
      <c r="S106" s="126" t="e">
        <f ca="1">R106*Q106</f>
        <v>#N/A</v>
      </c>
      <c r="T106" s="123">
        <v>2.1331952474283198</v>
      </c>
    </row>
    <row r="107" spans="1:20" x14ac:dyDescent="0.25">
      <c r="A107" s="98" t="s">
        <v>1057</v>
      </c>
      <c r="B107" s="98" t="s">
        <v>85</v>
      </c>
      <c r="C107" s="98" t="s">
        <v>132</v>
      </c>
      <c r="D107" s="98" t="s">
        <v>456</v>
      </c>
      <c r="E107" s="98" t="s">
        <v>219</v>
      </c>
      <c r="F107" s="46" t="s">
        <v>2011</v>
      </c>
      <c r="G107" s="98" t="s">
        <v>1909</v>
      </c>
      <c r="H107" s="98" t="s">
        <v>19</v>
      </c>
      <c r="I107" s="136">
        <v>46140</v>
      </c>
      <c r="J107" s="119">
        <v>7</v>
      </c>
      <c r="K107" s="98" t="s">
        <v>448</v>
      </c>
      <c r="L107" s="123">
        <f>VLOOKUP($C107&amp;$E107,'Updated SES'!A:N,14,0)</f>
        <v>5.2679999999999998</v>
      </c>
      <c r="M107" s="124">
        <f>VLOOKUP($K107,'Genre Penetration'!A:B,2,0)*VLOOKUP($C107&amp;$E107,'Updated SES'!A:I,9,0)</f>
        <v>0.46199999999999997</v>
      </c>
      <c r="N107" s="124">
        <f>VLOOKUP(K:K,'Genre Penetration'!A:C,3,0)*VLOOKUP($C107&amp;$E107,'Updated SES'!A:J,10,0)</f>
        <v>0.10200000000000001</v>
      </c>
      <c r="O107" s="124">
        <f>VLOOKUP($B107,'Language Penetration'!$B$1:$BE$14,MATCH('Compile data Working'!$H186,'Language Penetration'!$B$1:$BE$1,0),0)</f>
        <v>0.1</v>
      </c>
      <c r="P107" s="124" t="str">
        <f ca="1">IF(ISBLANK(J107),RANDBETWEEN(1,2)&amp;"%",IF(J107=1,RANDBETWEEN(35,40)&amp;"%",IF(J107=2,RANDBETWEEN(30,35)&amp;"%",IF(J107=3,RANDBETWEEN(25,30)&amp;"%",IF(J107=4,RANDBETWEEN(20,25)&amp;"%",IF(J107=5,RANDBETWEEN(15,20)&amp;"%",IF(J107=6,RANDBETWEEN(10,15)&amp;"%",IF(J107=7,RANDBETWEEN(8,10)&amp;"%",IF(J107=8,RANDBETWEEN(6,8)&amp;"%",IF(J107=9,RANDBETWEEN(4,6)&amp;"%",IF(J107=10,RANDBETWEEN(2,4)&amp;"%","")))))))))))</f>
        <v>8%</v>
      </c>
      <c r="Q107" s="123">
        <f ca="1">IFERROR(L107*(M107+N107)*O107*P107,RANDBETWEEN(1,2)%*L107*(M107+N107)*O107)</f>
        <v>2.3769215999999999E-2</v>
      </c>
      <c r="R107" s="125">
        <f>VLOOKUP(D:D,ranking!W:X,2,0)</f>
        <v>0.3</v>
      </c>
      <c r="S107" s="126">
        <f ca="1">R107*Q107</f>
        <v>7.1307647999999998E-3</v>
      </c>
      <c r="T107" s="123">
        <v>2.1189757617190637</v>
      </c>
    </row>
    <row r="108" spans="1:20" x14ac:dyDescent="0.25">
      <c r="A108" s="98" t="s">
        <v>1057</v>
      </c>
      <c r="B108" s="98" t="s">
        <v>85</v>
      </c>
      <c r="C108" s="98" t="s">
        <v>64</v>
      </c>
      <c r="D108" s="46" t="s">
        <v>1012</v>
      </c>
      <c r="E108" s="98" t="s">
        <v>211</v>
      </c>
      <c r="F108" s="46" t="s">
        <v>215</v>
      </c>
      <c r="G108" s="120" t="s">
        <v>1894</v>
      </c>
      <c r="H108" s="119" t="s">
        <v>1432</v>
      </c>
      <c r="I108" s="136">
        <v>46148</v>
      </c>
      <c r="J108" s="119">
        <v>8</v>
      </c>
      <c r="K108" s="98" t="s">
        <v>980</v>
      </c>
      <c r="L108" s="123">
        <f>VLOOKUP($C108&amp;$E108,'Updated SES'!A:N,14,0)</f>
        <v>36.498239999999996</v>
      </c>
      <c r="M108" s="124">
        <f>VLOOKUP($K108,'Genre Penetration'!A:B,2,0)*VLOOKUP($C108&amp;$E108,'Updated SES'!A:I,9,0)</f>
        <v>0.312</v>
      </c>
      <c r="N108" s="124">
        <f>VLOOKUP(K:K,'Genre Penetration'!A:C,3,0)*VLOOKUP($C108&amp;$E108,'Updated SES'!A:J,10,0)</f>
        <v>0.192</v>
      </c>
      <c r="O108" s="124" t="e">
        <f>VLOOKUP($B108,'Language Penetration'!$B$1:$BE$14,MATCH('Compile data Working'!$H56,'Language Penetration'!$B$1:$BE$1,0),0)</f>
        <v>#N/A</v>
      </c>
      <c r="P108" s="124" t="str">
        <f ca="1">IF(ISBLANK(J108),RANDBETWEEN(1,2)&amp;"%",IF(J108=1,RANDBETWEEN(35,40)&amp;"%",IF(J108=2,RANDBETWEEN(30,35)&amp;"%",IF(J108=3,RANDBETWEEN(25,30)&amp;"%",IF(J108=4,RANDBETWEEN(20,25)&amp;"%",IF(J108=5,RANDBETWEEN(15,20)&amp;"%",IF(J108=6,RANDBETWEEN(10,15)&amp;"%",IF(J108=7,RANDBETWEEN(8,10)&amp;"%",IF(J108=8,RANDBETWEEN(6,8)&amp;"%",IF(J108=9,RANDBETWEEN(4,6)&amp;"%",IF(J108=10,RANDBETWEEN(2,4)&amp;"%","")))))))))))</f>
        <v>8%</v>
      </c>
      <c r="Q108" s="123" t="e">
        <f ca="1">IFERROR(L108*(M108+N108)*O108*P108,RANDBETWEEN(1,2)%*L108*(M108+N108)*O108)</f>
        <v>#N/A</v>
      </c>
      <c r="R108" s="125">
        <f>VLOOKUP(D:D,ranking!W:X,2,0)</f>
        <v>0.6</v>
      </c>
      <c r="S108" s="126" t="e">
        <f ca="1">R108*Q108</f>
        <v>#N/A</v>
      </c>
      <c r="T108" s="123">
        <v>2.0997943826086609</v>
      </c>
    </row>
    <row r="109" spans="1:20" x14ac:dyDescent="0.25">
      <c r="A109" s="98" t="s">
        <v>1057</v>
      </c>
      <c r="B109" s="98" t="s">
        <v>85</v>
      </c>
      <c r="C109" s="98" t="s">
        <v>150</v>
      </c>
      <c r="D109" s="46" t="s">
        <v>1012</v>
      </c>
      <c r="E109" s="98" t="s">
        <v>211</v>
      </c>
      <c r="F109" s="46" t="s">
        <v>215</v>
      </c>
      <c r="G109" s="98" t="s">
        <v>1918</v>
      </c>
      <c r="H109" s="120" t="s">
        <v>1757</v>
      </c>
      <c r="I109" s="136">
        <v>46142</v>
      </c>
      <c r="J109" s="98">
        <v>4</v>
      </c>
      <c r="K109" s="98" t="s">
        <v>275</v>
      </c>
      <c r="L109" s="123">
        <f>VLOOKUP($C109&amp;$E109,'Updated SES'!A:N,14,0)</f>
        <v>60.152000000000001</v>
      </c>
      <c r="M109" s="124">
        <f>VLOOKUP($K109,'Genre Penetration'!A:B,2,0)*VLOOKUP($C109&amp;$E109,'Updated SES'!A:I,9,0)</f>
        <v>0.35750000000000004</v>
      </c>
      <c r="N109" s="124">
        <f>VLOOKUP(K:K,'Genre Penetration'!A:C,3,0)*VLOOKUP($C109&amp;$E109,'Updated SES'!A:J,10,0)</f>
        <v>0.1575</v>
      </c>
      <c r="O109" s="124">
        <f>VLOOKUP($B109,'Language Penetration'!$B$1:$BE$14,MATCH('Compile data Working'!$H236,'Language Penetration'!$B$1:$BE$1,0),0)</f>
        <v>0.2</v>
      </c>
      <c r="P109" s="124" t="str">
        <f ca="1">IF(ISBLANK(J109),RANDBETWEEN(1,2)&amp;"%",IF(J109=1,RANDBETWEEN(35,40)&amp;"%",IF(J109=2,RANDBETWEEN(30,35)&amp;"%",IF(J109=3,RANDBETWEEN(25,30)&amp;"%",IF(J109=4,RANDBETWEEN(20,25)&amp;"%",IF(J109=5,RANDBETWEEN(15,20)&amp;"%",IF(J109=6,RANDBETWEEN(10,15)&amp;"%",IF(J109=7,RANDBETWEEN(8,10)&amp;"%",IF(J109=8,RANDBETWEEN(6,8)&amp;"%",IF(J109=9,RANDBETWEEN(4,6)&amp;"%",IF(J109=10,RANDBETWEEN(2,4)&amp;"%","")))))))))))</f>
        <v>23%</v>
      </c>
      <c r="Q109" s="123">
        <f ca="1">IFERROR(L109*(M109+N109)*O109*P109,RANDBETWEEN(1,2)%*L109*(M109+N109)*O109)</f>
        <v>1.4250008800000002</v>
      </c>
      <c r="R109" s="125">
        <f>VLOOKUP(D:D,ranking!W:X,2,0)</f>
        <v>0.6</v>
      </c>
      <c r="S109" s="126">
        <f ca="1">R109*Q109</f>
        <v>0.85500052800000015</v>
      </c>
      <c r="T109" s="123">
        <v>2.0979459467592001</v>
      </c>
    </row>
    <row r="110" spans="1:20" x14ac:dyDescent="0.25">
      <c r="A110" s="98" t="s">
        <v>2002</v>
      </c>
      <c r="B110" s="98" t="s">
        <v>85</v>
      </c>
      <c r="C110" s="46" t="s">
        <v>64</v>
      </c>
      <c r="D110" s="46" t="s">
        <v>1013</v>
      </c>
      <c r="E110" s="46" t="s">
        <v>211</v>
      </c>
      <c r="F110" s="46" t="s">
        <v>213</v>
      </c>
      <c r="G110" s="53" t="s">
        <v>1966</v>
      </c>
      <c r="H110" s="46" t="s">
        <v>246</v>
      </c>
      <c r="I110" s="129">
        <v>46162</v>
      </c>
      <c r="J110" s="98"/>
      <c r="K110" s="46" t="s">
        <v>97</v>
      </c>
      <c r="L110" s="123">
        <f>VLOOKUP($C110&amp;$E110,'Updated SES'!A:N,14,0)</f>
        <v>36.498239999999996</v>
      </c>
      <c r="M110" s="124">
        <f>VLOOKUP($K110,'Genre Penetration'!A:B,2,0)*VLOOKUP($C110&amp;$E110,'Updated SES'!A:I,9,0)</f>
        <v>0.35360000000000003</v>
      </c>
      <c r="N110" s="124">
        <f>VLOOKUP(K:K,'Genre Penetration'!A:C,3,0)*VLOOKUP($C110&amp;$E110,'Updated SES'!A:J,10,0)</f>
        <v>0.15359999999999999</v>
      </c>
      <c r="O110" s="124" t="e">
        <f>VLOOKUP($B110,'Language Penetration'!$B$1:$BE$14,MATCH('Compile data Working'!$H229,'Language Penetration'!$B$1:$BE$1,0),0)</f>
        <v>#N/A</v>
      </c>
      <c r="P110" s="124" t="str">
        <f ca="1">IF(ISBLANK(J110),RANDBETWEEN(1,2)&amp;"%",IF(J110=1,RANDBETWEEN(35,40)&amp;"%",IF(J110=2,RANDBETWEEN(30,35)&amp;"%",IF(J110=3,RANDBETWEEN(25,30)&amp;"%",IF(J110=4,RANDBETWEEN(20,25)&amp;"%",IF(J110=5,RANDBETWEEN(15,20)&amp;"%",IF(J110=6,RANDBETWEEN(10,15)&amp;"%",IF(J110=7,RANDBETWEEN(8,10)&amp;"%",IF(J110=8,RANDBETWEEN(6,8)&amp;"%",IF(J110=9,RANDBETWEEN(4,6)&amp;"%",IF(J110=10,RANDBETWEEN(2,4)&amp;"%","")))))))))))</f>
        <v>2%</v>
      </c>
      <c r="Q110" s="123" t="e">
        <f ca="1">IFERROR(L110*(M110+N110)*O110*P110,RANDBETWEEN(1,2)%*L110*(M110+N110)*O110)</f>
        <v>#N/A</v>
      </c>
      <c r="R110" s="125">
        <f>VLOOKUP(D:D,ranking!W:X,2,0)</f>
        <v>0.8</v>
      </c>
      <c r="S110" s="126" t="e">
        <f ca="1">R110*Q110</f>
        <v>#N/A</v>
      </c>
      <c r="T110" s="123">
        <v>2.0629705879956801</v>
      </c>
    </row>
    <row r="111" spans="1:20" x14ac:dyDescent="0.25">
      <c r="A111" s="98" t="s">
        <v>1057</v>
      </c>
      <c r="B111" s="98" t="s">
        <v>85</v>
      </c>
      <c r="C111" s="98" t="s">
        <v>406</v>
      </c>
      <c r="D111" s="46" t="s">
        <v>1012</v>
      </c>
      <c r="E111" s="98" t="s">
        <v>211</v>
      </c>
      <c r="F111" s="46" t="s">
        <v>215</v>
      </c>
      <c r="G111" s="119" t="s">
        <v>1898</v>
      </c>
      <c r="H111" s="119" t="s">
        <v>20</v>
      </c>
      <c r="I111" s="138">
        <v>46108</v>
      </c>
      <c r="J111" s="119">
        <v>5</v>
      </c>
      <c r="K111" s="98" t="s">
        <v>865</v>
      </c>
      <c r="L111" s="123">
        <f>VLOOKUP($C111&amp;$E111,'Updated SES'!A:N,14,0)</f>
        <v>1.669</v>
      </c>
      <c r="M111" s="124">
        <f>VLOOKUP($K111,'Genre Penetration'!A:B,2,0)*VLOOKUP($C111&amp;$E111,'Updated SES'!A:I,9,0)</f>
        <v>0.33</v>
      </c>
      <c r="N111" s="124">
        <f>VLOOKUP(K:K,'Genre Penetration'!A:C,3,0)*VLOOKUP($C111&amp;$E111,'Updated SES'!A:J,10,0)</f>
        <v>0.18000000000000002</v>
      </c>
      <c r="O111" s="124" t="e">
        <f>VLOOKUP($B111,'Language Penetration'!$B$1:$BE$14,MATCH('Compile data Working'!$H53,'Language Penetration'!$B$1:$BE$1,0),0)</f>
        <v>#N/A</v>
      </c>
      <c r="P111" s="124" t="str">
        <f ca="1">IF(ISBLANK(J111),RANDBETWEEN(1,2)&amp;"%",IF(J111=1,RANDBETWEEN(35,40)&amp;"%",IF(J111=2,RANDBETWEEN(30,35)&amp;"%",IF(J111=3,RANDBETWEEN(25,30)&amp;"%",IF(J111=4,RANDBETWEEN(20,25)&amp;"%",IF(J111=5,RANDBETWEEN(15,20)&amp;"%",IF(J111=6,RANDBETWEEN(10,15)&amp;"%",IF(J111=7,RANDBETWEEN(8,10)&amp;"%",IF(J111=8,RANDBETWEEN(6,8)&amp;"%",IF(J111=9,RANDBETWEEN(4,6)&amp;"%",IF(J111=10,RANDBETWEEN(2,4)&amp;"%","")))))))))))</f>
        <v>18%</v>
      </c>
      <c r="Q111" s="123" t="e">
        <f ca="1">IFERROR(L111*(M111+N111)*O111*P111,RANDBETWEEN(1,2)%*L111*(M111+N111)*O111)</f>
        <v>#N/A</v>
      </c>
      <c r="R111" s="125">
        <f>VLOOKUP(D:D,ranking!W:X,2,0)</f>
        <v>0.6</v>
      </c>
      <c r="S111" s="126" t="e">
        <f ca="1">R111*Q111</f>
        <v>#N/A</v>
      </c>
      <c r="T111" s="123">
        <v>2.0400293397174321</v>
      </c>
    </row>
    <row r="112" spans="1:20" x14ac:dyDescent="0.25">
      <c r="A112" s="98" t="s">
        <v>1057</v>
      </c>
      <c r="B112" s="98" t="s">
        <v>85</v>
      </c>
      <c r="C112" s="46" t="s">
        <v>123</v>
      </c>
      <c r="D112" s="46" t="s">
        <v>1013</v>
      </c>
      <c r="E112" s="46" t="s">
        <v>211</v>
      </c>
      <c r="F112" s="46" t="s">
        <v>213</v>
      </c>
      <c r="G112" s="46" t="s">
        <v>2006</v>
      </c>
      <c r="H112" s="46" t="s">
        <v>459</v>
      </c>
      <c r="I112" s="129">
        <v>46093</v>
      </c>
      <c r="J112" s="46">
        <v>9</v>
      </c>
      <c r="K112" s="46" t="s">
        <v>196</v>
      </c>
      <c r="L112" s="123">
        <f>VLOOKUP($C112&amp;$E112,'Updated SES'!A:N,14,0)</f>
        <v>55.459200000000003</v>
      </c>
      <c r="M112" s="124">
        <f>VLOOKUP($K112,'Genre Penetration'!A:B,2,0)*VLOOKUP($C112&amp;$E112,'Updated SES'!A:I,9,0)</f>
        <v>0.28419999999999995</v>
      </c>
      <c r="N112" s="124">
        <f>VLOOKUP(K:K,'Genre Penetration'!A:C,3,0)*VLOOKUP($C112&amp;$E112,'Updated SES'!A:J,10,0)</f>
        <v>0.2142</v>
      </c>
      <c r="O112" s="124" t="e">
        <f>VLOOKUP($B112,'Language Penetration'!$B$1:$BE$14,MATCH('Compile data Working'!#REF!,'Language Penetration'!$B$1:$BE$1,0),0)</f>
        <v>#REF!</v>
      </c>
      <c r="P112" s="124" t="str">
        <f ca="1">IF(ISBLANK(J112),RANDBETWEEN(1,2)&amp;"%",IF(J112=1,RANDBETWEEN(35,40)&amp;"%",IF(J112=2,RANDBETWEEN(30,35)&amp;"%",IF(J112=3,RANDBETWEEN(25,30)&amp;"%",IF(J112=4,RANDBETWEEN(20,25)&amp;"%",IF(J112=5,RANDBETWEEN(15,20)&amp;"%",IF(J112=6,RANDBETWEEN(10,15)&amp;"%",IF(J112=7,RANDBETWEEN(8,10)&amp;"%",IF(J112=8,RANDBETWEEN(6,8)&amp;"%",IF(J112=9,RANDBETWEEN(4,6)&amp;"%",IF(J112=10,RANDBETWEEN(2,4)&amp;"%","")))))))))))</f>
        <v>5%</v>
      </c>
      <c r="Q112" s="123" t="e">
        <f ca="1">IFERROR(L112*(M112+N112)*O112*P112,RANDBETWEEN(1,2)%*L112*(M112+N112)*O112)</f>
        <v>#REF!</v>
      </c>
      <c r="R112" s="125">
        <f>VLOOKUP(D:D,ranking!W:X,2,0)</f>
        <v>0.8</v>
      </c>
      <c r="S112" s="126" t="e">
        <f ca="1">R112*Q112</f>
        <v>#REF!</v>
      </c>
      <c r="T112" s="123">
        <v>2.0131807116333</v>
      </c>
    </row>
    <row r="113" spans="1:20" x14ac:dyDescent="0.25">
      <c r="A113" s="98" t="s">
        <v>1781</v>
      </c>
      <c r="B113" s="98" t="s">
        <v>85</v>
      </c>
      <c r="C113" s="46" t="s">
        <v>64</v>
      </c>
      <c r="D113" s="46" t="s">
        <v>1013</v>
      </c>
      <c r="E113" s="119" t="s">
        <v>211</v>
      </c>
      <c r="F113" s="46" t="s">
        <v>213</v>
      </c>
      <c r="G113" s="46" t="s">
        <v>1933</v>
      </c>
      <c r="H113" s="46" t="s">
        <v>23</v>
      </c>
      <c r="I113" s="129">
        <v>46136</v>
      </c>
      <c r="J113" s="119"/>
      <c r="K113" s="46" t="s">
        <v>124</v>
      </c>
      <c r="L113" s="123">
        <f>VLOOKUP($C113&amp;$E113,'Updated SES'!A:N,14,0)</f>
        <v>36.498239999999996</v>
      </c>
      <c r="M113" s="124">
        <f>VLOOKUP($K113,'Genre Penetration'!A:B,2,0)*VLOOKUP($C113&amp;$E113,'Updated SES'!A:I,9,0)</f>
        <v>0.23400000000000001</v>
      </c>
      <c r="N113" s="124">
        <f>VLOOKUP(K:K,'Genre Penetration'!A:C,3,0)*VLOOKUP($C113&amp;$E113,'Updated SES'!A:J,10,0)</f>
        <v>0.26400000000000001</v>
      </c>
      <c r="O113" s="124">
        <f>VLOOKUP($B113,'Language Penetration'!$B$1:$BE$14,MATCH('Compile data Working'!$H113,'Language Penetration'!$B$1:$BE$1,0),0)</f>
        <v>0.15</v>
      </c>
      <c r="P113" s="124" t="str">
        <f ca="1">IF(ISBLANK(J113),RANDBETWEEN(1,2)&amp;"%",IF(J113=1,RANDBETWEEN(35,40)&amp;"%",IF(J113=2,RANDBETWEEN(30,35)&amp;"%",IF(J113=3,RANDBETWEEN(25,30)&amp;"%",IF(J113=4,RANDBETWEEN(20,25)&amp;"%",IF(J113=5,RANDBETWEEN(15,20)&amp;"%",IF(J113=6,RANDBETWEEN(10,15)&amp;"%",IF(J113=7,RANDBETWEEN(8,10)&amp;"%",IF(J113=8,RANDBETWEEN(6,8)&amp;"%",IF(J113=9,RANDBETWEEN(4,6)&amp;"%",IF(J113=10,RANDBETWEEN(2,4)&amp;"%","")))))))))))</f>
        <v>2%</v>
      </c>
      <c r="Q113" s="123">
        <f ca="1">IFERROR(L113*(M113+N113)*O113*P113,RANDBETWEEN(1,2)%*L113*(M113+N113)*O113)</f>
        <v>5.452837055999999E-2</v>
      </c>
      <c r="R113" s="125">
        <f>VLOOKUP(D:D,ranking!W:X,2,0)</f>
        <v>0.8</v>
      </c>
      <c r="S113" s="126">
        <f ca="1">R113*Q113</f>
        <v>4.3622696447999994E-2</v>
      </c>
      <c r="T113" s="123">
        <v>2.0052318309351</v>
      </c>
    </row>
    <row r="114" spans="1:20" x14ac:dyDescent="0.25">
      <c r="A114" s="98" t="s">
        <v>2002</v>
      </c>
      <c r="B114" s="98" t="s">
        <v>85</v>
      </c>
      <c r="C114" s="46" t="s">
        <v>135</v>
      </c>
      <c r="D114" s="98" t="s">
        <v>434</v>
      </c>
      <c r="E114" s="46" t="s">
        <v>211</v>
      </c>
      <c r="F114" s="46" t="s">
        <v>213</v>
      </c>
      <c r="G114" s="46" t="s">
        <v>1993</v>
      </c>
      <c r="H114" s="46" t="s">
        <v>25</v>
      </c>
      <c r="I114" s="129">
        <v>46164</v>
      </c>
      <c r="J114" s="98"/>
      <c r="K114" s="46" t="s">
        <v>176</v>
      </c>
      <c r="L114" s="123">
        <f>VLOOKUP($C114&amp;$E114,'Updated SES'!A:N,14,0)</f>
        <v>12.64146</v>
      </c>
      <c r="M114" s="124">
        <f>VLOOKUP($K114,'Genre Penetration'!A:B,2,0)*VLOOKUP($C114&amp;$E114,'Updated SES'!A:I,9,0)</f>
        <v>0.48360000000000003</v>
      </c>
      <c r="N114" s="124">
        <f>VLOOKUP(K:K,'Genre Penetration'!A:C,3,0)*VLOOKUP($C114&amp;$E114,'Updated SES'!A:J,10,0)</f>
        <v>8.3600000000000008E-2</v>
      </c>
      <c r="O114" s="124">
        <f>VLOOKUP($B114,'Language Penetration'!$B$1:$BE$14,MATCH('Compile data Working'!$H126,'Language Penetration'!$B$1:$BE$1,0),0)</f>
        <v>0.6</v>
      </c>
      <c r="P114" s="124" t="str">
        <f ca="1">IF(ISBLANK(J114),RANDBETWEEN(1,2)&amp;"%",IF(J114=1,RANDBETWEEN(35,40)&amp;"%",IF(J114=2,RANDBETWEEN(30,35)&amp;"%",IF(J114=3,RANDBETWEEN(25,30)&amp;"%",IF(J114=4,RANDBETWEEN(20,25)&amp;"%",IF(J114=5,RANDBETWEEN(15,20)&amp;"%",IF(J114=6,RANDBETWEEN(10,15)&amp;"%",IF(J114=7,RANDBETWEEN(8,10)&amp;"%",IF(J114=8,RANDBETWEEN(6,8)&amp;"%",IF(J114=9,RANDBETWEEN(4,6)&amp;"%",IF(J114=10,RANDBETWEEN(2,4)&amp;"%","")))))))))))</f>
        <v>2%</v>
      </c>
      <c r="Q114" s="123">
        <f ca="1">IFERROR(L114*(M114+N114)*O114*P114,RANDBETWEEN(1,2)%*L114*(M114+N114)*O114)</f>
        <v>8.6042833343999994E-2</v>
      </c>
      <c r="R114" s="125">
        <f>VLOOKUP(D:D,ranking!W:X,2,0)</f>
        <v>0.7</v>
      </c>
      <c r="S114" s="126">
        <f ca="1">R114*Q114</f>
        <v>6.0229983340799993E-2</v>
      </c>
      <c r="T114" s="123">
        <v>2.0022772544</v>
      </c>
    </row>
    <row r="115" spans="1:20" x14ac:dyDescent="0.25">
      <c r="A115" s="98" t="s">
        <v>1057</v>
      </c>
      <c r="B115" s="98" t="s">
        <v>85</v>
      </c>
      <c r="C115" s="98" t="s">
        <v>406</v>
      </c>
      <c r="D115" s="46" t="s">
        <v>1012</v>
      </c>
      <c r="E115" s="98" t="s">
        <v>211</v>
      </c>
      <c r="F115" s="46" t="s">
        <v>215</v>
      </c>
      <c r="G115" s="120" t="s">
        <v>1899</v>
      </c>
      <c r="H115" s="119" t="s">
        <v>20</v>
      </c>
      <c r="I115" s="136">
        <v>46134</v>
      </c>
      <c r="J115" s="119">
        <v>10</v>
      </c>
      <c r="K115" s="120" t="s">
        <v>176</v>
      </c>
      <c r="L115" s="123">
        <f>VLOOKUP($C115&amp;$E115,'Updated SES'!A:N,14,0)</f>
        <v>1.669</v>
      </c>
      <c r="M115" s="124">
        <f>VLOOKUP($K115,'Genre Penetration'!A:B,2,0)*VLOOKUP($C115&amp;$E115,'Updated SES'!A:I,9,0)</f>
        <v>0.372</v>
      </c>
      <c r="N115" s="124">
        <f>VLOOKUP(K:K,'Genre Penetration'!A:C,3,0)*VLOOKUP($C115&amp;$E115,'Updated SES'!A:J,10,0)</f>
        <v>0.15200000000000002</v>
      </c>
      <c r="O115" s="124" t="e">
        <f>VLOOKUP($B115,'Language Penetration'!$B$1:$BE$14,MATCH('Compile data Working'!#REF!,'Language Penetration'!$B$1:$BE$1,0),0)</f>
        <v>#REF!</v>
      </c>
      <c r="P115" s="124" t="str">
        <f ca="1">IF(ISBLANK(J115),RANDBETWEEN(1,2)&amp;"%",IF(J115=1,RANDBETWEEN(35,40)&amp;"%",IF(J115=2,RANDBETWEEN(30,35)&amp;"%",IF(J115=3,RANDBETWEEN(25,30)&amp;"%",IF(J115=4,RANDBETWEEN(20,25)&amp;"%",IF(J115=5,RANDBETWEEN(15,20)&amp;"%",IF(J115=6,RANDBETWEEN(10,15)&amp;"%",IF(J115=7,RANDBETWEEN(8,10)&amp;"%",IF(J115=8,RANDBETWEEN(6,8)&amp;"%",IF(J115=9,RANDBETWEEN(4,6)&amp;"%",IF(J115=10,RANDBETWEEN(2,4)&amp;"%","")))))))))))</f>
        <v>2%</v>
      </c>
      <c r="Q115" s="123" t="e">
        <f ca="1">IFERROR(L115*(M115+N115)*O115*P115,RANDBETWEEN(1,2)%*L115*(M115+N115)*O115)</f>
        <v>#REF!</v>
      </c>
      <c r="R115" s="125">
        <f>VLOOKUP(D:D,ranking!W:X,2,0)</f>
        <v>0.6</v>
      </c>
      <c r="S115" s="126" t="e">
        <f ca="1">R115*Q115</f>
        <v>#REF!</v>
      </c>
      <c r="T115" s="123">
        <v>1.9923750298392797</v>
      </c>
    </row>
    <row r="116" spans="1:20" x14ac:dyDescent="0.25">
      <c r="A116" s="98" t="s">
        <v>1057</v>
      </c>
      <c r="B116" s="98" t="s">
        <v>85</v>
      </c>
      <c r="C116" s="98" t="s">
        <v>64</v>
      </c>
      <c r="D116" s="98" t="s">
        <v>434</v>
      </c>
      <c r="E116" s="119" t="s">
        <v>211</v>
      </c>
      <c r="F116" s="46" t="s">
        <v>213</v>
      </c>
      <c r="G116" s="98" t="s">
        <v>1889</v>
      </c>
      <c r="H116" s="98" t="s">
        <v>1058</v>
      </c>
      <c r="I116" s="136">
        <v>46148</v>
      </c>
      <c r="J116" s="119">
        <v>3</v>
      </c>
      <c r="K116" s="98" t="s">
        <v>886</v>
      </c>
      <c r="L116" s="123">
        <f>VLOOKUP($C116&amp;$E116,'Updated SES'!A:N,14,0)</f>
        <v>36.498239999999996</v>
      </c>
      <c r="M116" s="124">
        <f>VLOOKUP($K116,'Genre Penetration'!A:B,2,0)*VLOOKUP($C116&amp;$E116,'Updated SES'!A:I,9,0)</f>
        <v>0.26</v>
      </c>
      <c r="N116" s="124">
        <f>VLOOKUP(K:K,'Genre Penetration'!A:C,3,0)*VLOOKUP($C116&amp;$E116,'Updated SES'!A:J,10,0)</f>
        <v>0.24</v>
      </c>
      <c r="O116" s="124">
        <f>VLOOKUP($B116,'Language Penetration'!$B$1:$BE$14,MATCH('Compile data Working'!$H167,'Language Penetration'!$B$1:$BE$1,0),0)</f>
        <v>0.6</v>
      </c>
      <c r="P116" s="124" t="str">
        <f ca="1">IF(ISBLANK(J116),RANDBETWEEN(1,2)&amp;"%",IF(J116=1,RANDBETWEEN(35,40)&amp;"%",IF(J116=2,RANDBETWEEN(30,35)&amp;"%",IF(J116=3,RANDBETWEEN(25,30)&amp;"%",IF(J116=4,RANDBETWEEN(20,25)&amp;"%",IF(J116=5,RANDBETWEEN(15,20)&amp;"%",IF(J116=6,RANDBETWEEN(10,15)&amp;"%",IF(J116=7,RANDBETWEEN(8,10)&amp;"%",IF(J116=8,RANDBETWEEN(6,8)&amp;"%",IF(J116=9,RANDBETWEEN(4,6)&amp;"%",IF(J116=10,RANDBETWEEN(2,4)&amp;"%","")))))))))))</f>
        <v>25%</v>
      </c>
      <c r="Q116" s="123">
        <f ca="1">IFERROR(L116*(M116+N116)*O116*P116,RANDBETWEEN(1,2)%*L116*(M116+N116)*O116)</f>
        <v>2.7373679999999996</v>
      </c>
      <c r="R116" s="125">
        <f>VLOOKUP(D:D,ranking!W:X,2,0)</f>
        <v>0.7</v>
      </c>
      <c r="S116" s="126">
        <f ca="1">R116*Q116</f>
        <v>1.9161575999999996</v>
      </c>
      <c r="T116" s="123">
        <v>1.9616732411673596</v>
      </c>
    </row>
    <row r="117" spans="1:20" x14ac:dyDescent="0.25">
      <c r="A117" s="98" t="s">
        <v>1781</v>
      </c>
      <c r="B117" s="98" t="s">
        <v>85</v>
      </c>
      <c r="C117" s="46" t="s">
        <v>906</v>
      </c>
      <c r="D117" s="46" t="s">
        <v>1013</v>
      </c>
      <c r="E117" s="119" t="s">
        <v>211</v>
      </c>
      <c r="F117" s="46" t="s">
        <v>213</v>
      </c>
      <c r="G117" s="46" t="s">
        <v>2051</v>
      </c>
      <c r="H117" s="46" t="s">
        <v>19</v>
      </c>
      <c r="I117" s="129">
        <v>45898</v>
      </c>
      <c r="J117" s="46"/>
      <c r="K117" s="46" t="s">
        <v>1111</v>
      </c>
      <c r="L117" s="123">
        <f>VLOOKUP($C117&amp;$E117,'Updated SES'!A:N,14,0)</f>
        <v>127.11702000000001</v>
      </c>
      <c r="M117" s="124">
        <f>VLOOKUP($K117,'Genre Penetration'!A:B,2,0)*VLOOKUP($C117&amp;$E117,'Updated SES'!A:I,9,0)</f>
        <v>0.4556</v>
      </c>
      <c r="N117" s="124">
        <f>VLOOKUP(K:K,'Genre Penetration'!A:C,3,0)*VLOOKUP($C117&amp;$E117,'Updated SES'!A:J,10,0)</f>
        <v>0.10559999999999999</v>
      </c>
      <c r="O117" s="124">
        <f>VLOOKUP($B117,'Language Penetration'!$B$1:$BE$14,MATCH('Compile data Working'!$H201,'Language Penetration'!$B$1:$BE$1,0),0)</f>
        <v>0.15</v>
      </c>
      <c r="P117" s="124" t="str">
        <f ca="1">IF(ISBLANK(J117),RANDBETWEEN(1,2)&amp;"%",IF(J117=1,RANDBETWEEN(35,40)&amp;"%",IF(J117=2,RANDBETWEEN(30,35)&amp;"%",IF(J117=3,RANDBETWEEN(25,30)&amp;"%",IF(J117=4,RANDBETWEEN(20,25)&amp;"%",IF(J117=5,RANDBETWEEN(15,20)&amp;"%",IF(J117=6,RANDBETWEEN(10,15)&amp;"%",IF(J117=7,RANDBETWEEN(8,10)&amp;"%",IF(J117=8,RANDBETWEEN(6,8)&amp;"%",IF(J117=9,RANDBETWEEN(4,6)&amp;"%",IF(J117=10,RANDBETWEEN(2,4)&amp;"%","")))))))))))</f>
        <v>1%</v>
      </c>
      <c r="Q117" s="123">
        <f ca="1">IFERROR(L117*(M117+N117)*O117*P117,RANDBETWEEN(1,2)%*L117*(M117+N117)*O117)</f>
        <v>0.107007107436</v>
      </c>
      <c r="R117" s="125">
        <f>VLOOKUP(D:D,ranking!W:X,2,0)</f>
        <v>0.8</v>
      </c>
      <c r="S117" s="126">
        <f ca="1">R117*Q117</f>
        <v>8.5605685948800012E-2</v>
      </c>
      <c r="T117" s="123">
        <v>1.9568258840969599</v>
      </c>
    </row>
    <row r="118" spans="1:20" x14ac:dyDescent="0.25">
      <c r="A118" s="98" t="s">
        <v>1781</v>
      </c>
      <c r="B118" s="98" t="s">
        <v>85</v>
      </c>
      <c r="C118" s="46" t="s">
        <v>879</v>
      </c>
      <c r="D118" s="46" t="s">
        <v>220</v>
      </c>
      <c r="E118" s="98" t="s">
        <v>219</v>
      </c>
      <c r="F118" s="46" t="s">
        <v>213</v>
      </c>
      <c r="G118" s="46" t="s">
        <v>2014</v>
      </c>
      <c r="H118" s="46" t="s">
        <v>19</v>
      </c>
      <c r="I118" s="129">
        <v>44455</v>
      </c>
      <c r="J118" s="119"/>
      <c r="K118" s="46" t="s">
        <v>2065</v>
      </c>
      <c r="L118" s="123">
        <f>VLOOKUP($C118&amp;$E118,'Updated SES'!A:N,14,0)</f>
        <v>78.939870000000013</v>
      </c>
      <c r="M118" s="124" t="e">
        <f>VLOOKUP($K118,'Genre Penetration'!A:B,2,0)*VLOOKUP($C118&amp;$E118,'Updated SES'!A:I,9,0)</f>
        <v>#N/A</v>
      </c>
      <c r="N118" s="124" t="e">
        <f>VLOOKUP(K:K,'Genre Penetration'!A:C,3,0)*VLOOKUP($C118&amp;$E118,'Updated SES'!A:J,10,0)</f>
        <v>#N/A</v>
      </c>
      <c r="O118" s="124" t="e">
        <f>VLOOKUP($B118,'Language Penetration'!$B$1:$BE$14,MATCH('Compile data Working'!#REF!,'Language Penetration'!$B$1:$BE$1,0),0)</f>
        <v>#REF!</v>
      </c>
      <c r="P118" s="124" t="str">
        <f ca="1">IF(ISBLANK(J118),RANDBETWEEN(1,2)&amp;"%",IF(J118=1,RANDBETWEEN(35,40)&amp;"%",IF(J118=2,RANDBETWEEN(30,35)&amp;"%",IF(J118=3,RANDBETWEEN(25,30)&amp;"%",IF(J118=4,RANDBETWEEN(20,25)&amp;"%",IF(J118=5,RANDBETWEEN(15,20)&amp;"%",IF(J118=6,RANDBETWEEN(10,15)&amp;"%",IF(J118=7,RANDBETWEEN(8,10)&amp;"%",IF(J118=8,RANDBETWEEN(6,8)&amp;"%",IF(J118=9,RANDBETWEEN(4,6)&amp;"%",IF(J118=10,RANDBETWEEN(2,4)&amp;"%","")))))))))))</f>
        <v>1%</v>
      </c>
      <c r="Q118" s="123" t="e">
        <f ca="1">IFERROR(L118*(M118+N118)*O118*P118,RANDBETWEEN(1,2)%*L118*(M118+N118)*O118)</f>
        <v>#N/A</v>
      </c>
      <c r="R118" s="125" t="e">
        <f>VLOOKUP(D:D,ranking!W:X,2,0)</f>
        <v>#N/A</v>
      </c>
      <c r="S118" s="126" t="e">
        <f ca="1">R118*Q118</f>
        <v>#N/A</v>
      </c>
      <c r="T118" s="123">
        <v>1.9429152168799999</v>
      </c>
    </row>
    <row r="119" spans="1:20" x14ac:dyDescent="0.25">
      <c r="A119" s="98" t="s">
        <v>1781</v>
      </c>
      <c r="B119" s="98" t="s">
        <v>85</v>
      </c>
      <c r="C119" s="46" t="s">
        <v>879</v>
      </c>
      <c r="D119" s="46" t="s">
        <v>220</v>
      </c>
      <c r="E119" s="98" t="s">
        <v>219</v>
      </c>
      <c r="F119" s="46" t="s">
        <v>213</v>
      </c>
      <c r="G119" s="46" t="s">
        <v>2038</v>
      </c>
      <c r="H119" s="46" t="s">
        <v>19</v>
      </c>
      <c r="I119" s="129">
        <v>45380</v>
      </c>
      <c r="J119" s="46"/>
      <c r="K119" s="46" t="s">
        <v>2079</v>
      </c>
      <c r="L119" s="123">
        <f>VLOOKUP($C119&amp;$E119,'Updated SES'!A:N,14,0)</f>
        <v>78.939870000000013</v>
      </c>
      <c r="M119" s="124" t="e">
        <f>VLOOKUP($K119,'Genre Penetration'!A:B,2,0)*VLOOKUP($C119&amp;$E119,'Updated SES'!A:I,9,0)</f>
        <v>#N/A</v>
      </c>
      <c r="N119" s="124" t="e">
        <f>VLOOKUP(K:K,'Genre Penetration'!A:C,3,0)*VLOOKUP($C119&amp;$E119,'Updated SES'!A:J,10,0)</f>
        <v>#N/A</v>
      </c>
      <c r="O119" s="124">
        <f>VLOOKUP($B119,'Language Penetration'!$B$1:$BE$14,MATCH('Compile data Working'!$H139,'Language Penetration'!$B$1:$BE$1,0),0)</f>
        <v>0.6</v>
      </c>
      <c r="P119" s="124" t="str">
        <f ca="1">IF(ISBLANK(J119),RANDBETWEEN(1,2)&amp;"%",IF(J119=1,RANDBETWEEN(35,40)&amp;"%",IF(J119=2,RANDBETWEEN(30,35)&amp;"%",IF(J119=3,RANDBETWEEN(25,30)&amp;"%",IF(J119=4,RANDBETWEEN(20,25)&amp;"%",IF(J119=5,RANDBETWEEN(15,20)&amp;"%",IF(J119=6,RANDBETWEEN(10,15)&amp;"%",IF(J119=7,RANDBETWEEN(8,10)&amp;"%",IF(J119=8,RANDBETWEEN(6,8)&amp;"%",IF(J119=9,RANDBETWEEN(4,6)&amp;"%",IF(J119=10,RANDBETWEEN(2,4)&amp;"%","")))))))))))</f>
        <v>1%</v>
      </c>
      <c r="Q119" s="123" t="e">
        <f ca="1">IFERROR(L119*(M119+N119)*O119*P119,RANDBETWEEN(1,2)%*L119*(M119+N119)*O119)</f>
        <v>#N/A</v>
      </c>
      <c r="R119" s="125" t="e">
        <f>VLOOKUP(D:D,ranking!W:X,2,0)</f>
        <v>#N/A</v>
      </c>
      <c r="S119" s="126" t="e">
        <f ca="1">R119*Q119</f>
        <v>#N/A</v>
      </c>
      <c r="T119" s="123">
        <v>1.92059295724</v>
      </c>
    </row>
    <row r="120" spans="1:20" x14ac:dyDescent="0.25">
      <c r="A120" s="98" t="s">
        <v>1057</v>
      </c>
      <c r="B120" s="98" t="s">
        <v>85</v>
      </c>
      <c r="C120" s="98" t="s">
        <v>150</v>
      </c>
      <c r="D120" s="98" t="s">
        <v>434</v>
      </c>
      <c r="E120" s="98" t="s">
        <v>211</v>
      </c>
      <c r="F120" s="46" t="s">
        <v>213</v>
      </c>
      <c r="G120" s="98" t="s">
        <v>1916</v>
      </c>
      <c r="H120" s="98" t="s">
        <v>1058</v>
      </c>
      <c r="I120" s="136">
        <v>46143</v>
      </c>
      <c r="J120" s="98">
        <v>1</v>
      </c>
      <c r="K120" s="98" t="s">
        <v>921</v>
      </c>
      <c r="L120" s="123">
        <f>VLOOKUP($C120&amp;$E120,'Updated SES'!A:N,14,0)</f>
        <v>60.152000000000001</v>
      </c>
      <c r="M120" s="124">
        <f>VLOOKUP($K120,'Genre Penetration'!A:B,2,0)*VLOOKUP($C120&amp;$E120,'Updated SES'!A:I,9,0)</f>
        <v>0.34450000000000003</v>
      </c>
      <c r="N120" s="124">
        <f>VLOOKUP(K:K,'Genre Penetration'!A:C,3,0)*VLOOKUP($C120&amp;$E120,'Updated SES'!A:J,10,0)</f>
        <v>0.16449999999999998</v>
      </c>
      <c r="O120" s="124" t="e">
        <f>VLOOKUP($B120,'Language Penetration'!$B$1:$BE$14,MATCH('Compile data Working'!$H222,'Language Penetration'!$B$1:$BE$1,0),0)</f>
        <v>#N/A</v>
      </c>
      <c r="P120" s="124" t="str">
        <f ca="1">IF(ISBLANK(J120),RANDBETWEEN(1,2)&amp;"%",IF(J120=1,RANDBETWEEN(35,40)&amp;"%",IF(J120=2,RANDBETWEEN(30,35)&amp;"%",IF(J120=3,RANDBETWEEN(25,30)&amp;"%",IF(J120=4,RANDBETWEEN(20,25)&amp;"%",IF(J120=5,RANDBETWEEN(15,20)&amp;"%",IF(J120=6,RANDBETWEEN(10,15)&amp;"%",IF(J120=7,RANDBETWEEN(8,10)&amp;"%",IF(J120=8,RANDBETWEEN(6,8)&amp;"%",IF(J120=9,RANDBETWEEN(4,6)&amp;"%",IF(J120=10,RANDBETWEEN(2,4)&amp;"%","")))))))))))</f>
        <v>37%</v>
      </c>
      <c r="Q120" s="123" t="e">
        <f ca="1">IFERROR(L120*(M120+N120)*O120*P120,RANDBETWEEN(1,2)%*L120*(M120+N120)*O120)</f>
        <v>#N/A</v>
      </c>
      <c r="R120" s="125">
        <f>VLOOKUP(D:D,ranking!W:X,2,0)</f>
        <v>0.7</v>
      </c>
      <c r="S120" s="126" t="e">
        <f ca="1">R120*Q120</f>
        <v>#N/A</v>
      </c>
      <c r="T120" s="123">
        <v>1.9002340949845138</v>
      </c>
    </row>
    <row r="121" spans="1:20" x14ac:dyDescent="0.25">
      <c r="A121" s="98" t="s">
        <v>1781</v>
      </c>
      <c r="B121" s="98" t="s">
        <v>85</v>
      </c>
      <c r="C121" s="46" t="s">
        <v>123</v>
      </c>
      <c r="D121" s="46" t="s">
        <v>1012</v>
      </c>
      <c r="E121" s="119" t="s">
        <v>211</v>
      </c>
      <c r="F121" s="46" t="s">
        <v>215</v>
      </c>
      <c r="G121" s="46" t="s">
        <v>1941</v>
      </c>
      <c r="H121" s="46" t="s">
        <v>19</v>
      </c>
      <c r="I121" s="129">
        <v>45512</v>
      </c>
      <c r="J121" s="46"/>
      <c r="K121" s="46" t="s">
        <v>2089</v>
      </c>
      <c r="L121" s="123">
        <f>VLOOKUP($C121&amp;$E121,'Updated SES'!A:N,14,0)</f>
        <v>55.459200000000003</v>
      </c>
      <c r="M121" s="124" t="e">
        <f>VLOOKUP($K121,'Genre Penetration'!A:B,2,0)*VLOOKUP($C121&amp;$E121,'Updated SES'!A:I,9,0)</f>
        <v>#N/A</v>
      </c>
      <c r="N121" s="124" t="e">
        <f>VLOOKUP(K:K,'Genre Penetration'!A:C,3,0)*VLOOKUP($C121&amp;$E121,'Updated SES'!A:J,10,0)</f>
        <v>#N/A</v>
      </c>
      <c r="O121" s="124" t="e">
        <f>VLOOKUP($B121,'Language Penetration'!$B$1:$BE$14,MATCH('Compile data Working'!#REF!,'Language Penetration'!$B$1:$BE$1,0),0)</f>
        <v>#REF!</v>
      </c>
      <c r="P121" s="124" t="str">
        <f ca="1">IF(ISBLANK(J121),RANDBETWEEN(1,2)&amp;"%",IF(J121=1,RANDBETWEEN(35,40)&amp;"%",IF(J121=2,RANDBETWEEN(30,35)&amp;"%",IF(J121=3,RANDBETWEEN(25,30)&amp;"%",IF(J121=4,RANDBETWEEN(20,25)&amp;"%",IF(J121=5,RANDBETWEEN(15,20)&amp;"%",IF(J121=6,RANDBETWEEN(10,15)&amp;"%",IF(J121=7,RANDBETWEEN(8,10)&amp;"%",IF(J121=8,RANDBETWEEN(6,8)&amp;"%",IF(J121=9,RANDBETWEEN(4,6)&amp;"%",IF(J121=10,RANDBETWEEN(2,4)&amp;"%","")))))))))))</f>
        <v>1%</v>
      </c>
      <c r="Q121" s="123" t="e">
        <f ca="1">IFERROR(L121*(M121+N121)*O121*P121,RANDBETWEEN(1,2)%*L121*(M121+N121)*O121)</f>
        <v>#N/A</v>
      </c>
      <c r="R121" s="125">
        <f>VLOOKUP(D:D,ranking!W:X,2,0)</f>
        <v>0.6</v>
      </c>
      <c r="S121" s="126" t="e">
        <f ca="1">R121*Q121</f>
        <v>#N/A</v>
      </c>
      <c r="T121" s="123">
        <v>1.8922366791634002</v>
      </c>
    </row>
    <row r="122" spans="1:20" x14ac:dyDescent="0.25">
      <c r="A122" s="98" t="s">
        <v>1781</v>
      </c>
      <c r="B122" s="98" t="s">
        <v>85</v>
      </c>
      <c r="C122" s="46" t="s">
        <v>64</v>
      </c>
      <c r="D122" s="46" t="s">
        <v>1012</v>
      </c>
      <c r="E122" s="119" t="s">
        <v>211</v>
      </c>
      <c r="F122" s="46" t="s">
        <v>215</v>
      </c>
      <c r="G122" s="46" t="s">
        <v>1875</v>
      </c>
      <c r="H122" s="46" t="s">
        <v>19</v>
      </c>
      <c r="I122" s="129">
        <v>43125</v>
      </c>
      <c r="J122" s="119"/>
      <c r="K122" s="46" t="s">
        <v>966</v>
      </c>
      <c r="L122" s="123">
        <f>VLOOKUP($C122&amp;$E122,'Updated SES'!A:N,14,0)</f>
        <v>36.498239999999996</v>
      </c>
      <c r="M122" s="124">
        <f>VLOOKUP($K122,'Genre Penetration'!A:B,2,0)*VLOOKUP($C122&amp;$E122,'Updated SES'!A:I,9,0)</f>
        <v>0.26</v>
      </c>
      <c r="N122" s="124">
        <f>VLOOKUP(K:K,'Genre Penetration'!A:C,3,0)*VLOOKUP($C122&amp;$E122,'Updated SES'!A:J,10,0)</f>
        <v>0.24</v>
      </c>
      <c r="O122" s="124" t="e">
        <f>VLOOKUP($B122,'Language Penetration'!$B$1:$BE$14,MATCH('Compile data Working'!$H85,'Language Penetration'!$B$1:$BE$1,0),0)</f>
        <v>#N/A</v>
      </c>
      <c r="P122" s="124" t="str">
        <f ca="1">IF(ISBLANK(J122),RANDBETWEEN(1,2)&amp;"%",IF(J122=1,RANDBETWEEN(35,40)&amp;"%",IF(J122=2,RANDBETWEEN(30,35)&amp;"%",IF(J122=3,RANDBETWEEN(25,30)&amp;"%",IF(J122=4,RANDBETWEEN(20,25)&amp;"%",IF(J122=5,RANDBETWEEN(15,20)&amp;"%",IF(J122=6,RANDBETWEEN(10,15)&amp;"%",IF(J122=7,RANDBETWEEN(8,10)&amp;"%",IF(J122=8,RANDBETWEEN(6,8)&amp;"%",IF(J122=9,RANDBETWEEN(4,6)&amp;"%",IF(J122=10,RANDBETWEEN(2,4)&amp;"%","")))))))))))</f>
        <v>1%</v>
      </c>
      <c r="Q122" s="123" t="e">
        <f ca="1">IFERROR(L122*(M122+N122)*O122*P122,RANDBETWEEN(1,2)%*L122*(M122+N122)*O122)</f>
        <v>#N/A</v>
      </c>
      <c r="R122" s="125">
        <f>VLOOKUP(D:D,ranking!W:X,2,0)</f>
        <v>0.6</v>
      </c>
      <c r="S122" s="126" t="e">
        <f ca="1">R122*Q122</f>
        <v>#N/A</v>
      </c>
      <c r="T122" s="123">
        <v>1.84972400089524</v>
      </c>
    </row>
    <row r="123" spans="1:20" x14ac:dyDescent="0.25">
      <c r="A123" s="98" t="s">
        <v>1057</v>
      </c>
      <c r="B123" s="98" t="s">
        <v>85</v>
      </c>
      <c r="C123" s="98" t="s">
        <v>150</v>
      </c>
      <c r="D123" s="46" t="s">
        <v>1012</v>
      </c>
      <c r="E123" s="98" t="s">
        <v>211</v>
      </c>
      <c r="F123" s="46" t="s">
        <v>215</v>
      </c>
      <c r="G123" s="119" t="s">
        <v>1852</v>
      </c>
      <c r="H123" s="119" t="s">
        <v>40</v>
      </c>
      <c r="I123" s="138">
        <v>45513</v>
      </c>
      <c r="J123" s="119">
        <v>5</v>
      </c>
      <c r="K123" s="119" t="s">
        <v>173</v>
      </c>
      <c r="L123" s="123">
        <f>VLOOKUP($C123&amp;$E123,'Updated SES'!A:N,14,0)</f>
        <v>60.152000000000001</v>
      </c>
      <c r="M123" s="124">
        <f>VLOOKUP($K123,'Genre Penetration'!A:B,2,0)*VLOOKUP($C123&amp;$E123,'Updated SES'!A:I,9,0)</f>
        <v>0.35750000000000004</v>
      </c>
      <c r="N123" s="124">
        <f>VLOOKUP(K:K,'Genre Penetration'!A:C,3,0)*VLOOKUP($C123&amp;$E123,'Updated SES'!A:J,10,0)</f>
        <v>0.1575</v>
      </c>
      <c r="O123" s="124" t="e">
        <f>VLOOKUP($B123,'Language Penetration'!$B$1:$BE$14,MATCH('Compile data Working'!$H225,'Language Penetration'!$B$1:$BE$1,0),0)</f>
        <v>#N/A</v>
      </c>
      <c r="P123" s="124" t="str">
        <f ca="1">IF(ISBLANK(J123),RANDBETWEEN(1,2)&amp;"%",IF(J123=1,RANDBETWEEN(35,40)&amp;"%",IF(J123=2,RANDBETWEEN(30,35)&amp;"%",IF(J123=3,RANDBETWEEN(25,30)&amp;"%",IF(J123=4,RANDBETWEEN(20,25)&amp;"%",IF(J123=5,RANDBETWEEN(15,20)&amp;"%",IF(J123=6,RANDBETWEEN(10,15)&amp;"%",IF(J123=7,RANDBETWEEN(8,10)&amp;"%",IF(J123=8,RANDBETWEEN(6,8)&amp;"%",IF(J123=9,RANDBETWEEN(4,6)&amp;"%",IF(J123=10,RANDBETWEEN(2,4)&amp;"%","")))))))))))</f>
        <v>17%</v>
      </c>
      <c r="Q123" s="123" t="e">
        <f ca="1">IFERROR(L123*(M123+N123)*O123*P123,RANDBETWEEN(1,2)%*L123*(M123+N123)*O123)</f>
        <v>#N/A</v>
      </c>
      <c r="R123" s="125">
        <f>VLOOKUP(D:D,ranking!W:X,2,0)</f>
        <v>0.6</v>
      </c>
      <c r="S123" s="126" t="e">
        <f ca="1">R123*Q123</f>
        <v>#N/A</v>
      </c>
      <c r="T123" s="123">
        <v>1.8113452351061763</v>
      </c>
    </row>
    <row r="124" spans="1:20" x14ac:dyDescent="0.25">
      <c r="A124" s="98" t="s">
        <v>1781</v>
      </c>
      <c r="B124" s="98" t="s">
        <v>85</v>
      </c>
      <c r="C124" s="46" t="s">
        <v>906</v>
      </c>
      <c r="D124" s="46" t="s">
        <v>1012</v>
      </c>
      <c r="E124" s="119" t="s">
        <v>211</v>
      </c>
      <c r="F124" s="46" t="s">
        <v>215</v>
      </c>
      <c r="G124" s="46" t="s">
        <v>2019</v>
      </c>
      <c r="H124" s="46" t="s">
        <v>19</v>
      </c>
      <c r="I124" s="129">
        <v>43588</v>
      </c>
      <c r="J124" s="119"/>
      <c r="K124" s="46" t="s">
        <v>2069</v>
      </c>
      <c r="L124" s="123">
        <f>VLOOKUP($C124&amp;$E124,'Updated SES'!A:N,14,0)</f>
        <v>127.11702000000001</v>
      </c>
      <c r="M124" s="124" t="e">
        <f>VLOOKUP($K124,'Genre Penetration'!A:B,2,0)*VLOOKUP($C124&amp;$E124,'Updated SES'!A:I,9,0)</f>
        <v>#N/A</v>
      </c>
      <c r="N124" s="124" t="e">
        <f>VLOOKUP(K:K,'Genre Penetration'!A:C,3,0)*VLOOKUP($C124&amp;$E124,'Updated SES'!A:J,10,0)</f>
        <v>#N/A</v>
      </c>
      <c r="O124" s="124">
        <f>VLOOKUP($B124,'Language Penetration'!$B$1:$BE$14,MATCH('Compile data Working'!$H169,'Language Penetration'!$B$1:$BE$1,0),0)</f>
        <v>0.6</v>
      </c>
      <c r="P124" s="124" t="str">
        <f ca="1">IF(ISBLANK(J124),RANDBETWEEN(1,2)&amp;"%",IF(J124=1,RANDBETWEEN(35,40)&amp;"%",IF(J124=2,RANDBETWEEN(30,35)&amp;"%",IF(J124=3,RANDBETWEEN(25,30)&amp;"%",IF(J124=4,RANDBETWEEN(20,25)&amp;"%",IF(J124=5,RANDBETWEEN(15,20)&amp;"%",IF(J124=6,RANDBETWEEN(10,15)&amp;"%",IF(J124=7,RANDBETWEEN(8,10)&amp;"%",IF(J124=8,RANDBETWEEN(6,8)&amp;"%",IF(J124=9,RANDBETWEEN(4,6)&amp;"%",IF(J124=10,RANDBETWEEN(2,4)&amp;"%","")))))))))))</f>
        <v>1%</v>
      </c>
      <c r="Q124" s="123" t="e">
        <f ca="1">IFERROR(L124*(M124+N124)*O124*P124,RANDBETWEEN(1,2)%*L124*(M124+N124)*O124)</f>
        <v>#N/A</v>
      </c>
      <c r="R124" s="125">
        <f>VLOOKUP(D:D,ranking!W:X,2,0)</f>
        <v>0.6</v>
      </c>
      <c r="S124" s="126" t="e">
        <f ca="1">R124*Q124</f>
        <v>#N/A</v>
      </c>
      <c r="T124" s="123">
        <v>1.7960276771603201</v>
      </c>
    </row>
    <row r="125" spans="1:20" x14ac:dyDescent="0.25">
      <c r="A125" s="98" t="s">
        <v>1781</v>
      </c>
      <c r="B125" s="98" t="s">
        <v>85</v>
      </c>
      <c r="C125" s="46" t="s">
        <v>906</v>
      </c>
      <c r="D125" s="46" t="s">
        <v>1013</v>
      </c>
      <c r="E125" s="119" t="s">
        <v>211</v>
      </c>
      <c r="F125" s="46" t="s">
        <v>213</v>
      </c>
      <c r="G125" s="46" t="s">
        <v>2039</v>
      </c>
      <c r="H125" s="46" t="s">
        <v>19</v>
      </c>
      <c r="I125" s="129">
        <v>46136</v>
      </c>
      <c r="J125" s="46"/>
      <c r="K125" s="46" t="s">
        <v>168</v>
      </c>
      <c r="L125" s="123">
        <f>VLOOKUP($C125&amp;$E125,'Updated SES'!A:N,14,0)</f>
        <v>127.11702000000001</v>
      </c>
      <c r="M125" s="124">
        <f>VLOOKUP($K125,'Genre Penetration'!A:B,2,0)*VLOOKUP($C125&amp;$E125,'Updated SES'!A:I,9,0)</f>
        <v>0.42879999999999996</v>
      </c>
      <c r="N125" s="124">
        <f>VLOOKUP(K:K,'Genre Penetration'!A:C,3,0)*VLOOKUP($C125&amp;$E125,'Updated SES'!A:J,10,0)</f>
        <v>0.11879999999999998</v>
      </c>
      <c r="O125" s="124">
        <f>VLOOKUP($B125,'Language Penetration'!$B$1:$BE$14,MATCH('Compile data Working'!$H141,'Language Penetration'!$B$1:$BE$1,0),0)</f>
        <v>0.6</v>
      </c>
      <c r="P125" s="124" t="str">
        <f ca="1">IF(ISBLANK(J125),RANDBETWEEN(1,2)&amp;"%",IF(J125=1,RANDBETWEEN(35,40)&amp;"%",IF(J125=2,RANDBETWEEN(30,35)&amp;"%",IF(J125=3,RANDBETWEEN(25,30)&amp;"%",IF(J125=4,RANDBETWEEN(20,25)&amp;"%",IF(J125=5,RANDBETWEEN(15,20)&amp;"%",IF(J125=6,RANDBETWEEN(10,15)&amp;"%",IF(J125=7,RANDBETWEEN(8,10)&amp;"%",IF(J125=8,RANDBETWEEN(6,8)&amp;"%",IF(J125=9,RANDBETWEEN(4,6)&amp;"%",IF(J125=10,RANDBETWEEN(2,4)&amp;"%","")))))))))))</f>
        <v>1%</v>
      </c>
      <c r="Q125" s="123">
        <f ca="1">IFERROR(L125*(M125+N125)*O125*P125,RANDBETWEEN(1,2)%*L125*(M125+N125)*O125)</f>
        <v>0.41765568091199995</v>
      </c>
      <c r="R125" s="125">
        <f>VLOOKUP(D:D,ranking!W:X,2,0)</f>
        <v>0.8</v>
      </c>
      <c r="S125" s="126">
        <f ca="1">R125*Q125</f>
        <v>0.33412454472959996</v>
      </c>
      <c r="T125" s="123">
        <v>1.7718477296330799</v>
      </c>
    </row>
    <row r="126" spans="1:20" x14ac:dyDescent="0.25">
      <c r="A126" s="98" t="s">
        <v>1781</v>
      </c>
      <c r="B126" s="98" t="s">
        <v>85</v>
      </c>
      <c r="C126" s="46" t="s">
        <v>906</v>
      </c>
      <c r="D126" s="98" t="s">
        <v>456</v>
      </c>
      <c r="E126" s="98" t="s">
        <v>211</v>
      </c>
      <c r="F126" s="46" t="s">
        <v>2011</v>
      </c>
      <c r="G126" s="46" t="s">
        <v>1802</v>
      </c>
      <c r="H126" s="46" t="s">
        <v>19</v>
      </c>
      <c r="I126" s="129">
        <v>36710</v>
      </c>
      <c r="J126" s="98"/>
      <c r="K126" s="46" t="s">
        <v>950</v>
      </c>
      <c r="L126" s="123">
        <f>VLOOKUP($C126&amp;$E126,'Updated SES'!A:N,14,0)</f>
        <v>127.11702000000001</v>
      </c>
      <c r="M126" s="124" t="e">
        <f>VLOOKUP($K126,'Genre Penetration'!A:B,2,0)*VLOOKUP($C126&amp;$E126,'Updated SES'!A:I,9,0)</f>
        <v>#N/A</v>
      </c>
      <c r="N126" s="124" t="e">
        <f>VLOOKUP(K:K,'Genre Penetration'!A:C,3,0)*VLOOKUP($C126&amp;$E126,'Updated SES'!A:J,10,0)</f>
        <v>#N/A</v>
      </c>
      <c r="O126" s="124">
        <f>VLOOKUP($B126,'Language Penetration'!$B$1:$BE$14,MATCH('Compile data Working'!$H92,'Language Penetration'!$B$1:$BE$1,0),0)</f>
        <v>0.6</v>
      </c>
      <c r="P126" s="124" t="str">
        <f ca="1">IF(ISBLANK(J126),RANDBETWEEN(1,2)&amp;"%",IF(J126=1,RANDBETWEEN(35,40)&amp;"%",IF(J126=2,RANDBETWEEN(30,35)&amp;"%",IF(J126=3,RANDBETWEEN(25,30)&amp;"%",IF(J126=4,RANDBETWEEN(20,25)&amp;"%",IF(J126=5,RANDBETWEEN(15,20)&amp;"%",IF(J126=6,RANDBETWEEN(10,15)&amp;"%",IF(J126=7,RANDBETWEEN(8,10)&amp;"%",IF(J126=8,RANDBETWEEN(6,8)&amp;"%",IF(J126=9,RANDBETWEEN(4,6)&amp;"%",IF(J126=10,RANDBETWEEN(2,4)&amp;"%","")))))))))))</f>
        <v>2%</v>
      </c>
      <c r="Q126" s="123" t="e">
        <f ca="1">IFERROR(L126*(M126+N126)*O126*P126,RANDBETWEEN(1,2)%*L126*(M126+N126)*O126)</f>
        <v>#N/A</v>
      </c>
      <c r="R126" s="125">
        <f>VLOOKUP(D:D,ranking!W:X,2,0)</f>
        <v>0.3</v>
      </c>
      <c r="S126" s="126" t="e">
        <f ca="1">R126*Q126</f>
        <v>#N/A</v>
      </c>
      <c r="T126" s="123">
        <v>1.7685394751392547</v>
      </c>
    </row>
    <row r="127" spans="1:20" x14ac:dyDescent="0.25">
      <c r="A127" s="98" t="s">
        <v>1057</v>
      </c>
      <c r="B127" s="98" t="s">
        <v>85</v>
      </c>
      <c r="C127" s="98" t="s">
        <v>132</v>
      </c>
      <c r="D127" s="46" t="s">
        <v>1012</v>
      </c>
      <c r="E127" s="98" t="s">
        <v>211</v>
      </c>
      <c r="F127" s="46" t="s">
        <v>215</v>
      </c>
      <c r="G127" s="98" t="s">
        <v>1793</v>
      </c>
      <c r="H127" s="119" t="s">
        <v>19</v>
      </c>
      <c r="I127" s="136">
        <v>44112</v>
      </c>
      <c r="J127" s="119">
        <v>9</v>
      </c>
      <c r="K127" s="98" t="s">
        <v>168</v>
      </c>
      <c r="L127" s="123">
        <f>VLOOKUP($C127&amp;$E127,'Updated SES'!A:N,14,0)</f>
        <v>21.682040000000004</v>
      </c>
      <c r="M127" s="124">
        <f>VLOOKUP($K127,'Genre Penetration'!A:B,2,0)*VLOOKUP($C127&amp;$E127,'Updated SES'!A:I,9,0)</f>
        <v>0.41600000000000004</v>
      </c>
      <c r="N127" s="124">
        <f>VLOOKUP(K:K,'Genre Penetration'!A:C,3,0)*VLOOKUP($C127&amp;$E127,'Updated SES'!A:J,10,0)</f>
        <v>0.126</v>
      </c>
      <c r="O127" s="124" t="e">
        <f>VLOOKUP($B127,'Language Penetration'!$B$1:$BE$14,MATCH('Compile data Working'!$H75,'Language Penetration'!$B$1:$BE$1,0),0)</f>
        <v>#N/A</v>
      </c>
      <c r="P127" s="124" t="str">
        <f ca="1">IF(ISBLANK(J127),RANDBETWEEN(1,2)&amp;"%",IF(J127=1,RANDBETWEEN(35,40)&amp;"%",IF(J127=2,RANDBETWEEN(30,35)&amp;"%",IF(J127=3,RANDBETWEEN(25,30)&amp;"%",IF(J127=4,RANDBETWEEN(20,25)&amp;"%",IF(J127=5,RANDBETWEEN(15,20)&amp;"%",IF(J127=6,RANDBETWEEN(10,15)&amp;"%",IF(J127=7,RANDBETWEEN(8,10)&amp;"%",IF(J127=8,RANDBETWEEN(6,8)&amp;"%",IF(J127=9,RANDBETWEEN(4,6)&amp;"%",IF(J127=10,RANDBETWEEN(2,4)&amp;"%","")))))))))))</f>
        <v>5%</v>
      </c>
      <c r="Q127" s="123" t="e">
        <f ca="1">IFERROR(L127*(M127+N127)*O127*P127,RANDBETWEEN(1,2)%*L127*(M127+N127)*O127)</f>
        <v>#N/A</v>
      </c>
      <c r="R127" s="125">
        <f>VLOOKUP(D:D,ranking!W:X,2,0)</f>
        <v>0.6</v>
      </c>
      <c r="S127" s="126" t="e">
        <f ca="1">R127*Q127</f>
        <v>#N/A</v>
      </c>
      <c r="T127" s="123">
        <v>1.6444014877856659</v>
      </c>
    </row>
    <row r="128" spans="1:20" x14ac:dyDescent="0.25">
      <c r="A128" s="98" t="s">
        <v>1057</v>
      </c>
      <c r="B128" s="98" t="s">
        <v>85</v>
      </c>
      <c r="C128" s="46" t="s">
        <v>123</v>
      </c>
      <c r="D128" s="46" t="s">
        <v>1012</v>
      </c>
      <c r="E128" s="46" t="s">
        <v>211</v>
      </c>
      <c r="F128" s="46" t="s">
        <v>215</v>
      </c>
      <c r="G128" s="46" t="s">
        <v>1907</v>
      </c>
      <c r="H128" s="46" t="s">
        <v>77</v>
      </c>
      <c r="I128" s="129">
        <v>46115</v>
      </c>
      <c r="J128" s="46">
        <v>8</v>
      </c>
      <c r="K128" s="46" t="s">
        <v>138</v>
      </c>
      <c r="L128" s="123">
        <f>VLOOKUP($C128&amp;$E128,'Updated SES'!A:N,14,0)</f>
        <v>55.459200000000003</v>
      </c>
      <c r="M128" s="124">
        <f>VLOOKUP($K128,'Genre Penetration'!A:B,2,0)*VLOOKUP($C128&amp;$E128,'Updated SES'!A:I,9,0)</f>
        <v>0.23029999999999998</v>
      </c>
      <c r="N128" s="124">
        <f>VLOOKUP(K:K,'Genre Penetration'!A:C,3,0)*VLOOKUP($C128&amp;$E128,'Updated SES'!A:J,10,0)</f>
        <v>0.27030000000000004</v>
      </c>
      <c r="O128" s="124">
        <f>VLOOKUP($B128,'Language Penetration'!$B$1:$BE$14,MATCH('Compile data Working'!$H198,'Language Penetration'!$B$1:$BE$1,0),0)</f>
        <v>0.6</v>
      </c>
      <c r="P128" s="124" t="str">
        <f ca="1">IF(ISBLANK(J128),RANDBETWEEN(1,2)&amp;"%",IF(J128=1,RANDBETWEEN(35,40)&amp;"%",IF(J128=2,RANDBETWEEN(30,35)&amp;"%",IF(J128=3,RANDBETWEEN(25,30)&amp;"%",IF(J128=4,RANDBETWEEN(20,25)&amp;"%",IF(J128=5,RANDBETWEEN(15,20)&amp;"%",IF(J128=6,RANDBETWEEN(10,15)&amp;"%",IF(J128=7,RANDBETWEEN(8,10)&amp;"%",IF(J128=8,RANDBETWEEN(6,8)&amp;"%",IF(J128=9,RANDBETWEEN(4,6)&amp;"%",IF(J128=10,RANDBETWEEN(2,4)&amp;"%","")))))))))))</f>
        <v>6%</v>
      </c>
      <c r="Q128" s="123">
        <f ca="1">IFERROR(L128*(M128+N128)*O128*P128,RANDBETWEEN(1,2)%*L128*(M128+N128)*O128)</f>
        <v>0.99946351872000017</v>
      </c>
      <c r="R128" s="125">
        <f>VLOOKUP(D:D,ranking!W:X,2,0)</f>
        <v>0.6</v>
      </c>
      <c r="S128" s="126">
        <f ca="1">R128*Q128</f>
        <v>0.5996781112320001</v>
      </c>
      <c r="T128" s="123">
        <v>1.6273939796033901</v>
      </c>
    </row>
    <row r="129" spans="1:20" x14ac:dyDescent="0.25">
      <c r="A129" s="98" t="s">
        <v>1781</v>
      </c>
      <c r="B129" s="98" t="s">
        <v>85</v>
      </c>
      <c r="C129" s="46" t="s">
        <v>64</v>
      </c>
      <c r="D129" s="46" t="s">
        <v>1013</v>
      </c>
      <c r="E129" s="119" t="s">
        <v>211</v>
      </c>
      <c r="F129" s="46" t="s">
        <v>213</v>
      </c>
      <c r="G129" s="98" t="s">
        <v>2010</v>
      </c>
      <c r="H129" s="46" t="s">
        <v>2062</v>
      </c>
      <c r="I129" s="129">
        <v>46050</v>
      </c>
      <c r="J129" s="119"/>
      <c r="K129" s="46" t="s">
        <v>216</v>
      </c>
      <c r="L129" s="123">
        <f>VLOOKUP($C129&amp;$E129,'Updated SES'!A:N,14,0)</f>
        <v>36.498239999999996</v>
      </c>
      <c r="M129" s="124">
        <f>VLOOKUP($K129,'Genre Penetration'!A:B,2,0)*VLOOKUP($C129&amp;$E129,'Updated SES'!A:I,9,0)</f>
        <v>0.26</v>
      </c>
      <c r="N129" s="124">
        <f>VLOOKUP(K:K,'Genre Penetration'!A:C,3,0)*VLOOKUP($C129&amp;$E129,'Updated SES'!A:J,10,0)</f>
        <v>0.24</v>
      </c>
      <c r="O129" s="124">
        <f>VLOOKUP($B129,'Language Penetration'!$B$1:$BE$14,MATCH('Compile data Working'!$H38,'Language Penetration'!$B$1:$BE$1,0),0)</f>
        <v>0.6</v>
      </c>
      <c r="P129" s="124" t="str">
        <f ca="1">IF(ISBLANK(J129),RANDBETWEEN(1,2)&amp;"%",IF(J129=1,RANDBETWEEN(35,40)&amp;"%",IF(J129=2,RANDBETWEEN(30,35)&amp;"%",IF(J129=3,RANDBETWEEN(25,30)&amp;"%",IF(J129=4,RANDBETWEEN(20,25)&amp;"%",IF(J129=5,RANDBETWEEN(15,20)&amp;"%",IF(J129=6,RANDBETWEEN(10,15)&amp;"%",IF(J129=7,RANDBETWEEN(8,10)&amp;"%",IF(J129=8,RANDBETWEEN(6,8)&amp;"%",IF(J129=9,RANDBETWEEN(4,6)&amp;"%",IF(J129=10,RANDBETWEEN(2,4)&amp;"%","")))))))))))</f>
        <v>2%</v>
      </c>
      <c r="Q129" s="123">
        <f ca="1">IFERROR(L129*(M129+N129)*O129*P129,RANDBETWEEN(1,2)%*L129*(M129+N129)*O129)</f>
        <v>0.21898943999999998</v>
      </c>
      <c r="R129" s="125">
        <f>VLOOKUP(D:D,ranking!W:X,2,0)</f>
        <v>0.8</v>
      </c>
      <c r="S129" s="126">
        <f ca="1">R129*Q129</f>
        <v>0.175191552</v>
      </c>
      <c r="T129" s="123">
        <v>1.5996772583835199</v>
      </c>
    </row>
    <row r="130" spans="1:20" x14ac:dyDescent="0.25">
      <c r="A130" s="98" t="s">
        <v>1057</v>
      </c>
      <c r="B130" s="98" t="s">
        <v>85</v>
      </c>
      <c r="C130" s="98" t="s">
        <v>64</v>
      </c>
      <c r="D130" s="98" t="s">
        <v>434</v>
      </c>
      <c r="E130" s="119" t="s">
        <v>211</v>
      </c>
      <c r="F130" s="46" t="s">
        <v>213</v>
      </c>
      <c r="G130" s="98" t="s">
        <v>1863</v>
      </c>
      <c r="H130" s="98" t="s">
        <v>19</v>
      </c>
      <c r="I130" s="136">
        <v>46122</v>
      </c>
      <c r="J130" s="119">
        <v>8</v>
      </c>
      <c r="K130" s="98" t="s">
        <v>1921</v>
      </c>
      <c r="L130" s="123">
        <f>VLOOKUP($C130&amp;$E130,'Updated SES'!A:N,14,0)</f>
        <v>36.498239999999996</v>
      </c>
      <c r="M130" s="124" t="e">
        <f>VLOOKUP($K130,'Genre Penetration'!A:B,2,0)*VLOOKUP($C130&amp;$E130,'Updated SES'!A:I,9,0)</f>
        <v>#N/A</v>
      </c>
      <c r="N130" s="124" t="e">
        <f>VLOOKUP(K:K,'Genre Penetration'!A:C,3,0)*VLOOKUP($C130&amp;$E130,'Updated SES'!A:J,10,0)</f>
        <v>#N/A</v>
      </c>
      <c r="O130" s="124">
        <f>VLOOKUP($B130,'Language Penetration'!$B$1:$BE$14,MATCH('Compile data Working'!$H22,'Language Penetration'!$B$1:$BE$1,0),0)</f>
        <v>0.6</v>
      </c>
      <c r="P130" s="124" t="str">
        <f ca="1">IF(ISBLANK(J130),RANDBETWEEN(1,2)&amp;"%",IF(J130=1,RANDBETWEEN(35,40)&amp;"%",IF(J130=2,RANDBETWEEN(30,35)&amp;"%",IF(J130=3,RANDBETWEEN(25,30)&amp;"%",IF(J130=4,RANDBETWEEN(20,25)&amp;"%",IF(J130=5,RANDBETWEEN(15,20)&amp;"%",IF(J130=6,RANDBETWEEN(10,15)&amp;"%",IF(J130=7,RANDBETWEEN(8,10)&amp;"%",IF(J130=8,RANDBETWEEN(6,8)&amp;"%",IF(J130=9,RANDBETWEEN(4,6)&amp;"%",IF(J130=10,RANDBETWEEN(2,4)&amp;"%","")))))))))))</f>
        <v>8%</v>
      </c>
      <c r="Q130" s="123" t="e">
        <f ca="1">IFERROR(L130*(M130+N130)*O130*P130,RANDBETWEEN(1,2)%*L130*(M130+N130)*O130)</f>
        <v>#N/A</v>
      </c>
      <c r="R130" s="125">
        <f>VLOOKUP(D:D,ranking!W:X,2,0)</f>
        <v>0.7</v>
      </c>
      <c r="S130" s="126" t="e">
        <f ca="1">R130*Q130</f>
        <v>#N/A</v>
      </c>
      <c r="T130" s="123">
        <v>1.5748205340859005</v>
      </c>
    </row>
    <row r="131" spans="1:20" x14ac:dyDescent="0.25">
      <c r="A131" s="98" t="s">
        <v>1781</v>
      </c>
      <c r="B131" s="98" t="s">
        <v>85</v>
      </c>
      <c r="C131" s="46" t="s">
        <v>879</v>
      </c>
      <c r="D131" s="46" t="s">
        <v>1866</v>
      </c>
      <c r="E131" s="98" t="s">
        <v>219</v>
      </c>
      <c r="F131" s="46" t="s">
        <v>215</v>
      </c>
      <c r="G131" s="46" t="s">
        <v>2033</v>
      </c>
      <c r="H131" s="46" t="s">
        <v>19</v>
      </c>
      <c r="I131" s="129">
        <v>44468</v>
      </c>
      <c r="J131" s="46"/>
      <c r="K131" s="46" t="s">
        <v>216</v>
      </c>
      <c r="L131" s="123">
        <f>VLOOKUP($C131&amp;$E131,'Updated SES'!A:N,14,0)</f>
        <v>78.939870000000013</v>
      </c>
      <c r="M131" s="124">
        <f>VLOOKUP($K131,'Genre Penetration'!A:B,2,0)*VLOOKUP($C131&amp;$E131,'Updated SES'!A:I,9,0)</f>
        <v>0.4</v>
      </c>
      <c r="N131" s="124">
        <f>VLOOKUP(K:K,'Genre Penetration'!A:C,3,0)*VLOOKUP($C131&amp;$E131,'Updated SES'!A:J,10,0)</f>
        <v>0.1</v>
      </c>
      <c r="O131" s="124">
        <f>VLOOKUP($B131,'Language Penetration'!$B$1:$BE$14,MATCH('Compile data Working'!$H124,'Language Penetration'!$B$1:$BE$1,0),0)</f>
        <v>0.6</v>
      </c>
      <c r="P131" s="124" t="str">
        <f ca="1">IF(ISBLANK(J131),RANDBETWEEN(1,2)&amp;"%",IF(J131=1,RANDBETWEEN(35,40)&amp;"%",IF(J131=2,RANDBETWEEN(30,35)&amp;"%",IF(J131=3,RANDBETWEEN(25,30)&amp;"%",IF(J131=4,RANDBETWEEN(20,25)&amp;"%",IF(J131=5,RANDBETWEEN(15,20)&amp;"%",IF(J131=6,RANDBETWEEN(10,15)&amp;"%",IF(J131=7,RANDBETWEEN(8,10)&amp;"%",IF(J131=8,RANDBETWEEN(6,8)&amp;"%",IF(J131=9,RANDBETWEEN(4,6)&amp;"%",IF(J131=10,RANDBETWEEN(2,4)&amp;"%","")))))))))))</f>
        <v>2%</v>
      </c>
      <c r="Q131" s="123">
        <f ca="1">IFERROR(L131*(M131+N131)*O131*P131,RANDBETWEEN(1,2)%*L131*(M131+N131)*O131)</f>
        <v>0.47363922000000008</v>
      </c>
      <c r="R131" s="125">
        <f>VLOOKUP(D:D,ranking!W:X,2,0)</f>
        <v>0.6</v>
      </c>
      <c r="S131" s="126">
        <f ca="1">R131*Q131</f>
        <v>0.28418353200000002</v>
      </c>
      <c r="T131" s="123">
        <v>1.5717157107523001</v>
      </c>
    </row>
    <row r="132" spans="1:20" x14ac:dyDescent="0.25">
      <c r="A132" s="98" t="s">
        <v>1781</v>
      </c>
      <c r="B132" s="98" t="s">
        <v>85</v>
      </c>
      <c r="C132" s="46" t="s">
        <v>906</v>
      </c>
      <c r="D132" s="46" t="s">
        <v>1013</v>
      </c>
      <c r="E132" s="119" t="s">
        <v>211</v>
      </c>
      <c r="F132" s="46" t="s">
        <v>213</v>
      </c>
      <c r="G132" s="46" t="s">
        <v>2016</v>
      </c>
      <c r="H132" s="46" t="s">
        <v>19</v>
      </c>
      <c r="I132" s="129">
        <v>44785</v>
      </c>
      <c r="J132" s="119"/>
      <c r="K132" s="46" t="s">
        <v>2068</v>
      </c>
      <c r="L132" s="123">
        <f>VLOOKUP($C132&amp;$E132,'Updated SES'!A:N,14,0)</f>
        <v>127.11702000000001</v>
      </c>
      <c r="M132" s="124" t="e">
        <f>VLOOKUP($K132,'Genre Penetration'!A:B,2,0)*VLOOKUP($C132&amp;$E132,'Updated SES'!A:I,9,0)</f>
        <v>#N/A</v>
      </c>
      <c r="N132" s="124" t="e">
        <f>VLOOKUP(K:K,'Genre Penetration'!A:C,3,0)*VLOOKUP($C132&amp;$E132,'Updated SES'!A:J,10,0)</f>
        <v>#N/A</v>
      </c>
      <c r="O132" s="124" t="e">
        <f>VLOOKUP($B132,'Language Penetration'!$B$1:$BE$14,MATCH('Compile data Working'!$H16,'Language Penetration'!$B$1:$BE$1,0),0)</f>
        <v>#N/A</v>
      </c>
      <c r="P132" s="124" t="str">
        <f ca="1">IF(ISBLANK(J132),RANDBETWEEN(1,2)&amp;"%",IF(J132=1,RANDBETWEEN(35,40)&amp;"%",IF(J132=2,RANDBETWEEN(30,35)&amp;"%",IF(J132=3,RANDBETWEEN(25,30)&amp;"%",IF(J132=4,RANDBETWEEN(20,25)&amp;"%",IF(J132=5,RANDBETWEEN(15,20)&amp;"%",IF(J132=6,RANDBETWEEN(10,15)&amp;"%",IF(J132=7,RANDBETWEEN(8,10)&amp;"%",IF(J132=8,RANDBETWEEN(6,8)&amp;"%",IF(J132=9,RANDBETWEEN(4,6)&amp;"%",IF(J132=10,RANDBETWEEN(2,4)&amp;"%","")))))))))))</f>
        <v>2%</v>
      </c>
      <c r="Q132" s="123" t="e">
        <f ca="1">IFERROR(L132*(M132+N132)*O132*P132,RANDBETWEEN(1,2)%*L132*(M132+N132)*O132)</f>
        <v>#N/A</v>
      </c>
      <c r="R132" s="125">
        <f>VLOOKUP(D:D,ranking!W:X,2,0)</f>
        <v>0.8</v>
      </c>
      <c r="S132" s="126" t="e">
        <f ca="1">R132*Q132</f>
        <v>#N/A</v>
      </c>
      <c r="T132" s="123">
        <v>1.55706653577214</v>
      </c>
    </row>
    <row r="133" spans="1:20" x14ac:dyDescent="0.25">
      <c r="A133" s="98" t="s">
        <v>1781</v>
      </c>
      <c r="B133" s="98" t="s">
        <v>85</v>
      </c>
      <c r="C133" s="46" t="s">
        <v>906</v>
      </c>
      <c r="D133" s="46" t="s">
        <v>1012</v>
      </c>
      <c r="E133" s="119" t="s">
        <v>211</v>
      </c>
      <c r="F133" s="46" t="s">
        <v>215</v>
      </c>
      <c r="G133" s="46" t="s">
        <v>2061</v>
      </c>
      <c r="H133" s="46" t="s">
        <v>19</v>
      </c>
      <c r="I133" s="129">
        <v>44211</v>
      </c>
      <c r="J133" s="46"/>
      <c r="K133" s="46" t="s">
        <v>2089</v>
      </c>
      <c r="L133" s="123">
        <f>VLOOKUP($C133&amp;$E133,'Updated SES'!A:N,14,0)</f>
        <v>127.11702000000001</v>
      </c>
      <c r="M133" s="124" t="e">
        <f>VLOOKUP($K133,'Genre Penetration'!A:B,2,0)*VLOOKUP($C133&amp;$E133,'Updated SES'!A:I,9,0)</f>
        <v>#N/A</v>
      </c>
      <c r="N133" s="124" t="e">
        <f>VLOOKUP(K:K,'Genre Penetration'!A:C,3,0)*VLOOKUP($C133&amp;$E133,'Updated SES'!A:J,10,0)</f>
        <v>#N/A</v>
      </c>
      <c r="O133" s="124" t="e">
        <f>VLOOKUP($B133,'Language Penetration'!$B$1:$BE$14,MATCH('Compile data Working'!#REF!,'Language Penetration'!$B$1:$BE$1,0),0)</f>
        <v>#REF!</v>
      </c>
      <c r="P133" s="124" t="str">
        <f ca="1">IF(ISBLANK(J133),RANDBETWEEN(1,2)&amp;"%",IF(J133=1,RANDBETWEEN(35,40)&amp;"%",IF(J133=2,RANDBETWEEN(30,35)&amp;"%",IF(J133=3,RANDBETWEEN(25,30)&amp;"%",IF(J133=4,RANDBETWEEN(20,25)&amp;"%",IF(J133=5,RANDBETWEEN(15,20)&amp;"%",IF(J133=6,RANDBETWEEN(10,15)&amp;"%",IF(J133=7,RANDBETWEEN(8,10)&amp;"%",IF(J133=8,RANDBETWEEN(6,8)&amp;"%",IF(J133=9,RANDBETWEEN(4,6)&amp;"%",IF(J133=10,RANDBETWEEN(2,4)&amp;"%","")))))))))))</f>
        <v>1%</v>
      </c>
      <c r="Q133" s="123" t="e">
        <f ca="1">IFERROR(L133*(M133+N133)*O133*P133,RANDBETWEEN(1,2)%*L133*(M133+N133)*O133)</f>
        <v>#N/A</v>
      </c>
      <c r="R133" s="125">
        <f>VLOOKUP(D:D,ranking!W:X,2,0)</f>
        <v>0.6</v>
      </c>
      <c r="S133" s="126" t="e">
        <f ca="1">R133*Q133</f>
        <v>#N/A</v>
      </c>
      <c r="T133" s="123">
        <v>1.5280217264964977</v>
      </c>
    </row>
    <row r="134" spans="1:20" x14ac:dyDescent="0.25">
      <c r="A134" s="98" t="s">
        <v>1781</v>
      </c>
      <c r="B134" s="98" t="s">
        <v>85</v>
      </c>
      <c r="C134" s="46" t="s">
        <v>906</v>
      </c>
      <c r="D134" s="98" t="s">
        <v>456</v>
      </c>
      <c r="E134" s="98" t="s">
        <v>211</v>
      </c>
      <c r="F134" s="46" t="s">
        <v>2011</v>
      </c>
      <c r="G134" s="46" t="s">
        <v>1806</v>
      </c>
      <c r="H134" s="46" t="s">
        <v>19</v>
      </c>
      <c r="I134" s="129">
        <v>39825</v>
      </c>
      <c r="J134" s="46"/>
      <c r="K134" s="46" t="s">
        <v>950</v>
      </c>
      <c r="L134" s="123">
        <f>VLOOKUP($C134&amp;$E134,'Updated SES'!A:N,14,0)</f>
        <v>127.11702000000001</v>
      </c>
      <c r="M134" s="124" t="e">
        <f>VLOOKUP($K134,'Genre Penetration'!A:B,2,0)*VLOOKUP($C134&amp;$E134,'Updated SES'!A:I,9,0)</f>
        <v>#N/A</v>
      </c>
      <c r="N134" s="124" t="e">
        <f>VLOOKUP(K:K,'Genre Penetration'!A:C,3,0)*VLOOKUP($C134&amp;$E134,'Updated SES'!A:J,10,0)</f>
        <v>#N/A</v>
      </c>
      <c r="O134" s="124" t="e">
        <f>VLOOKUP($B134,'Language Penetration'!$B$1:$BE$14,MATCH('Compile data Working'!#REF!,'Language Penetration'!$B$1:$BE$1,0),0)</f>
        <v>#REF!</v>
      </c>
      <c r="P134" s="124" t="str">
        <f ca="1">IF(ISBLANK(J134),RANDBETWEEN(1,2)&amp;"%",IF(J134=1,RANDBETWEEN(35,40)&amp;"%",IF(J134=2,RANDBETWEEN(30,35)&amp;"%",IF(J134=3,RANDBETWEEN(25,30)&amp;"%",IF(J134=4,RANDBETWEEN(20,25)&amp;"%",IF(J134=5,RANDBETWEEN(15,20)&amp;"%",IF(J134=6,RANDBETWEEN(10,15)&amp;"%",IF(J134=7,RANDBETWEEN(8,10)&amp;"%",IF(J134=8,RANDBETWEEN(6,8)&amp;"%",IF(J134=9,RANDBETWEEN(4,6)&amp;"%",IF(J134=10,RANDBETWEEN(2,4)&amp;"%","")))))))))))</f>
        <v>1%</v>
      </c>
      <c r="Q134" s="123" t="e">
        <f ca="1">IFERROR(L134*(M134+N134)*O134*P134,RANDBETWEEN(1,2)%*L134*(M134+N134)*O134)</f>
        <v>#N/A</v>
      </c>
      <c r="R134" s="125">
        <f>VLOOKUP(D:D,ranking!W:X,2,0)</f>
        <v>0.3</v>
      </c>
      <c r="S134" s="126" t="e">
        <f ca="1">R134*Q134</f>
        <v>#N/A</v>
      </c>
      <c r="T134" s="123">
        <v>1.5127415092315326</v>
      </c>
    </row>
    <row r="135" spans="1:20" x14ac:dyDescent="0.25">
      <c r="A135" s="98" t="s">
        <v>1781</v>
      </c>
      <c r="B135" s="98" t="s">
        <v>85</v>
      </c>
      <c r="C135" s="46" t="s">
        <v>906</v>
      </c>
      <c r="D135" s="98" t="s">
        <v>456</v>
      </c>
      <c r="E135" s="98" t="s">
        <v>211</v>
      </c>
      <c r="F135" s="46" t="s">
        <v>2011</v>
      </c>
      <c r="G135" s="46" t="s">
        <v>2049</v>
      </c>
      <c r="H135" s="46" t="s">
        <v>2062</v>
      </c>
      <c r="I135" s="129">
        <v>46139</v>
      </c>
      <c r="J135" s="46"/>
      <c r="K135" s="46" t="s">
        <v>950</v>
      </c>
      <c r="L135" s="123">
        <f>VLOOKUP($C135&amp;$E135,'Updated SES'!A:N,14,0)</f>
        <v>127.11702000000001</v>
      </c>
      <c r="M135" s="124" t="e">
        <f>VLOOKUP($K135,'Genre Penetration'!A:B,2,0)*VLOOKUP($C135&amp;$E135,'Updated SES'!A:I,9,0)</f>
        <v>#N/A</v>
      </c>
      <c r="N135" s="124" t="e">
        <f>VLOOKUP(K:K,'Genre Penetration'!A:C,3,0)*VLOOKUP($C135&amp;$E135,'Updated SES'!A:J,10,0)</f>
        <v>#N/A</v>
      </c>
      <c r="O135" s="124">
        <f>VLOOKUP($B135,'Language Penetration'!$B$1:$BE$14,MATCH('Compile data Working'!$H199,'Language Penetration'!$B$1:$BE$1,0),0)</f>
        <v>0.6</v>
      </c>
      <c r="P135" s="124" t="str">
        <f ca="1">IF(ISBLANK(J135),RANDBETWEEN(1,2)&amp;"%",IF(J135=1,RANDBETWEEN(35,40)&amp;"%",IF(J135=2,RANDBETWEEN(30,35)&amp;"%",IF(J135=3,RANDBETWEEN(25,30)&amp;"%",IF(J135=4,RANDBETWEEN(20,25)&amp;"%",IF(J135=5,RANDBETWEEN(15,20)&amp;"%",IF(J135=6,RANDBETWEEN(10,15)&amp;"%",IF(J135=7,RANDBETWEEN(8,10)&amp;"%",IF(J135=8,RANDBETWEEN(6,8)&amp;"%",IF(J135=9,RANDBETWEEN(4,6)&amp;"%",IF(J135=10,RANDBETWEEN(2,4)&amp;"%","")))))))))))</f>
        <v>1%</v>
      </c>
      <c r="Q135" s="123" t="e">
        <f ca="1">IFERROR(L135*(M135+N135)*O135*P135,RANDBETWEEN(1,2)%*L135*(M135+N135)*O135)</f>
        <v>#N/A</v>
      </c>
      <c r="R135" s="125">
        <f>VLOOKUP(D:D,ranking!W:X,2,0)</f>
        <v>0.3</v>
      </c>
      <c r="S135" s="126" t="e">
        <f ca="1">R135*Q135</f>
        <v>#N/A</v>
      </c>
      <c r="T135" s="123">
        <v>1.48621344907456</v>
      </c>
    </row>
    <row r="136" spans="1:20" x14ac:dyDescent="0.25">
      <c r="A136" s="98" t="s">
        <v>1781</v>
      </c>
      <c r="B136" s="98" t="s">
        <v>85</v>
      </c>
      <c r="C136" s="46" t="s">
        <v>906</v>
      </c>
      <c r="D136" s="98" t="s">
        <v>456</v>
      </c>
      <c r="E136" s="98" t="s">
        <v>211</v>
      </c>
      <c r="F136" s="46" t="s">
        <v>2011</v>
      </c>
      <c r="G136" s="46" t="s">
        <v>2044</v>
      </c>
      <c r="H136" s="46" t="s">
        <v>2062</v>
      </c>
      <c r="I136" s="129">
        <v>44949</v>
      </c>
      <c r="J136" s="46"/>
      <c r="K136" s="46" t="s">
        <v>950</v>
      </c>
      <c r="L136" s="123">
        <f>VLOOKUP($C136&amp;$E136,'Updated SES'!A:N,14,0)</f>
        <v>127.11702000000001</v>
      </c>
      <c r="M136" s="124" t="e">
        <f>VLOOKUP($K136,'Genre Penetration'!A:B,2,0)*VLOOKUP($C136&amp;$E136,'Updated SES'!A:I,9,0)</f>
        <v>#N/A</v>
      </c>
      <c r="N136" s="124" t="e">
        <f>VLOOKUP(K:K,'Genre Penetration'!A:C,3,0)*VLOOKUP($C136&amp;$E136,'Updated SES'!A:J,10,0)</f>
        <v>#N/A</v>
      </c>
      <c r="O136" s="124">
        <f>VLOOKUP($B136,'Language Penetration'!$B$1:$BE$14,MATCH('Compile data Working'!$H177,'Language Penetration'!$B$1:$BE$1,0),0)</f>
        <v>0.6</v>
      </c>
      <c r="P136" s="124" t="str">
        <f ca="1">IF(ISBLANK(J136),RANDBETWEEN(1,2)&amp;"%",IF(J136=1,RANDBETWEEN(35,40)&amp;"%",IF(J136=2,RANDBETWEEN(30,35)&amp;"%",IF(J136=3,RANDBETWEEN(25,30)&amp;"%",IF(J136=4,RANDBETWEEN(20,25)&amp;"%",IF(J136=5,RANDBETWEEN(15,20)&amp;"%",IF(J136=6,RANDBETWEEN(10,15)&amp;"%",IF(J136=7,RANDBETWEEN(8,10)&amp;"%",IF(J136=8,RANDBETWEEN(6,8)&amp;"%",IF(J136=9,RANDBETWEEN(4,6)&amp;"%",IF(J136=10,RANDBETWEEN(2,4)&amp;"%","")))))))))))</f>
        <v>2%</v>
      </c>
      <c r="Q136" s="123" t="e">
        <f ca="1">IFERROR(L136*(M136+N136)*O136*P136,RANDBETWEEN(1,2)%*L136*(M136+N136)*O136)</f>
        <v>#N/A</v>
      </c>
      <c r="R136" s="125">
        <f>VLOOKUP(D:D,ranking!W:X,2,0)</f>
        <v>0.3</v>
      </c>
      <c r="S136" s="126" t="e">
        <f ca="1">R136*Q136</f>
        <v>#N/A</v>
      </c>
      <c r="T136" s="123">
        <v>1.4409310780882059</v>
      </c>
    </row>
    <row r="137" spans="1:20" x14ac:dyDescent="0.25">
      <c r="A137" s="98" t="s">
        <v>1781</v>
      </c>
      <c r="B137" s="98" t="s">
        <v>85</v>
      </c>
      <c r="C137" s="46" t="s">
        <v>906</v>
      </c>
      <c r="D137" s="98" t="s">
        <v>456</v>
      </c>
      <c r="E137" s="98" t="s">
        <v>211</v>
      </c>
      <c r="F137" s="46" t="s">
        <v>2011</v>
      </c>
      <c r="G137" s="46" t="s">
        <v>2020</v>
      </c>
      <c r="H137" s="46" t="s">
        <v>23</v>
      </c>
      <c r="I137" s="129">
        <v>45499</v>
      </c>
      <c r="J137" s="98"/>
      <c r="K137" s="46" t="s">
        <v>2071</v>
      </c>
      <c r="L137" s="123">
        <f>VLOOKUP($C137&amp;$E137,'Updated SES'!A:N,14,0)</f>
        <v>127.11702000000001</v>
      </c>
      <c r="M137" s="124" t="e">
        <f>VLOOKUP($K137,'Genre Penetration'!A:B,2,0)*VLOOKUP($C137&amp;$E137,'Updated SES'!A:I,9,0)</f>
        <v>#N/A</v>
      </c>
      <c r="N137" s="124" t="e">
        <f>VLOOKUP(K:K,'Genre Penetration'!A:C,3,0)*VLOOKUP($C137&amp;$E137,'Updated SES'!A:J,10,0)</f>
        <v>#N/A</v>
      </c>
      <c r="O137" s="124" t="e">
        <f>VLOOKUP($B137,'Language Penetration'!$B$1:$BE$14,MATCH('Compile data Working'!#REF!,'Language Penetration'!$B$1:$BE$1,0),0)</f>
        <v>#REF!</v>
      </c>
      <c r="P137" s="124" t="str">
        <f ca="1">IF(ISBLANK(J137),RANDBETWEEN(1,2)&amp;"%",IF(J137=1,RANDBETWEEN(35,40)&amp;"%",IF(J137=2,RANDBETWEEN(30,35)&amp;"%",IF(J137=3,RANDBETWEEN(25,30)&amp;"%",IF(J137=4,RANDBETWEEN(20,25)&amp;"%",IF(J137=5,RANDBETWEEN(15,20)&amp;"%",IF(J137=6,RANDBETWEEN(10,15)&amp;"%",IF(J137=7,RANDBETWEEN(8,10)&amp;"%",IF(J137=8,RANDBETWEEN(6,8)&amp;"%",IF(J137=9,RANDBETWEEN(4,6)&amp;"%",IF(J137=10,RANDBETWEEN(2,4)&amp;"%","")))))))))))</f>
        <v>1%</v>
      </c>
      <c r="Q137" s="123" t="e">
        <f ca="1">IFERROR(L137*(M137+N137)*O137*P137,RANDBETWEEN(1,2)%*L137*(M137+N137)*O137)</f>
        <v>#N/A</v>
      </c>
      <c r="R137" s="125">
        <f>VLOOKUP(D:D,ranking!W:X,2,0)</f>
        <v>0.3</v>
      </c>
      <c r="S137" s="126" t="e">
        <f ca="1">R137*Q137</f>
        <v>#N/A</v>
      </c>
      <c r="T137" s="123">
        <v>1.43349079754752</v>
      </c>
    </row>
    <row r="138" spans="1:20" x14ac:dyDescent="0.25">
      <c r="A138" s="98" t="s">
        <v>1781</v>
      </c>
      <c r="B138" s="98" t="s">
        <v>85</v>
      </c>
      <c r="C138" s="46" t="s">
        <v>64</v>
      </c>
      <c r="D138" s="46" t="s">
        <v>1013</v>
      </c>
      <c r="E138" s="119" t="s">
        <v>211</v>
      </c>
      <c r="F138" s="46" t="s">
        <v>213</v>
      </c>
      <c r="G138" s="46" t="s">
        <v>2029</v>
      </c>
      <c r="H138" s="46" t="s">
        <v>19</v>
      </c>
      <c r="I138" s="129" t="s">
        <v>254</v>
      </c>
      <c r="J138" s="119"/>
      <c r="K138" s="46" t="s">
        <v>970</v>
      </c>
      <c r="L138" s="123">
        <f>VLOOKUP($C138&amp;$E138,'Updated SES'!A:N,14,0)</f>
        <v>36.498239999999996</v>
      </c>
      <c r="M138" s="124">
        <f>VLOOKUP($K138,'Genre Penetration'!A:B,2,0)*VLOOKUP($C138&amp;$E138,'Updated SES'!A:I,9,0)</f>
        <v>0.26</v>
      </c>
      <c r="N138" s="124">
        <f>VLOOKUP(K:K,'Genre Penetration'!A:C,3,0)*VLOOKUP($C138&amp;$E138,'Updated SES'!A:J,10,0)</f>
        <v>0.24</v>
      </c>
      <c r="O138" s="124">
        <f>VLOOKUP($B138,'Language Penetration'!$B$1:$BE$14,MATCH('Compile data Working'!$H106,'Language Penetration'!$B$1:$BE$1,0),0)</f>
        <v>7.0000000000000007E-2</v>
      </c>
      <c r="P138" s="124" t="str">
        <f ca="1">IF(ISBLANK(J138),RANDBETWEEN(1,2)&amp;"%",IF(J138=1,RANDBETWEEN(35,40)&amp;"%",IF(J138=2,RANDBETWEEN(30,35)&amp;"%",IF(J138=3,RANDBETWEEN(25,30)&amp;"%",IF(J138=4,RANDBETWEEN(20,25)&amp;"%",IF(J138=5,RANDBETWEEN(15,20)&amp;"%",IF(J138=6,RANDBETWEEN(10,15)&amp;"%",IF(J138=7,RANDBETWEEN(8,10)&amp;"%",IF(J138=8,RANDBETWEEN(6,8)&amp;"%",IF(J138=9,RANDBETWEEN(4,6)&amp;"%",IF(J138=10,RANDBETWEEN(2,4)&amp;"%","")))))))))))</f>
        <v>2%</v>
      </c>
      <c r="Q138" s="123">
        <f ca="1">IFERROR(L138*(M138+N138)*O138*P138,RANDBETWEEN(1,2)%*L138*(M138+N138)*O138)</f>
        <v>2.5548767999999999E-2</v>
      </c>
      <c r="R138" s="125">
        <f>VLOOKUP(D:D,ranking!W:X,2,0)</f>
        <v>0.8</v>
      </c>
      <c r="S138" s="126">
        <f ca="1">R138*Q138</f>
        <v>2.04390144E-2</v>
      </c>
      <c r="T138" s="123">
        <v>1.385930088931024</v>
      </c>
    </row>
    <row r="139" spans="1:20" x14ac:dyDescent="0.25">
      <c r="A139" s="98" t="s">
        <v>1781</v>
      </c>
      <c r="B139" s="98" t="s">
        <v>85</v>
      </c>
      <c r="C139" s="46" t="s">
        <v>906</v>
      </c>
      <c r="D139" s="46" t="s">
        <v>1013</v>
      </c>
      <c r="E139" s="119" t="s">
        <v>211</v>
      </c>
      <c r="F139" s="46" t="s">
        <v>213</v>
      </c>
      <c r="G139" s="46" t="s">
        <v>2045</v>
      </c>
      <c r="H139" s="46" t="s">
        <v>19</v>
      </c>
      <c r="I139" s="129">
        <v>45170</v>
      </c>
      <c r="J139" s="46"/>
      <c r="K139" s="46" t="s">
        <v>2079</v>
      </c>
      <c r="L139" s="123">
        <f>VLOOKUP($C139&amp;$E139,'Updated SES'!A:N,14,0)</f>
        <v>127.11702000000001</v>
      </c>
      <c r="M139" s="124" t="e">
        <f>VLOOKUP($K139,'Genre Penetration'!A:B,2,0)*VLOOKUP($C139&amp;$E139,'Updated SES'!A:I,9,0)</f>
        <v>#N/A</v>
      </c>
      <c r="N139" s="124" t="e">
        <f>VLOOKUP(K:K,'Genre Penetration'!A:C,3,0)*VLOOKUP($C139&amp;$E139,'Updated SES'!A:J,10,0)</f>
        <v>#N/A</v>
      </c>
      <c r="O139" s="124" t="e">
        <f>VLOOKUP($B139,'Language Penetration'!$B$1:$BE$14,MATCH('Compile data Working'!$H181,'Language Penetration'!$B$1:$BE$1,0),0)</f>
        <v>#N/A</v>
      </c>
      <c r="P139" s="124" t="str">
        <f ca="1">IF(ISBLANK(J139),RANDBETWEEN(1,2)&amp;"%",IF(J139=1,RANDBETWEEN(35,40)&amp;"%",IF(J139=2,RANDBETWEEN(30,35)&amp;"%",IF(J139=3,RANDBETWEEN(25,30)&amp;"%",IF(J139=4,RANDBETWEEN(20,25)&amp;"%",IF(J139=5,RANDBETWEEN(15,20)&amp;"%",IF(J139=6,RANDBETWEEN(10,15)&amp;"%",IF(J139=7,RANDBETWEEN(8,10)&amp;"%",IF(J139=8,RANDBETWEEN(6,8)&amp;"%",IF(J139=9,RANDBETWEEN(4,6)&amp;"%",IF(J139=10,RANDBETWEEN(2,4)&amp;"%","")))))))))))</f>
        <v>2%</v>
      </c>
      <c r="Q139" s="123" t="e">
        <f ca="1">IFERROR(L139*(M139+N139)*O139*P139,RANDBETWEEN(1,2)%*L139*(M139+N139)*O139)</f>
        <v>#N/A</v>
      </c>
      <c r="R139" s="125">
        <f>VLOOKUP(D:D,ranking!W:X,2,0)</f>
        <v>0.8</v>
      </c>
      <c r="S139" s="126" t="e">
        <f ca="1">R139*Q139</f>
        <v>#N/A</v>
      </c>
      <c r="T139" s="123">
        <v>1.3731968305191353</v>
      </c>
    </row>
    <row r="140" spans="1:20" x14ac:dyDescent="0.25">
      <c r="A140" s="98" t="s">
        <v>1781</v>
      </c>
      <c r="B140" s="98" t="s">
        <v>85</v>
      </c>
      <c r="C140" s="46" t="s">
        <v>906</v>
      </c>
      <c r="D140" s="46" t="s">
        <v>1013</v>
      </c>
      <c r="E140" s="119" t="s">
        <v>211</v>
      </c>
      <c r="F140" s="46" t="s">
        <v>213</v>
      </c>
      <c r="G140" s="46" t="s">
        <v>2056</v>
      </c>
      <c r="H140" s="46" t="s">
        <v>19</v>
      </c>
      <c r="I140" s="129">
        <v>43858</v>
      </c>
      <c r="J140" s="46"/>
      <c r="K140" s="46" t="s">
        <v>2088</v>
      </c>
      <c r="L140" s="123">
        <f>VLOOKUP($C140&amp;$E140,'Updated SES'!A:N,14,0)</f>
        <v>127.11702000000001</v>
      </c>
      <c r="M140" s="124" t="e">
        <f>VLOOKUP($K140,'Genre Penetration'!A:B,2,0)*VLOOKUP($C140&amp;$E140,'Updated SES'!A:I,9,0)</f>
        <v>#N/A</v>
      </c>
      <c r="N140" s="124" t="e">
        <f>VLOOKUP(K:K,'Genre Penetration'!A:C,3,0)*VLOOKUP($C140&amp;$E140,'Updated SES'!A:J,10,0)</f>
        <v>#N/A</v>
      </c>
      <c r="O140" s="124" t="e">
        <f>VLOOKUP($B140,'Language Penetration'!$B$1:$BE$14,MATCH('Compile data Working'!#REF!,'Language Penetration'!$B$1:$BE$1,0),0)</f>
        <v>#REF!</v>
      </c>
      <c r="P140" s="124" t="str">
        <f ca="1">IF(ISBLANK(J140),RANDBETWEEN(1,2)&amp;"%",IF(J140=1,RANDBETWEEN(35,40)&amp;"%",IF(J140=2,RANDBETWEEN(30,35)&amp;"%",IF(J140=3,RANDBETWEEN(25,30)&amp;"%",IF(J140=4,RANDBETWEEN(20,25)&amp;"%",IF(J140=5,RANDBETWEEN(15,20)&amp;"%",IF(J140=6,RANDBETWEEN(10,15)&amp;"%",IF(J140=7,RANDBETWEEN(8,10)&amp;"%",IF(J140=8,RANDBETWEEN(6,8)&amp;"%",IF(J140=9,RANDBETWEEN(4,6)&amp;"%",IF(J140=10,RANDBETWEEN(2,4)&amp;"%","")))))))))))</f>
        <v>1%</v>
      </c>
      <c r="Q140" s="123" t="e">
        <f ca="1">IFERROR(L140*(M140+N140)*O140*P140,RANDBETWEEN(1,2)%*L140*(M140+N140)*O140)</f>
        <v>#N/A</v>
      </c>
      <c r="R140" s="125">
        <f>VLOOKUP(D:D,ranking!W:X,2,0)</f>
        <v>0.8</v>
      </c>
      <c r="S140" s="126" t="e">
        <f ca="1">R140*Q140</f>
        <v>#N/A</v>
      </c>
      <c r="T140" s="123">
        <v>1.3659063420699999</v>
      </c>
    </row>
    <row r="141" spans="1:20" x14ac:dyDescent="0.25">
      <c r="A141" s="98" t="s">
        <v>1781</v>
      </c>
      <c r="B141" s="98" t="s">
        <v>85</v>
      </c>
      <c r="C141" s="46" t="s">
        <v>879</v>
      </c>
      <c r="D141" s="46" t="s">
        <v>1866</v>
      </c>
      <c r="E141" s="98" t="s">
        <v>219</v>
      </c>
      <c r="F141" s="46" t="s">
        <v>215</v>
      </c>
      <c r="G141" s="46" t="s">
        <v>2058</v>
      </c>
      <c r="H141" s="46" t="s">
        <v>19</v>
      </c>
      <c r="I141" s="129">
        <v>44174</v>
      </c>
      <c r="J141" s="46"/>
      <c r="K141" s="46" t="s">
        <v>1084</v>
      </c>
      <c r="L141" s="123">
        <f>VLOOKUP($C141&amp;$E141,'Updated SES'!A:N,14,0)</f>
        <v>78.939870000000013</v>
      </c>
      <c r="M141" s="124">
        <f>VLOOKUP($K141,'Genre Penetration'!A:B,2,0)*VLOOKUP($C141&amp;$E141,'Updated SES'!A:I,9,0)</f>
        <v>0.4</v>
      </c>
      <c r="N141" s="124">
        <f>VLOOKUP(K:K,'Genre Penetration'!A:C,3,0)*VLOOKUP($C141&amp;$E141,'Updated SES'!A:J,10,0)</f>
        <v>0.1</v>
      </c>
      <c r="O141" s="124" t="e">
        <f>VLOOKUP($B141,'Language Penetration'!$B$1:$BE$14,MATCH('Compile data Working'!#REF!,'Language Penetration'!$B$1:$BE$1,0),0)</f>
        <v>#REF!</v>
      </c>
      <c r="P141" s="124" t="str">
        <f ca="1">IF(ISBLANK(J141),RANDBETWEEN(1,2)&amp;"%",IF(J141=1,RANDBETWEEN(35,40)&amp;"%",IF(J141=2,RANDBETWEEN(30,35)&amp;"%",IF(J141=3,RANDBETWEEN(25,30)&amp;"%",IF(J141=4,RANDBETWEEN(20,25)&amp;"%",IF(J141=5,RANDBETWEEN(15,20)&amp;"%",IF(J141=6,RANDBETWEEN(10,15)&amp;"%",IF(J141=7,RANDBETWEEN(8,10)&amp;"%",IF(J141=8,RANDBETWEEN(6,8)&amp;"%",IF(J141=9,RANDBETWEEN(4,6)&amp;"%",IF(J141=10,RANDBETWEEN(2,4)&amp;"%","")))))))))))</f>
        <v>1%</v>
      </c>
      <c r="Q141" s="123" t="e">
        <f ca="1">IFERROR(L141*(M141+N141)*O141*P141,RANDBETWEEN(1,2)%*L141*(M141+N141)*O141)</f>
        <v>#REF!</v>
      </c>
      <c r="R141" s="125">
        <f>VLOOKUP(D:D,ranking!W:X,2,0)</f>
        <v>0.6</v>
      </c>
      <c r="S141" s="126" t="e">
        <f ca="1">R141*Q141</f>
        <v>#REF!</v>
      </c>
      <c r="T141" s="123">
        <v>1.343455391520211</v>
      </c>
    </row>
    <row r="142" spans="1:20" x14ac:dyDescent="0.25">
      <c r="A142" s="98" t="s">
        <v>1057</v>
      </c>
      <c r="B142" s="98" t="s">
        <v>85</v>
      </c>
      <c r="C142" s="98" t="s">
        <v>64</v>
      </c>
      <c r="D142" s="46" t="s">
        <v>1012</v>
      </c>
      <c r="E142" s="98" t="s">
        <v>211</v>
      </c>
      <c r="F142" s="46" t="s">
        <v>215</v>
      </c>
      <c r="G142" s="98" t="s">
        <v>1860</v>
      </c>
      <c r="H142" s="120" t="s">
        <v>1922</v>
      </c>
      <c r="I142" s="137">
        <v>46129</v>
      </c>
      <c r="J142" s="119">
        <v>9</v>
      </c>
      <c r="K142" s="98" t="s">
        <v>216</v>
      </c>
      <c r="L142" s="123">
        <f>VLOOKUP($C142&amp;$E142,'Updated SES'!A:N,14,0)</f>
        <v>36.498239999999996</v>
      </c>
      <c r="M142" s="124">
        <f>VLOOKUP($K142,'Genre Penetration'!A:B,2,0)*VLOOKUP($C142&amp;$E142,'Updated SES'!A:I,9,0)</f>
        <v>0.26</v>
      </c>
      <c r="N142" s="124">
        <f>VLOOKUP(K:K,'Genre Penetration'!A:C,3,0)*VLOOKUP($C142&amp;$E142,'Updated SES'!A:J,10,0)</f>
        <v>0.24</v>
      </c>
      <c r="O142" s="124">
        <f>VLOOKUP($B142,'Language Penetration'!$B$1:$BE$14,MATCH('Compile data Working'!$H132,'Language Penetration'!$B$1:$BE$1,0),0)</f>
        <v>0.6</v>
      </c>
      <c r="P142" s="124" t="str">
        <f ca="1">IF(ISBLANK(J142),RANDBETWEEN(1,2)&amp;"%",IF(J142=1,RANDBETWEEN(35,40)&amp;"%",IF(J142=2,RANDBETWEEN(30,35)&amp;"%",IF(J142=3,RANDBETWEEN(25,30)&amp;"%",IF(J142=4,RANDBETWEEN(20,25)&amp;"%",IF(J142=5,RANDBETWEEN(15,20)&amp;"%",IF(J142=6,RANDBETWEEN(10,15)&amp;"%",IF(J142=7,RANDBETWEEN(8,10)&amp;"%",IF(J142=8,RANDBETWEEN(6,8)&amp;"%",IF(J142=9,RANDBETWEEN(4,6)&amp;"%",IF(J142=10,RANDBETWEEN(2,4)&amp;"%","")))))))))))</f>
        <v>6%</v>
      </c>
      <c r="Q142" s="123">
        <f ca="1">IFERROR(L142*(M142+N142)*O142*P142,RANDBETWEEN(1,2)%*L142*(M142+N142)*O142)</f>
        <v>0.65696831999999983</v>
      </c>
      <c r="R142" s="125">
        <f>VLOOKUP(D:D,ranking!W:X,2,0)</f>
        <v>0.6</v>
      </c>
      <c r="S142" s="126">
        <f ca="1">R142*Q142</f>
        <v>0.3941809919999999</v>
      </c>
      <c r="T142" s="123">
        <v>1.3318943066623183</v>
      </c>
    </row>
    <row r="143" spans="1:20" x14ac:dyDescent="0.25">
      <c r="A143" s="98" t="s">
        <v>1781</v>
      </c>
      <c r="B143" s="98" t="s">
        <v>85</v>
      </c>
      <c r="C143" s="46" t="s">
        <v>150</v>
      </c>
      <c r="D143" s="46" t="s">
        <v>1013</v>
      </c>
      <c r="E143" s="119" t="s">
        <v>211</v>
      </c>
      <c r="F143" s="46" t="s">
        <v>213</v>
      </c>
      <c r="G143" s="46" t="s">
        <v>2034</v>
      </c>
      <c r="H143" s="46" t="s">
        <v>19</v>
      </c>
      <c r="I143" s="129">
        <v>45695</v>
      </c>
      <c r="J143" s="46"/>
      <c r="K143" s="46" t="s">
        <v>216</v>
      </c>
      <c r="L143" s="123">
        <f>VLOOKUP($C143&amp;$E143,'Updated SES'!A:N,14,0)</f>
        <v>60.152000000000001</v>
      </c>
      <c r="M143" s="124">
        <f>VLOOKUP($K143,'Genre Penetration'!A:B,2,0)*VLOOKUP($C143&amp;$E143,'Updated SES'!A:I,9,0)</f>
        <v>0.32500000000000001</v>
      </c>
      <c r="N143" s="124">
        <f>VLOOKUP(K:K,'Genre Penetration'!A:C,3,0)*VLOOKUP($C143&amp;$E143,'Updated SES'!A:J,10,0)</f>
        <v>0.17499999999999999</v>
      </c>
      <c r="O143" s="124">
        <f>VLOOKUP($B143,'Language Penetration'!$B$1:$BE$14,MATCH('Compile data Working'!$H130,'Language Penetration'!$B$1:$BE$1,0),0)</f>
        <v>0.6</v>
      </c>
      <c r="P143" s="124" t="str">
        <f ca="1">IF(ISBLANK(J143),RANDBETWEEN(1,2)&amp;"%",IF(J143=1,RANDBETWEEN(35,40)&amp;"%",IF(J143=2,RANDBETWEEN(30,35)&amp;"%",IF(J143=3,RANDBETWEEN(25,30)&amp;"%",IF(J143=4,RANDBETWEEN(20,25)&amp;"%",IF(J143=5,RANDBETWEEN(15,20)&amp;"%",IF(J143=6,RANDBETWEEN(10,15)&amp;"%",IF(J143=7,RANDBETWEEN(8,10)&amp;"%",IF(J143=8,RANDBETWEEN(6,8)&amp;"%",IF(J143=9,RANDBETWEEN(4,6)&amp;"%",IF(J143=10,RANDBETWEEN(2,4)&amp;"%","")))))))))))</f>
        <v>1%</v>
      </c>
      <c r="Q143" s="123">
        <f ca="1">IFERROR(L143*(M143+N143)*O143*P143,RANDBETWEEN(1,2)%*L143*(M143+N143)*O143)</f>
        <v>0.18045600000000001</v>
      </c>
      <c r="R143" s="125">
        <f>VLOOKUP(D:D,ranking!W:X,2,0)</f>
        <v>0.8</v>
      </c>
      <c r="S143" s="126">
        <f ca="1">R143*Q143</f>
        <v>0.14436480000000002</v>
      </c>
      <c r="T143" s="123">
        <v>1.3089910492424</v>
      </c>
    </row>
    <row r="144" spans="1:20" x14ac:dyDescent="0.25">
      <c r="A144" s="98" t="s">
        <v>1781</v>
      </c>
      <c r="B144" s="98" t="s">
        <v>85</v>
      </c>
      <c r="C144" s="46" t="s">
        <v>906</v>
      </c>
      <c r="D144" s="46" t="s">
        <v>1012</v>
      </c>
      <c r="E144" s="119" t="s">
        <v>211</v>
      </c>
      <c r="F144" s="46" t="s">
        <v>215</v>
      </c>
      <c r="G144" s="46" t="s">
        <v>2052</v>
      </c>
      <c r="H144" s="46" t="s">
        <v>19</v>
      </c>
      <c r="I144" s="129">
        <v>44274</v>
      </c>
      <c r="J144" s="46"/>
      <c r="K144" s="46" t="s">
        <v>2086</v>
      </c>
      <c r="L144" s="123">
        <f>VLOOKUP($C144&amp;$E144,'Updated SES'!A:N,14,0)</f>
        <v>127.11702000000001</v>
      </c>
      <c r="M144" s="124" t="e">
        <f>VLOOKUP($K144,'Genre Penetration'!A:B,2,0)*VLOOKUP($C144&amp;$E144,'Updated SES'!A:I,9,0)</f>
        <v>#N/A</v>
      </c>
      <c r="N144" s="124" t="e">
        <f>VLOOKUP(K:K,'Genre Penetration'!A:C,3,0)*VLOOKUP($C144&amp;$E144,'Updated SES'!A:J,10,0)</f>
        <v>#N/A</v>
      </c>
      <c r="O144" s="124">
        <f>VLOOKUP($B144,'Language Penetration'!$B$1:$BE$14,MATCH('Compile data Working'!$H202,'Language Penetration'!$B$1:$BE$1,0),0)</f>
        <v>0.6</v>
      </c>
      <c r="P144" s="124" t="str">
        <f ca="1">IF(ISBLANK(J144),RANDBETWEEN(1,2)&amp;"%",IF(J144=1,RANDBETWEEN(35,40)&amp;"%",IF(J144=2,RANDBETWEEN(30,35)&amp;"%",IF(J144=3,RANDBETWEEN(25,30)&amp;"%",IF(J144=4,RANDBETWEEN(20,25)&amp;"%",IF(J144=5,RANDBETWEEN(15,20)&amp;"%",IF(J144=6,RANDBETWEEN(10,15)&amp;"%",IF(J144=7,RANDBETWEEN(8,10)&amp;"%",IF(J144=8,RANDBETWEEN(6,8)&amp;"%",IF(J144=9,RANDBETWEEN(4,6)&amp;"%",IF(J144=10,RANDBETWEEN(2,4)&amp;"%","")))))))))))</f>
        <v>2%</v>
      </c>
      <c r="Q144" s="123" t="e">
        <f ca="1">IFERROR(L144*(M144+N144)*O144*P144,RANDBETWEEN(1,2)%*L144*(M144+N144)*O144)</f>
        <v>#N/A</v>
      </c>
      <c r="R144" s="125">
        <f>VLOOKUP(D:D,ranking!W:X,2,0)</f>
        <v>0.6</v>
      </c>
      <c r="S144" s="126" t="e">
        <f ca="1">R144*Q144</f>
        <v>#N/A</v>
      </c>
      <c r="T144" s="123">
        <v>1.3035470676861423</v>
      </c>
    </row>
    <row r="145" spans="1:20" x14ac:dyDescent="0.25">
      <c r="A145" s="98" t="s">
        <v>1781</v>
      </c>
      <c r="B145" s="98" t="s">
        <v>85</v>
      </c>
      <c r="C145" s="46" t="s">
        <v>49</v>
      </c>
      <c r="D145" s="46" t="s">
        <v>1012</v>
      </c>
      <c r="E145" s="119" t="s">
        <v>211</v>
      </c>
      <c r="F145" s="46" t="s">
        <v>215</v>
      </c>
      <c r="G145" s="98" t="s">
        <v>2041</v>
      </c>
      <c r="H145" s="46" t="s">
        <v>23</v>
      </c>
      <c r="I145" s="129">
        <v>46080</v>
      </c>
      <c r="J145" s="46"/>
      <c r="K145" s="46" t="s">
        <v>2081</v>
      </c>
      <c r="L145" s="123">
        <f>VLOOKUP($C145&amp;$E145,'Updated SES'!A:N,14,0)</f>
        <v>12.626640000000002</v>
      </c>
      <c r="M145" s="124" t="e">
        <f>VLOOKUP($K145,'Genre Penetration'!A:B,2,0)*VLOOKUP($C145&amp;$E145,'Updated SES'!A:I,9,0)</f>
        <v>#N/A</v>
      </c>
      <c r="N145" s="124" t="e">
        <f>VLOOKUP(K:K,'Genre Penetration'!A:C,3,0)*VLOOKUP($C145&amp;$E145,'Updated SES'!A:J,10,0)</f>
        <v>#N/A</v>
      </c>
      <c r="O145" s="124">
        <f>VLOOKUP($B145,'Language Penetration'!$B$1:$BE$14,MATCH('Compile data Working'!$H159,'Language Penetration'!$B$1:$BE$1,0),0)</f>
        <v>0.6</v>
      </c>
      <c r="P145" s="124" t="str">
        <f ca="1">IF(ISBLANK(J145),RANDBETWEEN(1,2)&amp;"%",IF(J145=1,RANDBETWEEN(35,40)&amp;"%",IF(J145=2,RANDBETWEEN(30,35)&amp;"%",IF(J145=3,RANDBETWEEN(25,30)&amp;"%",IF(J145=4,RANDBETWEEN(20,25)&amp;"%",IF(J145=5,RANDBETWEEN(15,20)&amp;"%",IF(J145=6,RANDBETWEEN(10,15)&amp;"%",IF(J145=7,RANDBETWEEN(8,10)&amp;"%",IF(J145=8,RANDBETWEEN(6,8)&amp;"%",IF(J145=9,RANDBETWEEN(4,6)&amp;"%",IF(J145=10,RANDBETWEEN(2,4)&amp;"%","")))))))))))</f>
        <v>2%</v>
      </c>
      <c r="Q145" s="123" t="e">
        <f ca="1">IFERROR(L145*(M145+N145)*O145*P145,RANDBETWEEN(1,2)%*L145*(M145+N145)*O145)</f>
        <v>#N/A</v>
      </c>
      <c r="R145" s="125">
        <f>VLOOKUP(D:D,ranking!W:X,2,0)</f>
        <v>0.6</v>
      </c>
      <c r="S145" s="126" t="e">
        <f ca="1">R145*Q145</f>
        <v>#N/A</v>
      </c>
      <c r="T145" s="123">
        <v>1.2958101106055058</v>
      </c>
    </row>
    <row r="146" spans="1:20" x14ac:dyDescent="0.25">
      <c r="A146" s="98" t="s">
        <v>1781</v>
      </c>
      <c r="B146" s="98" t="s">
        <v>85</v>
      </c>
      <c r="C146" s="46" t="s">
        <v>906</v>
      </c>
      <c r="D146" s="46" t="s">
        <v>1012</v>
      </c>
      <c r="E146" s="119" t="s">
        <v>211</v>
      </c>
      <c r="F146" s="46" t="s">
        <v>215</v>
      </c>
      <c r="G146" s="46" t="s">
        <v>2015</v>
      </c>
      <c r="H146" s="46" t="s">
        <v>2063</v>
      </c>
      <c r="I146" s="129">
        <v>45303</v>
      </c>
      <c r="J146" s="119"/>
      <c r="K146" s="46" t="s">
        <v>2067</v>
      </c>
      <c r="L146" s="123">
        <f>VLOOKUP($C146&amp;$E146,'Updated SES'!A:N,14,0)</f>
        <v>127.11702000000001</v>
      </c>
      <c r="M146" s="124" t="e">
        <f>VLOOKUP($K146,'Genre Penetration'!A:B,2,0)*VLOOKUP($C146&amp;$E146,'Updated SES'!A:I,9,0)</f>
        <v>#N/A</v>
      </c>
      <c r="N146" s="124" t="e">
        <f>VLOOKUP(K:K,'Genre Penetration'!A:C,3,0)*VLOOKUP($C146&amp;$E146,'Updated SES'!A:J,10,0)</f>
        <v>#N/A</v>
      </c>
      <c r="O146" s="124">
        <f>VLOOKUP($B146,'Language Penetration'!$B$1:$BE$14,MATCH('Compile data Working'!$H210,'Language Penetration'!$B$1:$BE$1,0),0)</f>
        <v>0.2</v>
      </c>
      <c r="P146" s="124" t="str">
        <f ca="1">IF(ISBLANK(J146),RANDBETWEEN(1,2)&amp;"%",IF(J146=1,RANDBETWEEN(35,40)&amp;"%",IF(J146=2,RANDBETWEEN(30,35)&amp;"%",IF(J146=3,RANDBETWEEN(25,30)&amp;"%",IF(J146=4,RANDBETWEEN(20,25)&amp;"%",IF(J146=5,RANDBETWEEN(15,20)&amp;"%",IF(J146=6,RANDBETWEEN(10,15)&amp;"%",IF(J146=7,RANDBETWEEN(8,10)&amp;"%",IF(J146=8,RANDBETWEEN(6,8)&amp;"%",IF(J146=9,RANDBETWEEN(4,6)&amp;"%",IF(J146=10,RANDBETWEEN(2,4)&amp;"%","")))))))))))</f>
        <v>2%</v>
      </c>
      <c r="Q146" s="123" t="e">
        <f ca="1">IFERROR(L146*(M146+N146)*O146*P146,RANDBETWEEN(1,2)%*L146*(M146+N146)*O146)</f>
        <v>#N/A</v>
      </c>
      <c r="R146" s="125">
        <f>VLOOKUP(D:D,ranking!W:X,2,0)</f>
        <v>0.6</v>
      </c>
      <c r="S146" s="126" t="e">
        <f ca="1">R146*Q146</f>
        <v>#N/A</v>
      </c>
      <c r="T146" s="123">
        <v>1.2861142140345201</v>
      </c>
    </row>
    <row r="147" spans="1:20" x14ac:dyDescent="0.25">
      <c r="A147" s="98" t="s">
        <v>1057</v>
      </c>
      <c r="B147" s="98" t="s">
        <v>85</v>
      </c>
      <c r="C147" s="46" t="s">
        <v>1229</v>
      </c>
      <c r="D147" s="46" t="s">
        <v>1866</v>
      </c>
      <c r="E147" s="46" t="s">
        <v>219</v>
      </c>
      <c r="F147" s="46" t="s">
        <v>215</v>
      </c>
      <c r="G147" s="46" t="s">
        <v>369</v>
      </c>
      <c r="H147" s="46" t="s">
        <v>19</v>
      </c>
      <c r="I147" s="129">
        <v>46095</v>
      </c>
      <c r="J147" s="46">
        <v>6</v>
      </c>
      <c r="K147" s="46" t="s">
        <v>138</v>
      </c>
      <c r="L147" s="123">
        <f>VLOOKUP($C147&amp;$E147,'Updated SES'!A:N,14,0)</f>
        <v>78.939870000000013</v>
      </c>
      <c r="M147" s="124">
        <f>VLOOKUP($K147,'Genre Penetration'!A:B,2,0)*VLOOKUP($C147&amp;$E147,'Updated SES'!A:I,9,0)</f>
        <v>0.376</v>
      </c>
      <c r="N147" s="124">
        <f>VLOOKUP(K:K,'Genre Penetration'!A:C,3,0)*VLOOKUP($C147&amp;$E147,'Updated SES'!A:J,10,0)</f>
        <v>0.10600000000000001</v>
      </c>
      <c r="O147" s="124">
        <f>VLOOKUP($B147,'Language Penetration'!$B$1:$BE$14,MATCH('Compile data Working'!$H189,'Language Penetration'!$B$1:$BE$1,0),0)</f>
        <v>0.6</v>
      </c>
      <c r="P147" s="124" t="str">
        <f ca="1">IF(ISBLANK(J147),RANDBETWEEN(1,2)&amp;"%",IF(J147=1,RANDBETWEEN(35,40)&amp;"%",IF(J147=2,RANDBETWEEN(30,35)&amp;"%",IF(J147=3,RANDBETWEEN(25,30)&amp;"%",IF(J147=4,RANDBETWEEN(20,25)&amp;"%",IF(J147=5,RANDBETWEEN(15,20)&amp;"%",IF(J147=6,RANDBETWEEN(10,15)&amp;"%",IF(J147=7,RANDBETWEEN(8,10)&amp;"%",IF(J147=8,RANDBETWEEN(6,8)&amp;"%",IF(J147=9,RANDBETWEEN(4,6)&amp;"%",IF(J147=10,RANDBETWEEN(2,4)&amp;"%","")))))))))))</f>
        <v>12%</v>
      </c>
      <c r="Q147" s="123">
        <f ca="1">IFERROR(L147*(M147+N147)*O147*P147,RANDBETWEEN(1,2)%*L147*(M147+N147)*O147)</f>
        <v>2.7395292484800002</v>
      </c>
      <c r="R147" s="125">
        <f>VLOOKUP(D:D,ranking!W:X,2,0)</f>
        <v>0.6</v>
      </c>
      <c r="S147" s="126">
        <f ca="1">R147*Q147</f>
        <v>1.6437175490880001</v>
      </c>
      <c r="T147" s="123">
        <v>1.2076705188116832</v>
      </c>
    </row>
    <row r="148" spans="1:20" x14ac:dyDescent="0.25">
      <c r="A148" s="98" t="s">
        <v>1781</v>
      </c>
      <c r="B148" s="98" t="s">
        <v>85</v>
      </c>
      <c r="C148" s="46" t="s">
        <v>123</v>
      </c>
      <c r="D148" s="46" t="s">
        <v>1012</v>
      </c>
      <c r="E148" s="119" t="s">
        <v>211</v>
      </c>
      <c r="F148" s="46" t="s">
        <v>215</v>
      </c>
      <c r="G148" s="46" t="s">
        <v>2050</v>
      </c>
      <c r="H148" s="46" t="s">
        <v>19</v>
      </c>
      <c r="I148" s="129">
        <v>42678</v>
      </c>
      <c r="J148" s="46"/>
      <c r="K148" s="46" t="s">
        <v>2085</v>
      </c>
      <c r="L148" s="123">
        <f>VLOOKUP($C148&amp;$E148,'Updated SES'!A:N,14,0)</f>
        <v>55.459200000000003</v>
      </c>
      <c r="M148" s="124" t="e">
        <f>VLOOKUP($K148,'Genre Penetration'!A:B,2,0)*VLOOKUP($C148&amp;$E148,'Updated SES'!A:I,9,0)</f>
        <v>#N/A</v>
      </c>
      <c r="N148" s="124" t="e">
        <f>VLOOKUP(K:K,'Genre Penetration'!A:C,3,0)*VLOOKUP($C148&amp;$E148,'Updated SES'!A:J,10,0)</f>
        <v>#N/A</v>
      </c>
      <c r="O148" s="124">
        <f>VLOOKUP($B148,'Language Penetration'!$B$1:$BE$14,MATCH('Compile data Working'!$H197,'Language Penetration'!$B$1:$BE$1,0),0)</f>
        <v>0.2</v>
      </c>
      <c r="P148" s="124" t="str">
        <f ca="1">IF(ISBLANK(J148),RANDBETWEEN(1,2)&amp;"%",IF(J148=1,RANDBETWEEN(35,40)&amp;"%",IF(J148=2,RANDBETWEEN(30,35)&amp;"%",IF(J148=3,RANDBETWEEN(25,30)&amp;"%",IF(J148=4,RANDBETWEEN(20,25)&amp;"%",IF(J148=5,RANDBETWEEN(15,20)&amp;"%",IF(J148=6,RANDBETWEEN(10,15)&amp;"%",IF(J148=7,RANDBETWEEN(8,10)&amp;"%",IF(J148=8,RANDBETWEEN(6,8)&amp;"%",IF(J148=9,RANDBETWEEN(4,6)&amp;"%",IF(J148=10,RANDBETWEEN(2,4)&amp;"%","")))))))))))</f>
        <v>1%</v>
      </c>
      <c r="Q148" s="123" t="e">
        <f ca="1">IFERROR(L148*(M148+N148)*O148*P148,RANDBETWEEN(1,2)%*L148*(M148+N148)*O148)</f>
        <v>#N/A</v>
      </c>
      <c r="R148" s="125">
        <f>VLOOKUP(D:D,ranking!W:X,2,0)</f>
        <v>0.6</v>
      </c>
      <c r="S148" s="126" t="e">
        <f ca="1">R148*Q148</f>
        <v>#N/A</v>
      </c>
      <c r="T148" s="123">
        <v>1.1938126763599799</v>
      </c>
    </row>
    <row r="149" spans="1:20" x14ac:dyDescent="0.25">
      <c r="A149" s="98" t="s">
        <v>1781</v>
      </c>
      <c r="B149" s="98" t="s">
        <v>85</v>
      </c>
      <c r="C149" s="46" t="s">
        <v>64</v>
      </c>
      <c r="D149" s="46" t="s">
        <v>1012</v>
      </c>
      <c r="E149" s="119" t="s">
        <v>211</v>
      </c>
      <c r="F149" s="46" t="s">
        <v>215</v>
      </c>
      <c r="G149" s="46" t="s">
        <v>2031</v>
      </c>
      <c r="H149" s="46" t="s">
        <v>19</v>
      </c>
      <c r="I149" s="129">
        <v>44694</v>
      </c>
      <c r="J149" s="46"/>
      <c r="K149" s="46" t="s">
        <v>2076</v>
      </c>
      <c r="L149" s="123">
        <f>VLOOKUP($C149&amp;$E149,'Updated SES'!A:N,14,0)</f>
        <v>36.498239999999996</v>
      </c>
      <c r="M149" s="124" t="e">
        <f>VLOOKUP($K149,'Genre Penetration'!A:B,2,0)*VLOOKUP($C149&amp;$E149,'Updated SES'!A:I,9,0)</f>
        <v>#N/A</v>
      </c>
      <c r="N149" s="124" t="e">
        <f>VLOOKUP(K:K,'Genre Penetration'!A:C,3,0)*VLOOKUP($C149&amp;$E149,'Updated SES'!A:J,10,0)</f>
        <v>#N/A</v>
      </c>
      <c r="O149" s="124" t="e">
        <f>VLOOKUP($B149,'Language Penetration'!$B$1:$BE$14,MATCH('Compile data Working'!$H123,'Language Penetration'!$B$1:$BE$1,0),0)</f>
        <v>#N/A</v>
      </c>
      <c r="P149" s="124" t="str">
        <f ca="1">IF(ISBLANK(J149),RANDBETWEEN(1,2)&amp;"%",IF(J149=1,RANDBETWEEN(35,40)&amp;"%",IF(J149=2,RANDBETWEEN(30,35)&amp;"%",IF(J149=3,RANDBETWEEN(25,30)&amp;"%",IF(J149=4,RANDBETWEEN(20,25)&amp;"%",IF(J149=5,RANDBETWEEN(15,20)&amp;"%",IF(J149=6,RANDBETWEEN(10,15)&amp;"%",IF(J149=7,RANDBETWEEN(8,10)&amp;"%",IF(J149=8,RANDBETWEEN(6,8)&amp;"%",IF(J149=9,RANDBETWEEN(4,6)&amp;"%",IF(J149=10,RANDBETWEEN(2,4)&amp;"%","")))))))))))</f>
        <v>2%</v>
      </c>
      <c r="Q149" s="123" t="e">
        <f ca="1">IFERROR(L149*(M149+N149)*O149*P149,RANDBETWEEN(1,2)%*L149*(M149+N149)*O149)</f>
        <v>#N/A</v>
      </c>
      <c r="R149" s="125">
        <f>VLOOKUP(D:D,ranking!W:X,2,0)</f>
        <v>0.6</v>
      </c>
      <c r="S149" s="126" t="e">
        <f ca="1">R149*Q149</f>
        <v>#N/A</v>
      </c>
      <c r="T149" s="123">
        <v>1.1715477466496</v>
      </c>
    </row>
    <row r="150" spans="1:20" x14ac:dyDescent="0.25">
      <c r="A150" s="98" t="s">
        <v>1057</v>
      </c>
      <c r="B150" s="98" t="s">
        <v>85</v>
      </c>
      <c r="C150" s="98" t="s">
        <v>132</v>
      </c>
      <c r="D150" s="98" t="s">
        <v>456</v>
      </c>
      <c r="E150" s="98" t="s">
        <v>211</v>
      </c>
      <c r="F150" s="46" t="s">
        <v>2011</v>
      </c>
      <c r="G150" s="98" t="s">
        <v>1851</v>
      </c>
      <c r="H150" s="98" t="s">
        <v>19</v>
      </c>
      <c r="I150" s="136">
        <v>46118</v>
      </c>
      <c r="J150" s="119">
        <v>1</v>
      </c>
      <c r="K150" s="98" t="s">
        <v>216</v>
      </c>
      <c r="L150" s="123">
        <f>VLOOKUP($C150&amp;$E150,'Updated SES'!A:N,14,0)</f>
        <v>21.682040000000004</v>
      </c>
      <c r="M150" s="124">
        <f>VLOOKUP($K150,'Genre Penetration'!A:B,2,0)*VLOOKUP($C150&amp;$E150,'Updated SES'!A:I,9,0)</f>
        <v>0.32500000000000001</v>
      </c>
      <c r="N150" s="124">
        <f>VLOOKUP(K:K,'Genre Penetration'!A:C,3,0)*VLOOKUP($C150&amp;$E150,'Updated SES'!A:J,10,0)</f>
        <v>0.17499999999999999</v>
      </c>
      <c r="O150" s="124">
        <f>VLOOKUP($B150,'Language Penetration'!$B$1:$BE$14,MATCH('Compile data Working'!$H224,'Language Penetration'!$B$1:$BE$1,0),0)</f>
        <v>0.12</v>
      </c>
      <c r="P150" s="124" t="str">
        <f ca="1">IF(ISBLANK(J150),RANDBETWEEN(1,2)&amp;"%",IF(J150=1,RANDBETWEEN(35,40)&amp;"%",IF(J150=2,RANDBETWEEN(30,35)&amp;"%",IF(J150=3,RANDBETWEEN(25,30)&amp;"%",IF(J150=4,RANDBETWEEN(20,25)&amp;"%",IF(J150=5,RANDBETWEEN(15,20)&amp;"%",IF(J150=6,RANDBETWEEN(10,15)&amp;"%",IF(J150=7,RANDBETWEEN(8,10)&amp;"%",IF(J150=8,RANDBETWEEN(6,8)&amp;"%",IF(J150=9,RANDBETWEEN(4,6)&amp;"%",IF(J150=10,RANDBETWEEN(2,4)&amp;"%","")))))))))))</f>
        <v>38%</v>
      </c>
      <c r="Q150" s="123">
        <f ca="1">IFERROR(L150*(M150+N150)*O150*P150,RANDBETWEEN(1,2)%*L150*(M150+N150)*O150)</f>
        <v>0.49435051200000008</v>
      </c>
      <c r="R150" s="125">
        <f>VLOOKUP(D:D,ranking!W:X,2,0)</f>
        <v>0.3</v>
      </c>
      <c r="S150" s="126">
        <f ca="1">R150*Q150</f>
        <v>0.14830515360000002</v>
      </c>
      <c r="T150" s="123">
        <v>1.1599989220110576</v>
      </c>
    </row>
    <row r="151" spans="1:20" x14ac:dyDescent="0.25">
      <c r="A151" s="98" t="s">
        <v>1057</v>
      </c>
      <c r="B151" s="98" t="s">
        <v>85</v>
      </c>
      <c r="C151" s="98" t="s">
        <v>906</v>
      </c>
      <c r="D151" s="46" t="s">
        <v>1012</v>
      </c>
      <c r="E151" s="46" t="s">
        <v>211</v>
      </c>
      <c r="F151" s="46" t="s">
        <v>215</v>
      </c>
      <c r="G151" s="46" t="s">
        <v>444</v>
      </c>
      <c r="H151" s="46" t="s">
        <v>19</v>
      </c>
      <c r="I151" s="129">
        <v>45618</v>
      </c>
      <c r="J151" s="119">
        <v>6</v>
      </c>
      <c r="K151" s="46" t="s">
        <v>279</v>
      </c>
      <c r="L151" s="123">
        <f>VLOOKUP($C151&amp;$E151,'Updated SES'!A:N,14,0)</f>
        <v>127.11702000000001</v>
      </c>
      <c r="M151" s="124">
        <f>VLOOKUP($K151,'Genre Penetration'!A:B,2,0)*VLOOKUP($C151&amp;$E151,'Updated SES'!A:I,9,0)</f>
        <v>0.30149999999999999</v>
      </c>
      <c r="N151" s="124">
        <f>VLOOKUP(K:K,'Genre Penetration'!A:C,3,0)*VLOOKUP($C151&amp;$E151,'Updated SES'!A:J,10,0)</f>
        <v>0.18149999999999999</v>
      </c>
      <c r="O151" s="124" t="e">
        <f>VLOOKUP($B151,'Language Penetration'!$B$1:$BE$14,MATCH('Compile data Working'!$H108,'Language Penetration'!$B$1:$BE$1,0),0)</f>
        <v>#N/A</v>
      </c>
      <c r="P151" s="124" t="str">
        <f ca="1">IF(ISBLANK(J151),RANDBETWEEN(1,2)&amp;"%",IF(J151=1,RANDBETWEEN(35,40)&amp;"%",IF(J151=2,RANDBETWEEN(30,35)&amp;"%",IF(J151=3,RANDBETWEEN(25,30)&amp;"%",IF(J151=4,RANDBETWEEN(20,25)&amp;"%",IF(J151=5,RANDBETWEEN(15,20)&amp;"%",IF(J151=6,RANDBETWEEN(10,15)&amp;"%",IF(J151=7,RANDBETWEEN(8,10)&amp;"%",IF(J151=8,RANDBETWEEN(6,8)&amp;"%",IF(J151=9,RANDBETWEEN(4,6)&amp;"%",IF(J151=10,RANDBETWEEN(2,4)&amp;"%","")))))))))))</f>
        <v>15%</v>
      </c>
      <c r="Q151" s="123" t="e">
        <f ca="1">IFERROR(L151*(M151+N151)*O151*P151,RANDBETWEEN(1,2)%*L151*(M151+N151)*O151)</f>
        <v>#N/A</v>
      </c>
      <c r="R151" s="125">
        <f>VLOOKUP(D:D,ranking!W:X,2,0)</f>
        <v>0.6</v>
      </c>
      <c r="S151" s="126" t="e">
        <f ca="1">R151*Q151</f>
        <v>#N/A</v>
      </c>
      <c r="T151" s="123">
        <v>1.1449519144962499</v>
      </c>
    </row>
    <row r="152" spans="1:20" x14ac:dyDescent="0.25">
      <c r="A152" s="98" t="s">
        <v>1781</v>
      </c>
      <c r="B152" s="98" t="s">
        <v>85</v>
      </c>
      <c r="C152" s="46" t="s">
        <v>879</v>
      </c>
      <c r="D152" s="46" t="s">
        <v>1866</v>
      </c>
      <c r="E152" s="98" t="s">
        <v>219</v>
      </c>
      <c r="F152" s="46" t="s">
        <v>215</v>
      </c>
      <c r="G152" s="46" t="s">
        <v>1935</v>
      </c>
      <c r="H152" s="46" t="s">
        <v>19</v>
      </c>
      <c r="I152" s="129">
        <v>44518</v>
      </c>
      <c r="J152" s="46"/>
      <c r="K152" s="46" t="s">
        <v>1076</v>
      </c>
      <c r="L152" s="123">
        <f>VLOOKUP($C152&amp;$E152,'Updated SES'!A:N,14,0)</f>
        <v>78.939870000000013</v>
      </c>
      <c r="M152" s="124">
        <f>VLOOKUP($K152,'Genre Penetration'!A:B,2,0)*VLOOKUP($C152&amp;$E152,'Updated SES'!A:I,9,0)</f>
        <v>0.44000000000000006</v>
      </c>
      <c r="N152" s="124">
        <f>VLOOKUP(K:K,'Genre Penetration'!A:C,3,0)*VLOOKUP($C152&amp;$E152,'Updated SES'!A:J,10,0)</f>
        <v>9.0000000000000011E-2</v>
      </c>
      <c r="O152" s="124" t="e">
        <f>VLOOKUP($B152,'Language Penetration'!$B$1:$BE$14,MATCH('Compile data Working'!$H116,'Language Penetration'!$B$1:$BE$1,0),0)</f>
        <v>#N/A</v>
      </c>
      <c r="P152" s="124" t="str">
        <f ca="1">IF(ISBLANK(J152),RANDBETWEEN(1,2)&amp;"%",IF(J152=1,RANDBETWEEN(35,40)&amp;"%",IF(J152=2,RANDBETWEEN(30,35)&amp;"%",IF(J152=3,RANDBETWEEN(25,30)&amp;"%",IF(J152=4,RANDBETWEEN(20,25)&amp;"%",IF(J152=5,RANDBETWEEN(15,20)&amp;"%",IF(J152=6,RANDBETWEEN(10,15)&amp;"%",IF(J152=7,RANDBETWEEN(8,10)&amp;"%",IF(J152=8,RANDBETWEEN(6,8)&amp;"%",IF(J152=9,RANDBETWEEN(4,6)&amp;"%",IF(J152=10,RANDBETWEEN(2,4)&amp;"%","")))))))))))</f>
        <v>2%</v>
      </c>
      <c r="Q152" s="123" t="e">
        <f ca="1">IFERROR(L152*(M152+N152)*O152*P152,RANDBETWEEN(1,2)%*L152*(M152+N152)*O152)</f>
        <v>#N/A</v>
      </c>
      <c r="R152" s="125">
        <f>VLOOKUP(D:D,ranking!W:X,2,0)</f>
        <v>0.6</v>
      </c>
      <c r="S152" s="126" t="e">
        <f ca="1">R152*Q152</f>
        <v>#N/A</v>
      </c>
      <c r="T152" s="123">
        <v>1.1279089014909409</v>
      </c>
    </row>
    <row r="153" spans="1:20" x14ac:dyDescent="0.25">
      <c r="A153" s="98" t="s">
        <v>1781</v>
      </c>
      <c r="B153" s="98" t="s">
        <v>85</v>
      </c>
      <c r="C153" s="46" t="s">
        <v>906</v>
      </c>
      <c r="D153" s="98" t="s">
        <v>456</v>
      </c>
      <c r="E153" s="98" t="s">
        <v>211</v>
      </c>
      <c r="F153" s="46" t="s">
        <v>2011</v>
      </c>
      <c r="G153" s="46" t="s">
        <v>2048</v>
      </c>
      <c r="H153" s="46" t="s">
        <v>29</v>
      </c>
      <c r="I153" s="129">
        <v>45317</v>
      </c>
      <c r="J153" s="46"/>
      <c r="K153" s="46" t="s">
        <v>216</v>
      </c>
      <c r="L153" s="123">
        <f>VLOOKUP($C153&amp;$E153,'Updated SES'!A:N,14,0)</f>
        <v>127.11702000000001</v>
      </c>
      <c r="M153" s="124">
        <f>VLOOKUP($K153,'Genre Penetration'!A:B,2,0)*VLOOKUP($C153&amp;$E153,'Updated SES'!A:I,9,0)</f>
        <v>0.33499999999999996</v>
      </c>
      <c r="N153" s="124">
        <f>VLOOKUP(K:K,'Genre Penetration'!A:C,3,0)*VLOOKUP($C153&amp;$E153,'Updated SES'!A:J,10,0)</f>
        <v>0.16499999999999998</v>
      </c>
      <c r="O153" s="124" t="e">
        <f>VLOOKUP($B153,'Language Penetration'!$B$1:$BE$14,MATCH('Compile data Working'!#REF!,'Language Penetration'!$B$1:$BE$1,0),0)</f>
        <v>#REF!</v>
      </c>
      <c r="P153" s="124" t="str">
        <f ca="1">IF(ISBLANK(J153),RANDBETWEEN(1,2)&amp;"%",IF(J153=1,RANDBETWEEN(35,40)&amp;"%",IF(J153=2,RANDBETWEEN(30,35)&amp;"%",IF(J153=3,RANDBETWEEN(25,30)&amp;"%",IF(J153=4,RANDBETWEEN(20,25)&amp;"%",IF(J153=5,RANDBETWEEN(15,20)&amp;"%",IF(J153=6,RANDBETWEEN(10,15)&amp;"%",IF(J153=7,RANDBETWEEN(8,10)&amp;"%",IF(J153=8,RANDBETWEEN(6,8)&amp;"%",IF(J153=9,RANDBETWEEN(4,6)&amp;"%",IF(J153=10,RANDBETWEEN(2,4)&amp;"%","")))))))))))</f>
        <v>1%</v>
      </c>
      <c r="Q153" s="123" t="e">
        <f ca="1">IFERROR(L153*(M153+N153)*O153*P153,RANDBETWEEN(1,2)%*L153*(M153+N153)*O153)</f>
        <v>#REF!</v>
      </c>
      <c r="R153" s="125">
        <f>VLOOKUP(D:D,ranking!W:X,2,0)</f>
        <v>0.3</v>
      </c>
      <c r="S153" s="126" t="e">
        <f ca="1">R153*Q153</f>
        <v>#REF!</v>
      </c>
      <c r="T153" s="123">
        <v>1.1271131872</v>
      </c>
    </row>
    <row r="154" spans="1:20" x14ac:dyDescent="0.25">
      <c r="A154" s="98" t="s">
        <v>1781</v>
      </c>
      <c r="B154" s="98" t="s">
        <v>85</v>
      </c>
      <c r="C154" s="46" t="s">
        <v>64</v>
      </c>
      <c r="D154" s="46" t="s">
        <v>1013</v>
      </c>
      <c r="E154" s="119" t="s">
        <v>211</v>
      </c>
      <c r="F154" s="46" t="s">
        <v>213</v>
      </c>
      <c r="G154" s="134" t="s">
        <v>1940</v>
      </c>
      <c r="H154" s="46" t="s">
        <v>19</v>
      </c>
      <c r="I154" s="129">
        <v>44155</v>
      </c>
      <c r="J154" s="133"/>
      <c r="K154" s="46" t="s">
        <v>2083</v>
      </c>
      <c r="L154" s="123">
        <f>VLOOKUP($C154&amp;$E154,'Updated SES'!A:N,14,0)</f>
        <v>36.498239999999996</v>
      </c>
      <c r="M154" s="124" t="e">
        <f>VLOOKUP($K154,'Genre Penetration'!A:B,2,0)*VLOOKUP($C154&amp;$E154,'Updated SES'!A:I,9,0)</f>
        <v>#N/A</v>
      </c>
      <c r="N154" s="124" t="e">
        <f>VLOOKUP(K:K,'Genre Penetration'!A:C,3,0)*VLOOKUP($C154&amp;$E154,'Updated SES'!A:J,10,0)</f>
        <v>#N/A</v>
      </c>
      <c r="O154" s="124">
        <f>VLOOKUP($B154,'Language Penetration'!$B$1:$BE$14,MATCH('Compile data Working'!$H173,'Language Penetration'!$B$1:$BE$1,0),0)</f>
        <v>0.6</v>
      </c>
      <c r="P154" s="124" t="str">
        <f ca="1">IF(ISBLANK(J154),RANDBETWEEN(1,2)&amp;"%",IF(J154=1,RANDBETWEEN(35,40)&amp;"%",IF(J154=2,RANDBETWEEN(30,35)&amp;"%",IF(J154=3,RANDBETWEEN(25,30)&amp;"%",IF(J154=4,RANDBETWEEN(20,25)&amp;"%",IF(J154=5,RANDBETWEEN(15,20)&amp;"%",IF(J154=6,RANDBETWEEN(10,15)&amp;"%",IF(J154=7,RANDBETWEEN(8,10)&amp;"%",IF(J154=8,RANDBETWEEN(6,8)&amp;"%",IF(J154=9,RANDBETWEEN(4,6)&amp;"%",IF(J154=10,RANDBETWEEN(2,4)&amp;"%","")))))))))))</f>
        <v>2%</v>
      </c>
      <c r="Q154" s="123" t="e">
        <f ca="1">IFERROR(L154*(M154+N154)*O154*P154,RANDBETWEEN(1,2)%*L154*(M154+N154)*O154)</f>
        <v>#N/A</v>
      </c>
      <c r="R154" s="125">
        <f>VLOOKUP(D:D,ranking!W:X,2,0)</f>
        <v>0.8</v>
      </c>
      <c r="S154" s="126" t="e">
        <f ca="1">R154*Q154</f>
        <v>#N/A</v>
      </c>
      <c r="T154" s="123">
        <v>1.1267823659463281</v>
      </c>
    </row>
    <row r="155" spans="1:20" x14ac:dyDescent="0.25">
      <c r="A155" s="98" t="s">
        <v>1057</v>
      </c>
      <c r="B155" s="98" t="s">
        <v>85</v>
      </c>
      <c r="C155" s="46" t="s">
        <v>123</v>
      </c>
      <c r="D155" s="98" t="s">
        <v>434</v>
      </c>
      <c r="E155" s="46" t="s">
        <v>211</v>
      </c>
      <c r="F155" s="46" t="s">
        <v>213</v>
      </c>
      <c r="G155" s="144" t="s">
        <v>1903</v>
      </c>
      <c r="H155" s="46" t="s">
        <v>40</v>
      </c>
      <c r="I155" s="129">
        <v>46052</v>
      </c>
      <c r="J155" s="133">
        <v>4</v>
      </c>
      <c r="K155" s="46" t="s">
        <v>62</v>
      </c>
      <c r="L155" s="123">
        <f>VLOOKUP($C155&amp;$E155,'Updated SES'!A:N,14,0)</f>
        <v>55.459200000000003</v>
      </c>
      <c r="M155" s="124">
        <f>VLOOKUP($K155,'Genre Penetration'!A:B,2,0)*VLOOKUP($C155&amp;$E155,'Updated SES'!A:I,9,0)</f>
        <v>0.28419999999999995</v>
      </c>
      <c r="N155" s="124">
        <f>VLOOKUP(K:K,'Genre Penetration'!A:C,3,0)*VLOOKUP($C155&amp;$E155,'Updated SES'!A:J,10,0)</f>
        <v>0.2142</v>
      </c>
      <c r="O155" s="124">
        <f>VLOOKUP($B155,'Language Penetration'!$B$1:$BE$14,MATCH('Compile data Working'!$H41,'Language Penetration'!$B$1:$BE$1,0),0)</f>
        <v>0.6</v>
      </c>
      <c r="P155" s="124" t="str">
        <f ca="1">IF(ISBLANK(J155),RANDBETWEEN(1,2)&amp;"%",IF(J155=1,RANDBETWEEN(35,40)&amp;"%",IF(J155=2,RANDBETWEEN(30,35)&amp;"%",IF(J155=3,RANDBETWEEN(25,30)&amp;"%",IF(J155=4,RANDBETWEEN(20,25)&amp;"%",IF(J155=5,RANDBETWEEN(15,20)&amp;"%",IF(J155=6,RANDBETWEEN(10,15)&amp;"%",IF(J155=7,RANDBETWEEN(8,10)&amp;"%",IF(J155=8,RANDBETWEEN(6,8)&amp;"%",IF(J155=9,RANDBETWEEN(4,6)&amp;"%",IF(J155=10,RANDBETWEEN(2,4)&amp;"%","")))))))))))</f>
        <v>23%</v>
      </c>
      <c r="Q155" s="123">
        <f ca="1">IFERROR(L155*(M155+N155)*O155*P155,RANDBETWEEN(1,2)%*L155*(M155+N155)*O155)</f>
        <v>3.8144394086400002</v>
      </c>
      <c r="R155" s="125">
        <f>VLOOKUP(D:D,ranking!W:X,2,0)</f>
        <v>0.7</v>
      </c>
      <c r="S155" s="126">
        <f ca="1">R155*Q155</f>
        <v>2.6701075860480001</v>
      </c>
      <c r="T155" s="123">
        <v>1.1214483563400302</v>
      </c>
    </row>
    <row r="156" spans="1:20" x14ac:dyDescent="0.25">
      <c r="A156" s="98" t="s">
        <v>1781</v>
      </c>
      <c r="B156" s="98" t="s">
        <v>85</v>
      </c>
      <c r="C156" s="46" t="s">
        <v>123</v>
      </c>
      <c r="D156" s="46" t="s">
        <v>1012</v>
      </c>
      <c r="E156" s="119" t="s">
        <v>211</v>
      </c>
      <c r="F156" s="46" t="s">
        <v>215</v>
      </c>
      <c r="G156" s="146" t="s">
        <v>2059</v>
      </c>
      <c r="H156" s="46" t="s">
        <v>19</v>
      </c>
      <c r="I156" s="129">
        <v>44939</v>
      </c>
      <c r="J156" s="133"/>
      <c r="K156" s="46" t="s">
        <v>216</v>
      </c>
      <c r="L156" s="123">
        <f>VLOOKUP($C156&amp;$E156,'Updated SES'!A:N,14,0)</f>
        <v>55.459200000000003</v>
      </c>
      <c r="M156" s="124">
        <f>VLOOKUP($K156,'Genre Penetration'!A:B,2,0)*VLOOKUP($C156&amp;$E156,'Updated SES'!A:I,9,0)</f>
        <v>0.245</v>
      </c>
      <c r="N156" s="124">
        <f>VLOOKUP(K:K,'Genre Penetration'!A:C,3,0)*VLOOKUP($C156&amp;$E156,'Updated SES'!A:J,10,0)</f>
        <v>0.255</v>
      </c>
      <c r="O156" s="124">
        <f>VLOOKUP($B156,'Language Penetration'!$B$1:$BE$14,MATCH('Compile data Working'!$H216,'Language Penetration'!$B$1:$BE$1,0),0)</f>
        <v>0.6</v>
      </c>
      <c r="P156" s="124" t="str">
        <f ca="1">IF(ISBLANK(J156),RANDBETWEEN(1,2)&amp;"%",IF(J156=1,RANDBETWEEN(35,40)&amp;"%",IF(J156=2,RANDBETWEEN(30,35)&amp;"%",IF(J156=3,RANDBETWEEN(25,30)&amp;"%",IF(J156=4,RANDBETWEEN(20,25)&amp;"%",IF(J156=5,RANDBETWEEN(15,20)&amp;"%",IF(J156=6,RANDBETWEEN(10,15)&amp;"%",IF(J156=7,RANDBETWEEN(8,10)&amp;"%",IF(J156=8,RANDBETWEEN(6,8)&amp;"%",IF(J156=9,RANDBETWEEN(4,6)&amp;"%",IF(J156=10,RANDBETWEEN(2,4)&amp;"%","")))))))))))</f>
        <v>2%</v>
      </c>
      <c r="Q156" s="123">
        <f ca="1">IFERROR(L156*(M156+N156)*O156*P156,RANDBETWEEN(1,2)%*L156*(M156+N156)*O156)</f>
        <v>0.33275520000000003</v>
      </c>
      <c r="R156" s="125">
        <f>VLOOKUP(D:D,ranking!W:X,2,0)</f>
        <v>0.6</v>
      </c>
      <c r="S156" s="126">
        <f ca="1">R156*Q156</f>
        <v>0.19965312000000002</v>
      </c>
      <c r="T156" s="123">
        <v>1.11052239077964</v>
      </c>
    </row>
    <row r="157" spans="1:20" x14ac:dyDescent="0.25">
      <c r="A157" s="98" t="s">
        <v>1781</v>
      </c>
      <c r="B157" s="98" t="s">
        <v>85</v>
      </c>
      <c r="C157" s="46" t="s">
        <v>906</v>
      </c>
      <c r="D157" s="98" t="s">
        <v>456</v>
      </c>
      <c r="E157" s="98" t="s">
        <v>211</v>
      </c>
      <c r="F157" s="46" t="s">
        <v>2011</v>
      </c>
      <c r="G157" s="134" t="s">
        <v>1936</v>
      </c>
      <c r="H157" s="46" t="s">
        <v>19</v>
      </c>
      <c r="I157" s="129">
        <v>46132</v>
      </c>
      <c r="J157" s="133"/>
      <c r="K157" s="46" t="s">
        <v>970</v>
      </c>
      <c r="L157" s="123">
        <f>VLOOKUP($C157&amp;$E157,'Updated SES'!A:N,14,0)</f>
        <v>127.11702000000001</v>
      </c>
      <c r="M157" s="124">
        <f>VLOOKUP($K157,'Genre Penetration'!A:B,2,0)*VLOOKUP($C157&amp;$E157,'Updated SES'!A:I,9,0)</f>
        <v>0.33499999999999996</v>
      </c>
      <c r="N157" s="124">
        <f>VLOOKUP(K:K,'Genre Penetration'!A:C,3,0)*VLOOKUP($C157&amp;$E157,'Updated SES'!A:J,10,0)</f>
        <v>0.16499999999999998</v>
      </c>
      <c r="O157" s="124" t="e">
        <f>VLOOKUP($B157,'Language Penetration'!$B$1:$BE$14,MATCH('Compile data Working'!$H135,'Language Penetration'!$B$1:$BE$1,0),0)</f>
        <v>#N/A</v>
      </c>
      <c r="P157" s="124" t="str">
        <f ca="1">IF(ISBLANK(J157),RANDBETWEEN(1,2)&amp;"%",IF(J157=1,RANDBETWEEN(35,40)&amp;"%",IF(J157=2,RANDBETWEEN(30,35)&amp;"%",IF(J157=3,RANDBETWEEN(25,30)&amp;"%",IF(J157=4,RANDBETWEEN(20,25)&amp;"%",IF(J157=5,RANDBETWEEN(15,20)&amp;"%",IF(J157=6,RANDBETWEEN(10,15)&amp;"%",IF(J157=7,RANDBETWEEN(8,10)&amp;"%",IF(J157=8,RANDBETWEEN(6,8)&amp;"%",IF(J157=9,RANDBETWEEN(4,6)&amp;"%",IF(J157=10,RANDBETWEEN(2,4)&amp;"%","")))))))))))</f>
        <v>2%</v>
      </c>
      <c r="Q157" s="123" t="e">
        <f ca="1">IFERROR(L157*(M157+N157)*O157*P157,RANDBETWEEN(1,2)%*L157*(M157+N157)*O157)</f>
        <v>#N/A</v>
      </c>
      <c r="R157" s="125">
        <f>VLOOKUP(D:D,ranking!W:X,2,0)</f>
        <v>0.3</v>
      </c>
      <c r="S157" s="126" t="e">
        <f ca="1">R157*Q157</f>
        <v>#N/A</v>
      </c>
      <c r="T157" s="123">
        <v>1.1087972328960001</v>
      </c>
    </row>
    <row r="158" spans="1:20" x14ac:dyDescent="0.25">
      <c r="A158" s="98" t="s">
        <v>1781</v>
      </c>
      <c r="B158" s="98" t="s">
        <v>85</v>
      </c>
      <c r="C158" s="46" t="s">
        <v>123</v>
      </c>
      <c r="D158" s="46" t="s">
        <v>1013</v>
      </c>
      <c r="E158" s="119" t="s">
        <v>211</v>
      </c>
      <c r="F158" s="46" t="s">
        <v>213</v>
      </c>
      <c r="G158" s="134" t="s">
        <v>1931</v>
      </c>
      <c r="H158" s="46" t="s">
        <v>19</v>
      </c>
      <c r="I158" s="129" t="s">
        <v>254</v>
      </c>
      <c r="J158" s="132"/>
      <c r="K158" s="46" t="s">
        <v>2072</v>
      </c>
      <c r="L158" s="123">
        <f>VLOOKUP($C158&amp;$E158,'Updated SES'!A:N,14,0)</f>
        <v>55.459200000000003</v>
      </c>
      <c r="M158" s="124" t="e">
        <f>VLOOKUP($K158,'Genre Penetration'!A:B,2,0)*VLOOKUP($C158&amp;$E158,'Updated SES'!A:I,9,0)</f>
        <v>#N/A</v>
      </c>
      <c r="N158" s="124" t="e">
        <f>VLOOKUP(K:K,'Genre Penetration'!A:C,3,0)*VLOOKUP($C158&amp;$E158,'Updated SES'!A:J,10,0)</f>
        <v>#N/A</v>
      </c>
      <c r="O158" s="124">
        <f>VLOOKUP($B158,'Language Penetration'!$B$1:$BE$14,MATCH('Compile data Working'!$H62,'Language Penetration'!$B$1:$BE$1,0),0)</f>
        <v>0.6</v>
      </c>
      <c r="P158" s="124" t="str">
        <f ca="1">IF(ISBLANK(J158),RANDBETWEEN(1,2)&amp;"%",IF(J158=1,RANDBETWEEN(35,40)&amp;"%",IF(J158=2,RANDBETWEEN(30,35)&amp;"%",IF(J158=3,RANDBETWEEN(25,30)&amp;"%",IF(J158=4,RANDBETWEEN(20,25)&amp;"%",IF(J158=5,RANDBETWEEN(15,20)&amp;"%",IF(J158=6,RANDBETWEEN(10,15)&amp;"%",IF(J158=7,RANDBETWEEN(8,10)&amp;"%",IF(J158=8,RANDBETWEEN(6,8)&amp;"%",IF(J158=9,RANDBETWEEN(4,6)&amp;"%",IF(J158=10,RANDBETWEEN(2,4)&amp;"%","")))))))))))</f>
        <v>2%</v>
      </c>
      <c r="Q158" s="123" t="e">
        <f ca="1">IFERROR(L158*(M158+N158)*O158*P158,RANDBETWEEN(1,2)%*L158*(M158+N158)*O158)</f>
        <v>#N/A</v>
      </c>
      <c r="R158" s="125">
        <f>VLOOKUP(D:D,ranking!W:X,2,0)</f>
        <v>0.8</v>
      </c>
      <c r="S158" s="126" t="e">
        <f ca="1">R158*Q158</f>
        <v>#N/A</v>
      </c>
      <c r="T158" s="123">
        <v>1.0957351059261415</v>
      </c>
    </row>
    <row r="159" spans="1:20" x14ac:dyDescent="0.25">
      <c r="A159" s="98" t="s">
        <v>1781</v>
      </c>
      <c r="B159" s="98" t="s">
        <v>85</v>
      </c>
      <c r="C159" s="46" t="s">
        <v>879</v>
      </c>
      <c r="D159" s="46" t="s">
        <v>1866</v>
      </c>
      <c r="E159" s="98" t="s">
        <v>219</v>
      </c>
      <c r="F159" s="46" t="s">
        <v>215</v>
      </c>
      <c r="G159" s="134" t="s">
        <v>2027</v>
      </c>
      <c r="H159" s="46" t="s">
        <v>19</v>
      </c>
      <c r="I159" s="129">
        <v>44868</v>
      </c>
      <c r="J159" s="132"/>
      <c r="K159" s="46" t="s">
        <v>2075</v>
      </c>
      <c r="L159" s="123">
        <f>VLOOKUP($C159&amp;$E159,'Updated SES'!A:N,14,0)</f>
        <v>78.939870000000013</v>
      </c>
      <c r="M159" s="124" t="e">
        <f>VLOOKUP($K159,'Genre Penetration'!A:B,2,0)*VLOOKUP($C159&amp;$E159,'Updated SES'!A:I,9,0)</f>
        <v>#N/A</v>
      </c>
      <c r="N159" s="124" t="e">
        <f>VLOOKUP(K:K,'Genre Penetration'!A:C,3,0)*VLOOKUP($C159&amp;$E159,'Updated SES'!A:J,10,0)</f>
        <v>#N/A</v>
      </c>
      <c r="O159" s="124">
        <f>VLOOKUP($B159,'Language Penetration'!$B$1:$BE$14,MATCH('Compile data Working'!$H84,'Language Penetration'!$B$1:$BE$1,0),0)</f>
        <v>0.15</v>
      </c>
      <c r="P159" s="124" t="str">
        <f ca="1">IF(ISBLANK(J159),RANDBETWEEN(1,2)&amp;"%",IF(J159=1,RANDBETWEEN(35,40)&amp;"%",IF(J159=2,RANDBETWEEN(30,35)&amp;"%",IF(J159=3,RANDBETWEEN(25,30)&amp;"%",IF(J159=4,RANDBETWEEN(20,25)&amp;"%",IF(J159=5,RANDBETWEEN(15,20)&amp;"%",IF(J159=6,RANDBETWEEN(10,15)&amp;"%",IF(J159=7,RANDBETWEEN(8,10)&amp;"%",IF(J159=8,RANDBETWEEN(6,8)&amp;"%",IF(J159=9,RANDBETWEEN(4,6)&amp;"%",IF(J159=10,RANDBETWEEN(2,4)&amp;"%","")))))))))))</f>
        <v>2%</v>
      </c>
      <c r="Q159" s="123" t="e">
        <f ca="1">IFERROR(L159*(M159+N159)*O159*P159,RANDBETWEEN(1,2)%*L159*(M159+N159)*O159)</f>
        <v>#N/A</v>
      </c>
      <c r="R159" s="125">
        <f>VLOOKUP(D:D,ranking!W:X,2,0)</f>
        <v>0.6</v>
      </c>
      <c r="S159" s="126" t="e">
        <f ca="1">R159*Q159</f>
        <v>#N/A</v>
      </c>
      <c r="T159" s="123">
        <v>1.09247763205</v>
      </c>
    </row>
    <row r="160" spans="1:20" x14ac:dyDescent="0.25">
      <c r="A160" s="98" t="s">
        <v>1781</v>
      </c>
      <c r="B160" s="98" t="s">
        <v>85</v>
      </c>
      <c r="C160" s="46" t="s">
        <v>879</v>
      </c>
      <c r="D160" s="46" t="s">
        <v>1866</v>
      </c>
      <c r="E160" s="98" t="s">
        <v>219</v>
      </c>
      <c r="F160" s="46" t="s">
        <v>215</v>
      </c>
      <c r="G160" s="134" t="s">
        <v>2017</v>
      </c>
      <c r="H160" s="46" t="s">
        <v>19</v>
      </c>
      <c r="I160" s="129">
        <v>44428</v>
      </c>
      <c r="J160" s="131"/>
      <c r="K160" s="46" t="s">
        <v>1076</v>
      </c>
      <c r="L160" s="123">
        <f>VLOOKUP($C160&amp;$E160,'Updated SES'!A:N,14,0)</f>
        <v>78.939870000000013</v>
      </c>
      <c r="M160" s="124">
        <f>VLOOKUP($K160,'Genre Penetration'!A:B,2,0)*VLOOKUP($C160&amp;$E160,'Updated SES'!A:I,9,0)</f>
        <v>0.44000000000000006</v>
      </c>
      <c r="N160" s="124">
        <f>VLOOKUP(K:K,'Genre Penetration'!A:C,3,0)*VLOOKUP($C160&amp;$E160,'Updated SES'!A:J,10,0)</f>
        <v>9.0000000000000011E-2</v>
      </c>
      <c r="O160" s="124" t="e">
        <f>VLOOKUP($B160,'Language Penetration'!$B$1:$BE$14,MATCH('Compile data Working'!#REF!,'Language Penetration'!$B$1:$BE$1,0),0)</f>
        <v>#REF!</v>
      </c>
      <c r="P160" s="124" t="str">
        <f ca="1">IF(ISBLANK(J160),RANDBETWEEN(1,2)&amp;"%",IF(J160=1,RANDBETWEEN(35,40)&amp;"%",IF(J160=2,RANDBETWEEN(30,35)&amp;"%",IF(J160=3,RANDBETWEEN(25,30)&amp;"%",IF(J160=4,RANDBETWEEN(20,25)&amp;"%",IF(J160=5,RANDBETWEEN(15,20)&amp;"%",IF(J160=6,RANDBETWEEN(10,15)&amp;"%",IF(J160=7,RANDBETWEEN(8,10)&amp;"%",IF(J160=8,RANDBETWEEN(6,8)&amp;"%",IF(J160=9,RANDBETWEEN(4,6)&amp;"%",IF(J160=10,RANDBETWEEN(2,4)&amp;"%","")))))))))))</f>
        <v>2%</v>
      </c>
      <c r="Q160" s="123" t="e">
        <f ca="1">IFERROR(L160*(M160+N160)*O160*P160,RANDBETWEEN(1,2)%*L160*(M160+N160)*O160)</f>
        <v>#REF!</v>
      </c>
      <c r="R160" s="125">
        <f>VLOOKUP(D:D,ranking!W:X,2,0)</f>
        <v>0.6</v>
      </c>
      <c r="S160" s="126" t="e">
        <f ca="1">R160*Q160</f>
        <v>#REF!</v>
      </c>
      <c r="T160" s="123">
        <v>1.09094317379409</v>
      </c>
    </row>
    <row r="161" spans="1:20" x14ac:dyDescent="0.25">
      <c r="A161" s="98" t="s">
        <v>1781</v>
      </c>
      <c r="B161" s="98" t="s">
        <v>85</v>
      </c>
      <c r="C161" s="46" t="s">
        <v>150</v>
      </c>
      <c r="D161" s="46" t="s">
        <v>1013</v>
      </c>
      <c r="E161" s="119" t="s">
        <v>211</v>
      </c>
      <c r="F161" s="46" t="s">
        <v>213</v>
      </c>
      <c r="G161" s="134" t="s">
        <v>2023</v>
      </c>
      <c r="H161" s="46" t="s">
        <v>19</v>
      </c>
      <c r="I161" s="129">
        <v>45485</v>
      </c>
      <c r="J161" s="132"/>
      <c r="K161" s="46" t="s">
        <v>1082</v>
      </c>
      <c r="L161" s="123">
        <f>VLOOKUP($C161&amp;$E161,'Updated SES'!A:N,14,0)</f>
        <v>60.152000000000001</v>
      </c>
      <c r="M161" s="124">
        <f>VLOOKUP($K161,'Genre Penetration'!A:B,2,0)*VLOOKUP($C161&amp;$E161,'Updated SES'!A:I,9,0)</f>
        <v>0.35750000000000004</v>
      </c>
      <c r="N161" s="124">
        <f>VLOOKUP(K:K,'Genre Penetration'!A:C,3,0)*VLOOKUP($C161&amp;$E161,'Updated SES'!A:J,10,0)</f>
        <v>0.1575</v>
      </c>
      <c r="O161" s="124" t="e">
        <f>VLOOKUP($B161,'Language Penetration'!$B$1:$BE$14,MATCH('Compile data Working'!$H87,'Language Penetration'!$B$1:$BE$1,0),0)</f>
        <v>#N/A</v>
      </c>
      <c r="P161" s="124" t="str">
        <f ca="1">IF(ISBLANK(J161),RANDBETWEEN(1,2)&amp;"%",IF(J161=1,RANDBETWEEN(35,40)&amp;"%",IF(J161=2,RANDBETWEEN(30,35)&amp;"%",IF(J161=3,RANDBETWEEN(25,30)&amp;"%",IF(J161=4,RANDBETWEEN(20,25)&amp;"%",IF(J161=5,RANDBETWEEN(15,20)&amp;"%",IF(J161=6,RANDBETWEEN(10,15)&amp;"%",IF(J161=7,RANDBETWEEN(8,10)&amp;"%",IF(J161=8,RANDBETWEEN(6,8)&amp;"%",IF(J161=9,RANDBETWEEN(4,6)&amp;"%",IF(J161=10,RANDBETWEEN(2,4)&amp;"%","")))))))))))</f>
        <v>2%</v>
      </c>
      <c r="Q161" s="123" t="e">
        <f ca="1">IFERROR(L161*(M161+N161)*O161*P161,RANDBETWEEN(1,2)%*L161*(M161+N161)*O161)</f>
        <v>#N/A</v>
      </c>
      <c r="R161" s="125">
        <f>VLOOKUP(D:D,ranking!W:X,2,0)</f>
        <v>0.8</v>
      </c>
      <c r="S161" s="126" t="e">
        <f ca="1">R161*Q161</f>
        <v>#N/A</v>
      </c>
      <c r="T161" s="123">
        <v>1.0878907415003201</v>
      </c>
    </row>
    <row r="162" spans="1:20" x14ac:dyDescent="0.25">
      <c r="A162" s="98" t="s">
        <v>1781</v>
      </c>
      <c r="B162" s="98" t="s">
        <v>85</v>
      </c>
      <c r="C162" s="46" t="s">
        <v>906</v>
      </c>
      <c r="D162" s="98" t="s">
        <v>456</v>
      </c>
      <c r="E162" s="98" t="s">
        <v>211</v>
      </c>
      <c r="F162" s="46" t="s">
        <v>2011</v>
      </c>
      <c r="G162" s="134" t="s">
        <v>1801</v>
      </c>
      <c r="H162" s="46" t="s">
        <v>19</v>
      </c>
      <c r="I162" s="129">
        <v>46049</v>
      </c>
      <c r="J162" s="132"/>
      <c r="K162" s="46" t="s">
        <v>216</v>
      </c>
      <c r="L162" s="123">
        <f>VLOOKUP($C162&amp;$E162,'Updated SES'!A:N,14,0)</f>
        <v>127.11702000000001</v>
      </c>
      <c r="M162" s="124">
        <f>VLOOKUP($K162,'Genre Penetration'!A:B,2,0)*VLOOKUP($C162&amp;$E162,'Updated SES'!A:I,9,0)</f>
        <v>0.33499999999999996</v>
      </c>
      <c r="N162" s="124">
        <f>VLOOKUP(K:K,'Genre Penetration'!A:C,3,0)*VLOOKUP($C162&amp;$E162,'Updated SES'!A:J,10,0)</f>
        <v>0.16499999999999998</v>
      </c>
      <c r="O162" s="124">
        <f>VLOOKUP($B162,'Language Penetration'!$B$1:$BE$14,MATCH('Compile data Working'!$H65,'Language Penetration'!$B$1:$BE$1,0),0)</f>
        <v>0.2</v>
      </c>
      <c r="P162" s="124" t="str">
        <f ca="1">IF(ISBLANK(J162),RANDBETWEEN(1,2)&amp;"%",IF(J162=1,RANDBETWEEN(35,40)&amp;"%",IF(J162=2,RANDBETWEEN(30,35)&amp;"%",IF(J162=3,RANDBETWEEN(25,30)&amp;"%",IF(J162=4,RANDBETWEEN(20,25)&amp;"%",IF(J162=5,RANDBETWEEN(15,20)&amp;"%",IF(J162=6,RANDBETWEEN(10,15)&amp;"%",IF(J162=7,RANDBETWEEN(8,10)&amp;"%",IF(J162=8,RANDBETWEEN(6,8)&amp;"%",IF(J162=9,RANDBETWEEN(4,6)&amp;"%",IF(J162=10,RANDBETWEEN(2,4)&amp;"%","")))))))))))</f>
        <v>2%</v>
      </c>
      <c r="Q162" s="123">
        <f ca="1">IFERROR(L162*(M162+N162)*O162*P162,RANDBETWEEN(1,2)%*L162*(M162+N162)*O162)</f>
        <v>0.25423403999999999</v>
      </c>
      <c r="R162" s="125">
        <f>VLOOKUP(D:D,ranking!W:X,2,0)</f>
        <v>0.3</v>
      </c>
      <c r="S162" s="126">
        <f ca="1">R162*Q162</f>
        <v>7.627021199999999E-2</v>
      </c>
      <c r="T162" s="123">
        <v>1.0684182125446084</v>
      </c>
    </row>
    <row r="163" spans="1:20" x14ac:dyDescent="0.25">
      <c r="A163" s="98" t="s">
        <v>1781</v>
      </c>
      <c r="B163" s="98" t="s">
        <v>85</v>
      </c>
      <c r="C163" s="46" t="s">
        <v>150</v>
      </c>
      <c r="D163" s="98" t="s">
        <v>456</v>
      </c>
      <c r="E163" s="98" t="s">
        <v>219</v>
      </c>
      <c r="F163" s="46" t="s">
        <v>2011</v>
      </c>
      <c r="G163" s="134" t="s">
        <v>2024</v>
      </c>
      <c r="H163" s="46" t="s">
        <v>2062</v>
      </c>
      <c r="I163" s="129">
        <v>45376</v>
      </c>
      <c r="J163" s="132"/>
      <c r="K163" s="46" t="s">
        <v>950</v>
      </c>
      <c r="L163" s="123">
        <f>VLOOKUP($C163&amp;$E163,'Updated SES'!A:N,14,0)</f>
        <v>24.425800000000002</v>
      </c>
      <c r="M163" s="124" t="e">
        <f>VLOOKUP($K163,'Genre Penetration'!A:B,2,0)*VLOOKUP($C163&amp;$E163,'Updated SES'!A:I,9,0)</f>
        <v>#N/A</v>
      </c>
      <c r="N163" s="124" t="e">
        <f>VLOOKUP(K:K,'Genre Penetration'!A:C,3,0)*VLOOKUP($C163&amp;$E163,'Updated SES'!A:J,10,0)</f>
        <v>#N/A</v>
      </c>
      <c r="O163" s="124">
        <f>VLOOKUP($B163,'Language Penetration'!$B$1:$BE$14,MATCH('Compile data Working'!$H90,'Language Penetration'!$B$1:$BE$1,0),0)</f>
        <v>0.2</v>
      </c>
      <c r="P163" s="124" t="str">
        <f ca="1">IF(ISBLANK(J163),RANDBETWEEN(1,2)&amp;"%",IF(J163=1,RANDBETWEEN(35,40)&amp;"%",IF(J163=2,RANDBETWEEN(30,35)&amp;"%",IF(J163=3,RANDBETWEEN(25,30)&amp;"%",IF(J163=4,RANDBETWEEN(20,25)&amp;"%",IF(J163=5,RANDBETWEEN(15,20)&amp;"%",IF(J163=6,RANDBETWEEN(10,15)&amp;"%",IF(J163=7,RANDBETWEEN(8,10)&amp;"%",IF(J163=8,RANDBETWEEN(6,8)&amp;"%",IF(J163=9,RANDBETWEEN(4,6)&amp;"%",IF(J163=10,RANDBETWEEN(2,4)&amp;"%","")))))))))))</f>
        <v>2%</v>
      </c>
      <c r="Q163" s="123" t="e">
        <f ca="1">IFERROR(L163*(M163+N163)*O163*P163,RANDBETWEEN(1,2)%*L163*(M163+N163)*O163)</f>
        <v>#N/A</v>
      </c>
      <c r="R163" s="125">
        <f>VLOOKUP(D:D,ranking!W:X,2,0)</f>
        <v>0.3</v>
      </c>
      <c r="S163" s="126" t="e">
        <f ca="1">R163*Q163</f>
        <v>#N/A</v>
      </c>
      <c r="T163" s="123">
        <v>1.06550750988</v>
      </c>
    </row>
    <row r="164" spans="1:20" x14ac:dyDescent="0.25">
      <c r="A164" s="98" t="s">
        <v>1781</v>
      </c>
      <c r="B164" s="98" t="s">
        <v>85</v>
      </c>
      <c r="C164" s="46" t="s">
        <v>123</v>
      </c>
      <c r="D164" s="46" t="s">
        <v>1012</v>
      </c>
      <c r="E164" s="119" t="s">
        <v>211</v>
      </c>
      <c r="F164" s="46" t="s">
        <v>215</v>
      </c>
      <c r="G164" s="134" t="s">
        <v>1939</v>
      </c>
      <c r="H164" s="46" t="s">
        <v>19</v>
      </c>
      <c r="I164" s="129">
        <v>44309</v>
      </c>
      <c r="J164" s="133"/>
      <c r="K164" s="46" t="s">
        <v>2082</v>
      </c>
      <c r="L164" s="123">
        <f>VLOOKUP($C164&amp;$E164,'Updated SES'!A:N,14,0)</f>
        <v>55.459200000000003</v>
      </c>
      <c r="M164" s="124" t="e">
        <f>VLOOKUP($K164,'Genre Penetration'!A:B,2,0)*VLOOKUP($C164&amp;$E164,'Updated SES'!A:I,9,0)</f>
        <v>#N/A</v>
      </c>
      <c r="N164" s="124" t="e">
        <f>VLOOKUP(K:K,'Genre Penetration'!A:C,3,0)*VLOOKUP($C164&amp;$E164,'Updated SES'!A:J,10,0)</f>
        <v>#N/A</v>
      </c>
      <c r="O164" s="124" t="e">
        <f>VLOOKUP($B164,'Language Penetration'!$B$1:$BE$14,MATCH('Compile data Working'!$H171,'Language Penetration'!$B$1:$BE$1,0),0)</f>
        <v>#N/A</v>
      </c>
      <c r="P164" s="124" t="str">
        <f ca="1">IF(ISBLANK(J164),RANDBETWEEN(1,2)&amp;"%",IF(J164=1,RANDBETWEEN(35,40)&amp;"%",IF(J164=2,RANDBETWEEN(30,35)&amp;"%",IF(J164=3,RANDBETWEEN(25,30)&amp;"%",IF(J164=4,RANDBETWEEN(20,25)&amp;"%",IF(J164=5,RANDBETWEEN(15,20)&amp;"%",IF(J164=6,RANDBETWEEN(10,15)&amp;"%",IF(J164=7,RANDBETWEEN(8,10)&amp;"%",IF(J164=8,RANDBETWEEN(6,8)&amp;"%",IF(J164=9,RANDBETWEEN(4,6)&amp;"%",IF(J164=10,RANDBETWEEN(2,4)&amp;"%","")))))))))))</f>
        <v>1%</v>
      </c>
      <c r="Q164" s="123" t="e">
        <f ca="1">IFERROR(L164*(M164+N164)*O164*P164,RANDBETWEEN(1,2)%*L164*(M164+N164)*O164)</f>
        <v>#N/A</v>
      </c>
      <c r="R164" s="125">
        <f>VLOOKUP(D:D,ranking!W:X,2,0)</f>
        <v>0.6</v>
      </c>
      <c r="S164" s="126" t="e">
        <f ca="1">R164*Q164</f>
        <v>#N/A</v>
      </c>
      <c r="T164" s="123">
        <v>1.0393035070600001</v>
      </c>
    </row>
    <row r="165" spans="1:20" x14ac:dyDescent="0.25">
      <c r="A165" s="98" t="s">
        <v>1781</v>
      </c>
      <c r="B165" s="98" t="s">
        <v>85</v>
      </c>
      <c r="C165" s="46" t="s">
        <v>906</v>
      </c>
      <c r="D165" s="46" t="s">
        <v>1013</v>
      </c>
      <c r="E165" s="119" t="s">
        <v>211</v>
      </c>
      <c r="F165" s="46" t="s">
        <v>213</v>
      </c>
      <c r="G165" s="134" t="s">
        <v>2046</v>
      </c>
      <c r="H165" s="46" t="s">
        <v>19</v>
      </c>
      <c r="I165" s="129">
        <v>45819</v>
      </c>
      <c r="J165" s="133"/>
      <c r="K165" s="46" t="s">
        <v>191</v>
      </c>
      <c r="L165" s="123">
        <f>VLOOKUP($C165&amp;$E165,'Updated SES'!A:N,14,0)</f>
        <v>127.11702000000001</v>
      </c>
      <c r="M165" s="124">
        <f>VLOOKUP($K165,'Genre Penetration'!A:B,2,0)*VLOOKUP($C165&amp;$E165,'Updated SES'!A:I,9,0)</f>
        <v>0.33499999999999996</v>
      </c>
      <c r="N165" s="124">
        <f>VLOOKUP(K:K,'Genre Penetration'!A:C,3,0)*VLOOKUP($C165&amp;$E165,'Updated SES'!A:J,10,0)</f>
        <v>0.16499999999999998</v>
      </c>
      <c r="O165" s="124" t="e">
        <f>VLOOKUP($B165,'Language Penetration'!$B$1:$BE$14,MATCH('Compile data Working'!#REF!,'Language Penetration'!$B$1:$BE$1,0),0)</f>
        <v>#REF!</v>
      </c>
      <c r="P165" s="124" t="str">
        <f ca="1">IF(ISBLANK(J165),RANDBETWEEN(1,2)&amp;"%",IF(J165=1,RANDBETWEEN(35,40)&amp;"%",IF(J165=2,RANDBETWEEN(30,35)&amp;"%",IF(J165=3,RANDBETWEEN(25,30)&amp;"%",IF(J165=4,RANDBETWEEN(20,25)&amp;"%",IF(J165=5,RANDBETWEEN(15,20)&amp;"%",IF(J165=6,RANDBETWEEN(10,15)&amp;"%",IF(J165=7,RANDBETWEEN(8,10)&amp;"%",IF(J165=8,RANDBETWEEN(6,8)&amp;"%",IF(J165=9,RANDBETWEEN(4,6)&amp;"%",IF(J165=10,RANDBETWEEN(2,4)&amp;"%","")))))))))))</f>
        <v>1%</v>
      </c>
      <c r="Q165" s="123" t="e">
        <f ca="1">IFERROR(L165*(M165+N165)*O165*P165,RANDBETWEEN(1,2)%*L165*(M165+N165)*O165)</f>
        <v>#REF!</v>
      </c>
      <c r="R165" s="125">
        <f>VLOOKUP(D:D,ranking!W:X,2,0)</f>
        <v>0.8</v>
      </c>
      <c r="S165" s="126" t="e">
        <f ca="1">R165*Q165</f>
        <v>#REF!</v>
      </c>
      <c r="T165" s="123">
        <v>1.0393035070600001</v>
      </c>
    </row>
    <row r="166" spans="1:20" x14ac:dyDescent="0.25">
      <c r="A166" s="98" t="s">
        <v>1781</v>
      </c>
      <c r="B166" s="98" t="s">
        <v>85</v>
      </c>
      <c r="C166" s="46" t="s">
        <v>150</v>
      </c>
      <c r="D166" s="98" t="s">
        <v>456</v>
      </c>
      <c r="E166" s="98" t="s">
        <v>219</v>
      </c>
      <c r="F166" s="46" t="s">
        <v>2011</v>
      </c>
      <c r="G166" s="134" t="s">
        <v>2043</v>
      </c>
      <c r="H166" s="46" t="s">
        <v>29</v>
      </c>
      <c r="I166" s="129">
        <v>45558</v>
      </c>
      <c r="J166" s="133"/>
      <c r="K166" s="46" t="s">
        <v>216</v>
      </c>
      <c r="L166" s="123">
        <f>VLOOKUP($C166&amp;$E166,'Updated SES'!A:N,14,0)</f>
        <v>24.425800000000002</v>
      </c>
      <c r="M166" s="124">
        <f>VLOOKUP($K166,'Genre Penetration'!A:B,2,0)*VLOOKUP($C166&amp;$E166,'Updated SES'!A:I,9,0)</f>
        <v>0.34</v>
      </c>
      <c r="N166" s="124">
        <f>VLOOKUP(K:K,'Genre Penetration'!A:C,3,0)*VLOOKUP($C166&amp;$E166,'Updated SES'!A:J,10,0)</f>
        <v>0.16</v>
      </c>
      <c r="O166" s="124">
        <f>VLOOKUP($B166,'Language Penetration'!$B$1:$BE$14,MATCH('Compile data Working'!$H162,'Language Penetration'!$B$1:$BE$1,0),0)</f>
        <v>0.6</v>
      </c>
      <c r="P166" s="124" t="str">
        <f ca="1">IF(ISBLANK(J166),RANDBETWEEN(1,2)&amp;"%",IF(J166=1,RANDBETWEEN(35,40)&amp;"%",IF(J166=2,RANDBETWEEN(30,35)&amp;"%",IF(J166=3,RANDBETWEEN(25,30)&amp;"%",IF(J166=4,RANDBETWEEN(20,25)&amp;"%",IF(J166=5,RANDBETWEEN(15,20)&amp;"%",IF(J166=6,RANDBETWEEN(10,15)&amp;"%",IF(J166=7,RANDBETWEEN(8,10)&amp;"%",IF(J166=8,RANDBETWEEN(6,8)&amp;"%",IF(J166=9,RANDBETWEEN(4,6)&amp;"%",IF(J166=10,RANDBETWEEN(2,4)&amp;"%","")))))))))))</f>
        <v>2%</v>
      </c>
      <c r="Q166" s="123">
        <f ca="1">IFERROR(L166*(M166+N166)*O166*P166,RANDBETWEEN(1,2)%*L166*(M166+N166)*O166)</f>
        <v>0.14655480000000001</v>
      </c>
      <c r="R166" s="125">
        <f>VLOOKUP(D:D,ranking!W:X,2,0)</f>
        <v>0.3</v>
      </c>
      <c r="S166" s="126">
        <f ca="1">R166*Q166</f>
        <v>4.3966440000000002E-2</v>
      </c>
      <c r="T166" s="123">
        <v>1.0180288460845099</v>
      </c>
    </row>
    <row r="167" spans="1:20" x14ac:dyDescent="0.25">
      <c r="A167" s="98" t="s">
        <v>1781</v>
      </c>
      <c r="B167" s="98" t="s">
        <v>85</v>
      </c>
      <c r="C167" s="46" t="s">
        <v>906</v>
      </c>
      <c r="D167" s="46" t="s">
        <v>1013</v>
      </c>
      <c r="E167" s="119" t="s">
        <v>211</v>
      </c>
      <c r="F167" s="46" t="s">
        <v>213</v>
      </c>
      <c r="G167" s="134" t="s">
        <v>1938</v>
      </c>
      <c r="H167" s="46" t="s">
        <v>19</v>
      </c>
      <c r="I167" s="129">
        <v>45860</v>
      </c>
      <c r="J167" s="133"/>
      <c r="K167" s="46" t="s">
        <v>216</v>
      </c>
      <c r="L167" s="123">
        <f>VLOOKUP($C167&amp;$E167,'Updated SES'!A:N,14,0)</f>
        <v>127.11702000000001</v>
      </c>
      <c r="M167" s="124">
        <f>VLOOKUP($K167,'Genre Penetration'!A:B,2,0)*VLOOKUP($C167&amp;$E167,'Updated SES'!A:I,9,0)</f>
        <v>0.33499999999999996</v>
      </c>
      <c r="N167" s="124">
        <f>VLOOKUP(K:K,'Genre Penetration'!A:C,3,0)*VLOOKUP($C167&amp;$E167,'Updated SES'!A:J,10,0)</f>
        <v>0.16499999999999998</v>
      </c>
      <c r="O167" s="124">
        <f>VLOOKUP($B167,'Language Penetration'!$B$1:$BE$14,MATCH('Compile data Working'!$H154,'Language Penetration'!$B$1:$BE$1,0),0)</f>
        <v>0.6</v>
      </c>
      <c r="P167" s="124" t="str">
        <f ca="1">IF(ISBLANK(J167),RANDBETWEEN(1,2)&amp;"%",IF(J167=1,RANDBETWEEN(35,40)&amp;"%",IF(J167=2,RANDBETWEEN(30,35)&amp;"%",IF(J167=3,RANDBETWEEN(25,30)&amp;"%",IF(J167=4,RANDBETWEEN(20,25)&amp;"%",IF(J167=5,RANDBETWEEN(15,20)&amp;"%",IF(J167=6,RANDBETWEEN(10,15)&amp;"%",IF(J167=7,RANDBETWEEN(8,10)&amp;"%",IF(J167=8,RANDBETWEEN(6,8)&amp;"%",IF(J167=9,RANDBETWEEN(4,6)&amp;"%",IF(J167=10,RANDBETWEEN(2,4)&amp;"%","")))))))))))</f>
        <v>2%</v>
      </c>
      <c r="Q167" s="123">
        <f ca="1">IFERROR(L167*(M167+N167)*O167*P167,RANDBETWEEN(1,2)%*L167*(M167+N167)*O167)</f>
        <v>0.76270212000000004</v>
      </c>
      <c r="R167" s="125">
        <f>VLOOKUP(D:D,ranking!W:X,2,0)</f>
        <v>0.8</v>
      </c>
      <c r="S167" s="126">
        <f ca="1">R167*Q167</f>
        <v>0.61016169600000003</v>
      </c>
      <c r="T167" s="123">
        <v>1.0115635721675571</v>
      </c>
    </row>
    <row r="168" spans="1:20" x14ac:dyDescent="0.25">
      <c r="A168" s="98" t="s">
        <v>1057</v>
      </c>
      <c r="B168" s="98" t="s">
        <v>85</v>
      </c>
      <c r="C168" s="98" t="s">
        <v>132</v>
      </c>
      <c r="D168" s="98" t="s">
        <v>434</v>
      </c>
      <c r="E168" s="98" t="s">
        <v>211</v>
      </c>
      <c r="F168" s="46" t="s">
        <v>213</v>
      </c>
      <c r="G168" s="130" t="s">
        <v>2007</v>
      </c>
      <c r="H168" s="98" t="s">
        <v>1058</v>
      </c>
      <c r="I168" s="136">
        <v>45149</v>
      </c>
      <c r="J168" s="131">
        <v>8</v>
      </c>
      <c r="K168" s="98" t="s">
        <v>176</v>
      </c>
      <c r="L168" s="123">
        <f>VLOOKUP($C168&amp;$E168,'Updated SES'!A:N,14,0)</f>
        <v>21.682040000000004</v>
      </c>
      <c r="M168" s="124">
        <f>VLOOKUP($K168,'Genre Penetration'!A:B,2,0)*VLOOKUP($C168&amp;$E168,'Updated SES'!A:I,9,0)</f>
        <v>0.40300000000000002</v>
      </c>
      <c r="N168" s="124">
        <f>VLOOKUP(K:K,'Genre Penetration'!A:C,3,0)*VLOOKUP($C168&amp;$E168,'Updated SES'!A:J,10,0)</f>
        <v>0.13299999999999998</v>
      </c>
      <c r="O168" s="124" t="e">
        <f>VLOOKUP($B168,'Language Penetration'!$B$1:$BE$14,MATCH('Compile data Working'!#REF!,'Language Penetration'!$B$1:$BE$1,0),0)</f>
        <v>#REF!</v>
      </c>
      <c r="P168" s="124" t="str">
        <f ca="1">IF(ISBLANK(J168),RANDBETWEEN(1,2)&amp;"%",IF(J168=1,RANDBETWEEN(35,40)&amp;"%",IF(J168=2,RANDBETWEEN(30,35)&amp;"%",IF(J168=3,RANDBETWEEN(25,30)&amp;"%",IF(J168=4,RANDBETWEEN(20,25)&amp;"%",IF(J168=5,RANDBETWEEN(15,20)&amp;"%",IF(J168=6,RANDBETWEEN(10,15)&amp;"%",IF(J168=7,RANDBETWEEN(8,10)&amp;"%",IF(J168=8,RANDBETWEEN(6,8)&amp;"%",IF(J168=9,RANDBETWEEN(4,6)&amp;"%",IF(J168=10,RANDBETWEEN(2,4)&amp;"%","")))))))))))</f>
        <v>8%</v>
      </c>
      <c r="Q168" s="123" t="e">
        <f ca="1">IFERROR(L168*(M168+N168)*O168*P168,RANDBETWEEN(1,2)%*L168*(M168+N168)*O168)</f>
        <v>#REF!</v>
      </c>
      <c r="R168" s="125">
        <f>VLOOKUP(D:D,ranking!W:X,2,0)</f>
        <v>0.7</v>
      </c>
      <c r="S168" s="126" t="e">
        <f ca="1">R168*Q168</f>
        <v>#REF!</v>
      </c>
      <c r="T168" s="123">
        <v>1.00988200913861</v>
      </c>
    </row>
    <row r="169" spans="1:20" x14ac:dyDescent="0.25">
      <c r="A169" s="98" t="s">
        <v>1781</v>
      </c>
      <c r="B169" s="98" t="s">
        <v>85</v>
      </c>
      <c r="C169" s="46" t="s">
        <v>150</v>
      </c>
      <c r="D169" s="98" t="s">
        <v>456</v>
      </c>
      <c r="E169" s="98" t="s">
        <v>219</v>
      </c>
      <c r="F169" s="46" t="s">
        <v>2011</v>
      </c>
      <c r="G169" s="134" t="s">
        <v>2021</v>
      </c>
      <c r="H169" s="46" t="s">
        <v>19</v>
      </c>
      <c r="I169" s="129">
        <v>43217</v>
      </c>
      <c r="J169" s="132"/>
      <c r="K169" s="46" t="s">
        <v>970</v>
      </c>
      <c r="L169" s="123">
        <f>VLOOKUP($C169&amp;$E169,'Updated SES'!A:N,14,0)</f>
        <v>24.425800000000002</v>
      </c>
      <c r="M169" s="124">
        <f>VLOOKUP($K169,'Genre Penetration'!A:B,2,0)*VLOOKUP($C169&amp;$E169,'Updated SES'!A:I,9,0)</f>
        <v>0.34</v>
      </c>
      <c r="N169" s="124">
        <f>VLOOKUP(K:K,'Genre Penetration'!A:C,3,0)*VLOOKUP($C169&amp;$E169,'Updated SES'!A:J,10,0)</f>
        <v>0.16</v>
      </c>
      <c r="O169" s="124">
        <f>VLOOKUP($B169,'Language Penetration'!$B$1:$BE$14,MATCH('Compile data Working'!$H74,'Language Penetration'!$B$1:$BE$1,0),0)</f>
        <v>0.6</v>
      </c>
      <c r="P169" s="124" t="str">
        <f ca="1">IF(ISBLANK(J169),RANDBETWEEN(1,2)&amp;"%",IF(J169=1,RANDBETWEEN(35,40)&amp;"%",IF(J169=2,RANDBETWEEN(30,35)&amp;"%",IF(J169=3,RANDBETWEEN(25,30)&amp;"%",IF(J169=4,RANDBETWEEN(20,25)&amp;"%",IF(J169=5,RANDBETWEEN(15,20)&amp;"%",IF(J169=6,RANDBETWEEN(10,15)&amp;"%",IF(J169=7,RANDBETWEEN(8,10)&amp;"%",IF(J169=8,RANDBETWEEN(6,8)&amp;"%",IF(J169=9,RANDBETWEEN(4,6)&amp;"%",IF(J169=10,RANDBETWEEN(2,4)&amp;"%","")))))))))))</f>
        <v>1%</v>
      </c>
      <c r="Q169" s="123">
        <f ca="1">IFERROR(L169*(M169+N169)*O169*P169,RANDBETWEEN(1,2)%*L169*(M169+N169)*O169)</f>
        <v>7.3277400000000006E-2</v>
      </c>
      <c r="R169" s="125">
        <f>VLOOKUP(D:D,ranking!W:X,2,0)</f>
        <v>0.3</v>
      </c>
      <c r="S169" s="126">
        <f ca="1">R169*Q169</f>
        <v>2.1983220000000001E-2</v>
      </c>
      <c r="T169" s="123">
        <v>1.0040514362324799</v>
      </c>
    </row>
    <row r="170" spans="1:20" x14ac:dyDescent="0.25">
      <c r="A170" s="98" t="s">
        <v>1781</v>
      </c>
      <c r="B170" s="98" t="s">
        <v>85</v>
      </c>
      <c r="C170" s="46" t="s">
        <v>150</v>
      </c>
      <c r="D170" s="98" t="s">
        <v>456</v>
      </c>
      <c r="E170" s="98" t="s">
        <v>219</v>
      </c>
      <c r="F170" s="46" t="s">
        <v>2011</v>
      </c>
      <c r="G170" s="134" t="s">
        <v>2026</v>
      </c>
      <c r="H170" s="46" t="s">
        <v>19</v>
      </c>
      <c r="I170" s="129">
        <v>46034</v>
      </c>
      <c r="J170" s="132"/>
      <c r="K170" s="46" t="s">
        <v>950</v>
      </c>
      <c r="L170" s="123">
        <f>VLOOKUP($C170&amp;$E170,'Updated SES'!A:N,14,0)</f>
        <v>24.425800000000002</v>
      </c>
      <c r="M170" s="124" t="e">
        <f>VLOOKUP($K170,'Genre Penetration'!A:B,2,0)*VLOOKUP($C170&amp;$E170,'Updated SES'!A:I,9,0)</f>
        <v>#N/A</v>
      </c>
      <c r="N170" s="124" t="e">
        <f>VLOOKUP(K:K,'Genre Penetration'!A:C,3,0)*VLOOKUP($C170&amp;$E170,'Updated SES'!A:J,10,0)</f>
        <v>#N/A</v>
      </c>
      <c r="O170" s="124" t="e">
        <f>VLOOKUP($B170,'Language Penetration'!$B$1:$BE$14,MATCH('Compile data Working'!$H59,'Language Penetration'!$B$1:$BE$1,0),0)</f>
        <v>#N/A</v>
      </c>
      <c r="P170" s="124" t="str">
        <f ca="1">IF(ISBLANK(J170),RANDBETWEEN(1,2)&amp;"%",IF(J170=1,RANDBETWEEN(35,40)&amp;"%",IF(J170=2,RANDBETWEEN(30,35)&amp;"%",IF(J170=3,RANDBETWEEN(25,30)&amp;"%",IF(J170=4,RANDBETWEEN(20,25)&amp;"%",IF(J170=5,RANDBETWEEN(15,20)&amp;"%",IF(J170=6,RANDBETWEEN(10,15)&amp;"%",IF(J170=7,RANDBETWEEN(8,10)&amp;"%",IF(J170=8,RANDBETWEEN(6,8)&amp;"%",IF(J170=9,RANDBETWEEN(4,6)&amp;"%",IF(J170=10,RANDBETWEEN(2,4)&amp;"%","")))))))))))</f>
        <v>2%</v>
      </c>
      <c r="Q170" s="123" t="e">
        <f ca="1">IFERROR(L170*(M170+N170)*O170*P170,RANDBETWEEN(1,2)%*L170*(M170+N170)*O170)</f>
        <v>#N/A</v>
      </c>
      <c r="R170" s="125">
        <f>VLOOKUP(D:D,ranking!W:X,2,0)</f>
        <v>0.3</v>
      </c>
      <c r="S170" s="126" t="e">
        <f ca="1">R170*Q170</f>
        <v>#N/A</v>
      </c>
      <c r="T170" s="123">
        <v>1.00264271929335</v>
      </c>
    </row>
    <row r="171" spans="1:20" x14ac:dyDescent="0.25">
      <c r="A171" s="98" t="s">
        <v>1781</v>
      </c>
      <c r="B171" s="98" t="s">
        <v>85</v>
      </c>
      <c r="C171" s="46" t="s">
        <v>150</v>
      </c>
      <c r="D171" s="98" t="s">
        <v>456</v>
      </c>
      <c r="E171" s="98" t="s">
        <v>219</v>
      </c>
      <c r="F171" s="46" t="s">
        <v>2011</v>
      </c>
      <c r="G171" s="134" t="s">
        <v>2012</v>
      </c>
      <c r="H171" s="46" t="s">
        <v>2062</v>
      </c>
      <c r="I171" s="129">
        <v>45985</v>
      </c>
      <c r="J171" s="132"/>
      <c r="K171" s="46" t="s">
        <v>950</v>
      </c>
      <c r="L171" s="123">
        <f>VLOOKUP($C171&amp;$E171,'Updated SES'!A:N,14,0)</f>
        <v>24.425800000000002</v>
      </c>
      <c r="M171" s="124" t="e">
        <f>VLOOKUP($K171,'Genre Penetration'!A:B,2,0)*VLOOKUP($C171&amp;$E171,'Updated SES'!A:I,9,0)</f>
        <v>#N/A</v>
      </c>
      <c r="N171" s="124" t="e">
        <f>VLOOKUP(K:K,'Genre Penetration'!A:C,3,0)*VLOOKUP($C171&amp;$E171,'Updated SES'!A:J,10,0)</f>
        <v>#N/A</v>
      </c>
      <c r="O171" s="124">
        <f>VLOOKUP($B171,'Language Penetration'!$B$1:$BE$14,MATCH('Compile data Working'!$H17,'Language Penetration'!$B$1:$BE$1,0),0)</f>
        <v>0.6</v>
      </c>
      <c r="P171" s="124" t="str">
        <f ca="1">IF(ISBLANK(J171),RANDBETWEEN(1,2)&amp;"%",IF(J171=1,RANDBETWEEN(35,40)&amp;"%",IF(J171=2,RANDBETWEEN(30,35)&amp;"%",IF(J171=3,RANDBETWEEN(25,30)&amp;"%",IF(J171=4,RANDBETWEEN(20,25)&amp;"%",IF(J171=5,RANDBETWEEN(15,20)&amp;"%",IF(J171=6,RANDBETWEEN(10,15)&amp;"%",IF(J171=7,RANDBETWEEN(8,10)&amp;"%",IF(J171=8,RANDBETWEEN(6,8)&amp;"%",IF(J171=9,RANDBETWEEN(4,6)&amp;"%",IF(J171=10,RANDBETWEEN(2,4)&amp;"%","")))))))))))</f>
        <v>1%</v>
      </c>
      <c r="Q171" s="123" t="e">
        <f ca="1">IFERROR(L171*(M171+N171)*O171*P171,RANDBETWEEN(1,2)%*L171*(M171+N171)*O171)</f>
        <v>#N/A</v>
      </c>
      <c r="R171" s="125">
        <f>VLOOKUP(D:D,ranking!W:X,2,0)</f>
        <v>0.3</v>
      </c>
      <c r="S171" s="126" t="e">
        <f ca="1">R171*Q171</f>
        <v>#N/A</v>
      </c>
      <c r="T171" s="123">
        <v>1.0017256564622901</v>
      </c>
    </row>
    <row r="172" spans="1:20" x14ac:dyDescent="0.25">
      <c r="A172" s="98" t="s">
        <v>1781</v>
      </c>
      <c r="B172" s="98" t="s">
        <v>85</v>
      </c>
      <c r="C172" s="46" t="s">
        <v>906</v>
      </c>
      <c r="D172" s="98" t="s">
        <v>456</v>
      </c>
      <c r="E172" s="98" t="s">
        <v>211</v>
      </c>
      <c r="F172" s="46" t="s">
        <v>2011</v>
      </c>
      <c r="G172" s="134" t="s">
        <v>1937</v>
      </c>
      <c r="H172" s="46" t="s">
        <v>2062</v>
      </c>
      <c r="I172" s="129">
        <v>45229</v>
      </c>
      <c r="J172" s="133"/>
      <c r="K172" s="46" t="s">
        <v>950</v>
      </c>
      <c r="L172" s="123">
        <f>VLOOKUP($C172&amp;$E172,'Updated SES'!A:N,14,0)</f>
        <v>127.11702000000001</v>
      </c>
      <c r="M172" s="124" t="e">
        <f>VLOOKUP($K172,'Genre Penetration'!A:B,2,0)*VLOOKUP($C172&amp;$E172,'Updated SES'!A:I,9,0)</f>
        <v>#N/A</v>
      </c>
      <c r="N172" s="124" t="e">
        <f>VLOOKUP(K:K,'Genre Penetration'!A:C,3,0)*VLOOKUP($C172&amp;$E172,'Updated SES'!A:J,10,0)</f>
        <v>#N/A</v>
      </c>
      <c r="O172" s="124">
        <f>VLOOKUP($B172,'Language Penetration'!$B$1:$BE$14,MATCH('Compile data Working'!$H145,'Language Penetration'!$B$1:$BE$1,0),0)</f>
        <v>0.15</v>
      </c>
      <c r="P172" s="124" t="str">
        <f ca="1">IF(ISBLANK(J172),RANDBETWEEN(1,2)&amp;"%",IF(J172=1,RANDBETWEEN(35,40)&amp;"%",IF(J172=2,RANDBETWEEN(30,35)&amp;"%",IF(J172=3,RANDBETWEEN(25,30)&amp;"%",IF(J172=4,RANDBETWEEN(20,25)&amp;"%",IF(J172=5,RANDBETWEEN(15,20)&amp;"%",IF(J172=6,RANDBETWEEN(10,15)&amp;"%",IF(J172=7,RANDBETWEEN(8,10)&amp;"%",IF(J172=8,RANDBETWEEN(6,8)&amp;"%",IF(J172=9,RANDBETWEEN(4,6)&amp;"%",IF(J172=10,RANDBETWEEN(2,4)&amp;"%","")))))))))))</f>
        <v>2%</v>
      </c>
      <c r="Q172" s="123" t="e">
        <f ca="1">IFERROR(L172*(M172+N172)*O172*P172,RANDBETWEEN(1,2)%*L172*(M172+N172)*O172)</f>
        <v>#N/A</v>
      </c>
      <c r="R172" s="125">
        <f>VLOOKUP(D:D,ranking!W:X,2,0)</f>
        <v>0.3</v>
      </c>
      <c r="S172" s="126" t="e">
        <f ca="1">R172*Q172</f>
        <v>#N/A</v>
      </c>
      <c r="T172" s="123">
        <v>1.0009312971600002</v>
      </c>
    </row>
    <row r="173" spans="1:20" x14ac:dyDescent="0.25">
      <c r="A173" s="98" t="s">
        <v>1781</v>
      </c>
      <c r="B173" s="98" t="s">
        <v>85</v>
      </c>
      <c r="C173" s="46" t="s">
        <v>123</v>
      </c>
      <c r="D173" s="46" t="s">
        <v>1012</v>
      </c>
      <c r="E173" s="119" t="s">
        <v>211</v>
      </c>
      <c r="F173" s="46" t="s">
        <v>215</v>
      </c>
      <c r="G173" s="134" t="s">
        <v>2008</v>
      </c>
      <c r="H173" s="46" t="s">
        <v>19</v>
      </c>
      <c r="I173" s="129">
        <v>42825</v>
      </c>
      <c r="J173" s="131"/>
      <c r="K173" s="46" t="s">
        <v>2064</v>
      </c>
      <c r="L173" s="123">
        <f>VLOOKUP($C173&amp;$E173,'Updated SES'!A:N,14,0)</f>
        <v>55.459200000000003</v>
      </c>
      <c r="M173" s="124" t="e">
        <f>VLOOKUP($K173,'Genre Penetration'!A:B,2,0)*VLOOKUP($C173&amp;$E173,'Updated SES'!A:I,9,0)</f>
        <v>#N/A</v>
      </c>
      <c r="N173" s="124" t="e">
        <f>VLOOKUP(K:K,'Genre Penetration'!A:C,3,0)*VLOOKUP($C173&amp;$E173,'Updated SES'!A:J,10,0)</f>
        <v>#N/A</v>
      </c>
      <c r="O173" s="124">
        <f>VLOOKUP($B173,'Language Penetration'!$B$1:$BE$14,MATCH('Compile data Working'!$H164,'Language Penetration'!$B$1:$BE$1,0),0)</f>
        <v>0.6</v>
      </c>
      <c r="P173" s="124" t="str">
        <f ca="1">IF(ISBLANK(J173),RANDBETWEEN(1,2)&amp;"%",IF(J173=1,RANDBETWEEN(35,40)&amp;"%",IF(J173=2,RANDBETWEEN(30,35)&amp;"%",IF(J173=3,RANDBETWEEN(25,30)&amp;"%",IF(J173=4,RANDBETWEEN(20,25)&amp;"%",IF(J173=5,RANDBETWEEN(15,20)&amp;"%",IF(J173=6,RANDBETWEEN(10,15)&amp;"%",IF(J173=7,RANDBETWEEN(8,10)&amp;"%",IF(J173=8,RANDBETWEEN(6,8)&amp;"%",IF(J173=9,RANDBETWEEN(4,6)&amp;"%",IF(J173=10,RANDBETWEEN(2,4)&amp;"%","")))))))))))</f>
        <v>1%</v>
      </c>
      <c r="Q173" s="123" t="e">
        <f ca="1">IFERROR(L173*(M173+N173)*O173*P173,RANDBETWEEN(1,2)%*L173*(M173+N173)*O173)</f>
        <v>#N/A</v>
      </c>
      <c r="R173" s="125">
        <f>VLOOKUP(D:D,ranking!W:X,2,0)</f>
        <v>0.6</v>
      </c>
      <c r="S173" s="126" t="e">
        <f ca="1">R173*Q173</f>
        <v>#N/A</v>
      </c>
      <c r="T173" s="123">
        <v>1.0002459848077001</v>
      </c>
    </row>
    <row r="174" spans="1:20" x14ac:dyDescent="0.25">
      <c r="A174" s="98" t="s">
        <v>1781</v>
      </c>
      <c r="B174" s="98" t="s">
        <v>85</v>
      </c>
      <c r="C174" s="46" t="s">
        <v>906</v>
      </c>
      <c r="D174" s="46" t="s">
        <v>1013</v>
      </c>
      <c r="E174" s="119" t="s">
        <v>211</v>
      </c>
      <c r="F174" s="46" t="s">
        <v>213</v>
      </c>
      <c r="G174" s="134" t="s">
        <v>2009</v>
      </c>
      <c r="H174" s="46" t="s">
        <v>19</v>
      </c>
      <c r="I174" s="129">
        <v>44609</v>
      </c>
      <c r="J174" s="131"/>
      <c r="K174" s="46" t="s">
        <v>1088</v>
      </c>
      <c r="L174" s="123">
        <f>VLOOKUP($C174&amp;$E174,'Updated SES'!A:N,14,0)</f>
        <v>127.11702000000001</v>
      </c>
      <c r="M174" s="124">
        <f>VLOOKUP($K174,'Genre Penetration'!A:B,2,0)*VLOOKUP($C174&amp;$E174,'Updated SES'!A:I,9,0)</f>
        <v>0.38524999999999993</v>
      </c>
      <c r="N174" s="124">
        <f>VLOOKUP(K:K,'Genre Penetration'!A:C,3,0)*VLOOKUP($C174&amp;$E174,'Updated SES'!A:J,10,0)</f>
        <v>0.14024999999999999</v>
      </c>
      <c r="O174" s="124" t="e">
        <f>VLOOKUP($B174,'Language Penetration'!$B$1:$BE$14,MATCH('Compile data Working'!$H146,'Language Penetration'!$B$1:$BE$1,0),0)</f>
        <v>#N/A</v>
      </c>
      <c r="P174" s="124" t="str">
        <f ca="1">IF(ISBLANK(J174),RANDBETWEEN(1,2)&amp;"%",IF(J174=1,RANDBETWEEN(35,40)&amp;"%",IF(J174=2,RANDBETWEEN(30,35)&amp;"%",IF(J174=3,RANDBETWEEN(25,30)&amp;"%",IF(J174=4,RANDBETWEEN(20,25)&amp;"%",IF(J174=5,RANDBETWEEN(15,20)&amp;"%",IF(J174=6,RANDBETWEEN(10,15)&amp;"%",IF(J174=7,RANDBETWEEN(8,10)&amp;"%",IF(J174=8,RANDBETWEEN(6,8)&amp;"%",IF(J174=9,RANDBETWEEN(4,6)&amp;"%",IF(J174=10,RANDBETWEEN(2,4)&amp;"%","")))))))))))</f>
        <v>1%</v>
      </c>
      <c r="Q174" s="123" t="e">
        <f ca="1">IFERROR(L174*(M174+N174)*O174*P174,RANDBETWEEN(1,2)%*L174*(M174+N174)*O174)</f>
        <v>#N/A</v>
      </c>
      <c r="R174" s="125">
        <f>VLOOKUP(D:D,ranking!W:X,2,0)</f>
        <v>0.8</v>
      </c>
      <c r="S174" s="126" t="e">
        <f ca="1">R174*Q174</f>
        <v>#N/A</v>
      </c>
      <c r="T174" s="123">
        <v>1.0000787296614599</v>
      </c>
    </row>
    <row r="175" spans="1:20" x14ac:dyDescent="0.25">
      <c r="A175" s="98" t="s">
        <v>1057</v>
      </c>
      <c r="B175" s="98" t="s">
        <v>85</v>
      </c>
      <c r="C175" s="46" t="s">
        <v>1229</v>
      </c>
      <c r="D175" s="46" t="s">
        <v>1866</v>
      </c>
      <c r="E175" s="46" t="s">
        <v>219</v>
      </c>
      <c r="F175" s="46" t="s">
        <v>215</v>
      </c>
      <c r="G175" s="144" t="s">
        <v>1884</v>
      </c>
      <c r="H175" s="46" t="s">
        <v>19</v>
      </c>
      <c r="I175" s="129">
        <v>46108</v>
      </c>
      <c r="J175" s="133">
        <v>5</v>
      </c>
      <c r="K175" s="46" t="s">
        <v>910</v>
      </c>
      <c r="L175" s="123">
        <f>VLOOKUP($C175&amp;$E175,'Updated SES'!A:N,14,0)</f>
        <v>78.939870000000013</v>
      </c>
      <c r="M175" s="124">
        <f>VLOOKUP($K175,'Genre Penetration'!A:B,2,0)*VLOOKUP($C175&amp;$E175,'Updated SES'!A:I,9,0)</f>
        <v>0.4</v>
      </c>
      <c r="N175" s="124">
        <f>VLOOKUP(K:K,'Genre Penetration'!A:C,3,0)*VLOOKUP($C175&amp;$E175,'Updated SES'!A:J,10,0)</f>
        <v>0.1</v>
      </c>
      <c r="O175" s="124" t="e">
        <f>VLOOKUP($B175,'Language Penetration'!$B$1:$BE$14,MATCH('Compile data Working'!$H64,'Language Penetration'!$B$1:$BE$1,0),0)</f>
        <v>#N/A</v>
      </c>
      <c r="P175" s="124" t="str">
        <f ca="1">IF(ISBLANK(J175),RANDBETWEEN(1,2)&amp;"%",IF(J175=1,RANDBETWEEN(35,40)&amp;"%",IF(J175=2,RANDBETWEEN(30,35)&amp;"%",IF(J175=3,RANDBETWEEN(25,30)&amp;"%",IF(J175=4,RANDBETWEEN(20,25)&amp;"%",IF(J175=5,RANDBETWEEN(15,20)&amp;"%",IF(J175=6,RANDBETWEEN(10,15)&amp;"%",IF(J175=7,RANDBETWEEN(8,10)&amp;"%",IF(J175=8,RANDBETWEEN(6,8)&amp;"%",IF(J175=9,RANDBETWEEN(4,6)&amp;"%",IF(J175=10,RANDBETWEEN(2,4)&amp;"%","")))))))))))</f>
        <v>15%</v>
      </c>
      <c r="Q175" s="123" t="e">
        <f ca="1">IFERROR(L175*(M175+N175)*O175*P175,RANDBETWEEN(1,2)%*L175*(M175+N175)*O175)</f>
        <v>#N/A</v>
      </c>
      <c r="R175" s="125">
        <f>VLOOKUP(D:D,ranking!W:X,2,0)</f>
        <v>0.6</v>
      </c>
      <c r="S175" s="126" t="e">
        <f ca="1">R175*Q175</f>
        <v>#N/A</v>
      </c>
      <c r="T175" s="123">
        <v>0.99356477035865276</v>
      </c>
    </row>
    <row r="176" spans="1:20" x14ac:dyDescent="0.25">
      <c r="A176" s="98" t="s">
        <v>1781</v>
      </c>
      <c r="B176" s="98" t="s">
        <v>85</v>
      </c>
      <c r="C176" s="46" t="s">
        <v>150</v>
      </c>
      <c r="D176" s="98" t="s">
        <v>456</v>
      </c>
      <c r="E176" s="98" t="s">
        <v>219</v>
      </c>
      <c r="F176" s="46" t="s">
        <v>2011</v>
      </c>
      <c r="G176" s="134" t="s">
        <v>1942</v>
      </c>
      <c r="H176" s="46" t="s">
        <v>29</v>
      </c>
      <c r="I176" s="129">
        <v>45705</v>
      </c>
      <c r="J176" s="133"/>
      <c r="K176" s="46" t="s">
        <v>970</v>
      </c>
      <c r="L176" s="123">
        <f>VLOOKUP($C176&amp;$E176,'Updated SES'!A:N,14,0)</f>
        <v>24.425800000000002</v>
      </c>
      <c r="M176" s="124">
        <f>VLOOKUP($K176,'Genre Penetration'!A:B,2,0)*VLOOKUP($C176&amp;$E176,'Updated SES'!A:I,9,0)</f>
        <v>0.34</v>
      </c>
      <c r="N176" s="124">
        <f>VLOOKUP(K:K,'Genre Penetration'!A:C,3,0)*VLOOKUP($C176&amp;$E176,'Updated SES'!A:J,10,0)</f>
        <v>0.16</v>
      </c>
      <c r="O176" s="124">
        <f>VLOOKUP($B176,'Language Penetration'!$B$1:$BE$14,MATCH('Compile data Working'!$H230,'Language Penetration'!$B$1:$BE$1,0),0)</f>
        <v>0.6</v>
      </c>
      <c r="P176" s="124" t="str">
        <f ca="1">IF(ISBLANK(J176),RANDBETWEEN(1,2)&amp;"%",IF(J176=1,RANDBETWEEN(35,40)&amp;"%",IF(J176=2,RANDBETWEEN(30,35)&amp;"%",IF(J176=3,RANDBETWEEN(25,30)&amp;"%",IF(J176=4,RANDBETWEEN(20,25)&amp;"%",IF(J176=5,RANDBETWEEN(15,20)&amp;"%",IF(J176=6,RANDBETWEEN(10,15)&amp;"%",IF(J176=7,RANDBETWEEN(8,10)&amp;"%",IF(J176=8,RANDBETWEEN(6,8)&amp;"%",IF(J176=9,RANDBETWEEN(4,6)&amp;"%",IF(J176=10,RANDBETWEEN(2,4)&amp;"%","")))))))))))</f>
        <v>1%</v>
      </c>
      <c r="Q176" s="123">
        <f ca="1">IFERROR(L176*(M176+N176)*O176*P176,RANDBETWEEN(1,2)%*L176*(M176+N176)*O176)</f>
        <v>7.3277400000000006E-2</v>
      </c>
      <c r="R176" s="125">
        <f>VLOOKUP(D:D,ranking!W:X,2,0)</f>
        <v>0.3</v>
      </c>
      <c r="S176" s="126">
        <f ca="1">R176*Q176</f>
        <v>2.1983220000000001E-2</v>
      </c>
      <c r="T176" s="123">
        <v>0.98995465391407211</v>
      </c>
    </row>
    <row r="177" spans="1:20" x14ac:dyDescent="0.25">
      <c r="A177" s="98" t="s">
        <v>1781</v>
      </c>
      <c r="B177" s="98" t="s">
        <v>85</v>
      </c>
      <c r="C177" s="46" t="s">
        <v>123</v>
      </c>
      <c r="D177" s="46" t="s">
        <v>1012</v>
      </c>
      <c r="E177" s="119" t="s">
        <v>211</v>
      </c>
      <c r="F177" s="46" t="s">
        <v>215</v>
      </c>
      <c r="G177" s="134" t="s">
        <v>1857</v>
      </c>
      <c r="H177" s="46" t="s">
        <v>19</v>
      </c>
      <c r="I177" s="129">
        <v>43089</v>
      </c>
      <c r="J177" s="133"/>
      <c r="K177" s="46" t="s">
        <v>1076</v>
      </c>
      <c r="L177" s="123">
        <f>VLOOKUP($C177&amp;$E177,'Updated SES'!A:N,14,0)</f>
        <v>55.459200000000003</v>
      </c>
      <c r="M177" s="124">
        <f>VLOOKUP($K177,'Genre Penetration'!A:B,2,0)*VLOOKUP($C177&amp;$E177,'Updated SES'!A:I,9,0)</f>
        <v>0.26950000000000002</v>
      </c>
      <c r="N177" s="124">
        <f>VLOOKUP(K:K,'Genre Penetration'!A:C,3,0)*VLOOKUP($C177&amp;$E177,'Updated SES'!A:J,10,0)</f>
        <v>0.22950000000000001</v>
      </c>
      <c r="O177" s="124">
        <f>VLOOKUP($B177,'Language Penetration'!$B$1:$BE$14,MATCH('Compile data Working'!$H125,'Language Penetration'!$B$1:$BE$1,0),0)</f>
        <v>0.6</v>
      </c>
      <c r="P177" s="124" t="str">
        <f ca="1">IF(ISBLANK(J177),RANDBETWEEN(1,2)&amp;"%",IF(J177=1,RANDBETWEEN(35,40)&amp;"%",IF(J177=2,RANDBETWEEN(30,35)&amp;"%",IF(J177=3,RANDBETWEEN(25,30)&amp;"%",IF(J177=4,RANDBETWEEN(20,25)&amp;"%",IF(J177=5,RANDBETWEEN(15,20)&amp;"%",IF(J177=6,RANDBETWEEN(10,15)&amp;"%",IF(J177=7,RANDBETWEEN(8,10)&amp;"%",IF(J177=8,RANDBETWEEN(6,8)&amp;"%",IF(J177=9,RANDBETWEEN(4,6)&amp;"%",IF(J177=10,RANDBETWEEN(2,4)&amp;"%","")))))))))))</f>
        <v>2%</v>
      </c>
      <c r="Q177" s="123">
        <f ca="1">IFERROR(L177*(M177+N177)*O177*P177,RANDBETWEEN(1,2)%*L177*(M177+N177)*O177)</f>
        <v>0.33208968960000002</v>
      </c>
      <c r="R177" s="125">
        <f>VLOOKUP(D:D,ranking!W:X,2,0)</f>
        <v>0.6</v>
      </c>
      <c r="S177" s="126">
        <f ca="1">R177*Q177</f>
        <v>0.19925381376000001</v>
      </c>
      <c r="T177" s="123">
        <v>0.93968273378767009</v>
      </c>
    </row>
    <row r="178" spans="1:20" x14ac:dyDescent="0.25">
      <c r="A178" s="98" t="s">
        <v>1781</v>
      </c>
      <c r="B178" s="98" t="s">
        <v>85</v>
      </c>
      <c r="C178" s="46" t="s">
        <v>906</v>
      </c>
      <c r="D178" s="46" t="s">
        <v>1013</v>
      </c>
      <c r="E178" s="119" t="s">
        <v>211</v>
      </c>
      <c r="F178" s="46" t="s">
        <v>213</v>
      </c>
      <c r="G178" s="134" t="s">
        <v>1856</v>
      </c>
      <c r="H178" s="46" t="s">
        <v>19</v>
      </c>
      <c r="I178" s="129">
        <v>46023</v>
      </c>
      <c r="J178" s="131"/>
      <c r="K178" s="46" t="s">
        <v>1087</v>
      </c>
      <c r="L178" s="123">
        <f>VLOOKUP($C178&amp;$E178,'Updated SES'!A:N,14,0)</f>
        <v>127.11702000000001</v>
      </c>
      <c r="M178" s="124">
        <f>VLOOKUP($K178,'Genre Penetration'!A:B,2,0)*VLOOKUP($C178&amp;$E178,'Updated SES'!A:I,9,0)</f>
        <v>0.35509999999999997</v>
      </c>
      <c r="N178" s="124">
        <f>VLOOKUP(K:K,'Genre Penetration'!A:C,3,0)*VLOOKUP($C178&amp;$E178,'Updated SES'!A:J,10,0)</f>
        <v>0.15509999999999996</v>
      </c>
      <c r="O178" s="124">
        <f>VLOOKUP($B178,'Language Penetration'!$B$1:$BE$14,MATCH('Compile data Working'!$H115,'Language Penetration'!$B$1:$BE$1,0),0)</f>
        <v>0.2</v>
      </c>
      <c r="P178" s="124" t="str">
        <f ca="1">IF(ISBLANK(J178),RANDBETWEEN(1,2)&amp;"%",IF(J178=1,RANDBETWEEN(35,40)&amp;"%",IF(J178=2,RANDBETWEEN(30,35)&amp;"%",IF(J178=3,RANDBETWEEN(25,30)&amp;"%",IF(J178=4,RANDBETWEEN(20,25)&amp;"%",IF(J178=5,RANDBETWEEN(15,20)&amp;"%",IF(J178=6,RANDBETWEEN(10,15)&amp;"%",IF(J178=7,RANDBETWEEN(8,10)&amp;"%",IF(J178=8,RANDBETWEEN(6,8)&amp;"%",IF(J178=9,RANDBETWEEN(4,6)&amp;"%",IF(J178=10,RANDBETWEEN(2,4)&amp;"%","")))))))))))</f>
        <v>1%</v>
      </c>
      <c r="Q178" s="123">
        <f ca="1">IFERROR(L178*(M178+N178)*O178*P178,RANDBETWEEN(1,2)%*L178*(M178+N178)*O178)</f>
        <v>0.12971020720800003</v>
      </c>
      <c r="R178" s="125">
        <f>VLOOKUP(D:D,ranking!W:X,2,0)</f>
        <v>0.8</v>
      </c>
      <c r="S178" s="126">
        <f ca="1">R178*Q178</f>
        <v>0.10376816576640002</v>
      </c>
      <c r="T178" s="123">
        <v>0.90849017492860407</v>
      </c>
    </row>
    <row r="179" spans="1:20" x14ac:dyDescent="0.25">
      <c r="A179" s="98" t="s">
        <v>1057</v>
      </c>
      <c r="B179" s="98" t="s">
        <v>85</v>
      </c>
      <c r="C179" s="98" t="s">
        <v>150</v>
      </c>
      <c r="D179" s="98" t="s">
        <v>434</v>
      </c>
      <c r="E179" s="98" t="s">
        <v>211</v>
      </c>
      <c r="F179" s="46" t="s">
        <v>213</v>
      </c>
      <c r="G179" s="130" t="s">
        <v>1913</v>
      </c>
      <c r="H179" s="98" t="s">
        <v>19</v>
      </c>
      <c r="I179" s="136">
        <v>46129</v>
      </c>
      <c r="J179" s="131">
        <v>3</v>
      </c>
      <c r="K179" s="98" t="s">
        <v>202</v>
      </c>
      <c r="L179" s="123">
        <f>VLOOKUP($C179&amp;$E179,'Updated SES'!A:N,14,0)</f>
        <v>60.152000000000001</v>
      </c>
      <c r="M179" s="124">
        <f>VLOOKUP($K179,'Genre Penetration'!A:B,2,0)*VLOOKUP($C179&amp;$E179,'Updated SES'!A:I,9,0)</f>
        <v>0.46799999999999997</v>
      </c>
      <c r="N179" s="124">
        <f>VLOOKUP(K:K,'Genre Penetration'!A:C,3,0)*VLOOKUP($C179&amp;$E179,'Updated SES'!A:J,10,0)</f>
        <v>9.8000000000000004E-2</v>
      </c>
      <c r="O179" s="124" t="e">
        <f>VLOOKUP($B179,'Language Penetration'!$B$1:$BE$14,MATCH('Compile data Working'!#REF!,'Language Penetration'!$B$1:$BE$1,0),0)</f>
        <v>#REF!</v>
      </c>
      <c r="P179" s="124" t="str">
        <f ca="1">IF(ISBLANK(J179),RANDBETWEEN(1,2)&amp;"%",IF(J179=1,RANDBETWEEN(35,40)&amp;"%",IF(J179=2,RANDBETWEEN(30,35)&amp;"%",IF(J179=3,RANDBETWEEN(25,30)&amp;"%",IF(J179=4,RANDBETWEEN(20,25)&amp;"%",IF(J179=5,RANDBETWEEN(15,20)&amp;"%",IF(J179=6,RANDBETWEEN(10,15)&amp;"%",IF(J179=7,RANDBETWEEN(8,10)&amp;"%",IF(J179=8,RANDBETWEEN(6,8)&amp;"%",IF(J179=9,RANDBETWEEN(4,6)&amp;"%",IF(J179=10,RANDBETWEEN(2,4)&amp;"%","")))))))))))</f>
        <v>26%</v>
      </c>
      <c r="Q179" s="123" t="e">
        <f ca="1">IFERROR(L179*(M179+N179)*O179*P179,RANDBETWEEN(1,2)%*L179*(M179+N179)*O179)</f>
        <v>#REF!</v>
      </c>
      <c r="R179" s="125">
        <f>VLOOKUP(D:D,ranking!W:X,2,0)</f>
        <v>0.7</v>
      </c>
      <c r="S179" s="126" t="e">
        <f ca="1">R179*Q179</f>
        <v>#REF!</v>
      </c>
      <c r="T179" s="123">
        <v>0.90255382041600007</v>
      </c>
    </row>
    <row r="180" spans="1:20" x14ac:dyDescent="0.25">
      <c r="A180" s="98" t="s">
        <v>1781</v>
      </c>
      <c r="B180" s="98" t="s">
        <v>85</v>
      </c>
      <c r="C180" s="46" t="s">
        <v>906</v>
      </c>
      <c r="D180" s="46" t="s">
        <v>1013</v>
      </c>
      <c r="E180" s="119" t="s">
        <v>211</v>
      </c>
      <c r="F180" s="46" t="s">
        <v>213</v>
      </c>
      <c r="G180" s="134" t="s">
        <v>2047</v>
      </c>
      <c r="H180" s="46" t="s">
        <v>19</v>
      </c>
      <c r="I180" s="129">
        <v>46129</v>
      </c>
      <c r="J180" s="133"/>
      <c r="K180" s="46" t="s">
        <v>2084</v>
      </c>
      <c r="L180" s="123">
        <f>VLOOKUP($C180&amp;$E180,'Updated SES'!A:N,14,0)</f>
        <v>127.11702000000001</v>
      </c>
      <c r="M180" s="124" t="e">
        <f>VLOOKUP($K180,'Genre Penetration'!A:B,2,0)*VLOOKUP($C180&amp;$E180,'Updated SES'!A:I,9,0)</f>
        <v>#N/A</v>
      </c>
      <c r="N180" s="124" t="e">
        <f>VLOOKUP(K:K,'Genre Penetration'!A:C,3,0)*VLOOKUP($C180&amp;$E180,'Updated SES'!A:J,10,0)</f>
        <v>#N/A</v>
      </c>
      <c r="O180" s="124">
        <f>VLOOKUP($B180,'Language Penetration'!$B$1:$BE$14,MATCH('Compile data Working'!$H183,'Language Penetration'!$B$1:$BE$1,0),0)</f>
        <v>0.2</v>
      </c>
      <c r="P180" s="124" t="str">
        <f ca="1">IF(ISBLANK(J180),RANDBETWEEN(1,2)&amp;"%",IF(J180=1,RANDBETWEEN(35,40)&amp;"%",IF(J180=2,RANDBETWEEN(30,35)&amp;"%",IF(J180=3,RANDBETWEEN(25,30)&amp;"%",IF(J180=4,RANDBETWEEN(20,25)&amp;"%",IF(J180=5,RANDBETWEEN(15,20)&amp;"%",IF(J180=6,RANDBETWEEN(10,15)&amp;"%",IF(J180=7,RANDBETWEEN(8,10)&amp;"%",IF(J180=8,RANDBETWEEN(6,8)&amp;"%",IF(J180=9,RANDBETWEEN(4,6)&amp;"%",IF(J180=10,RANDBETWEEN(2,4)&amp;"%","")))))))))))</f>
        <v>2%</v>
      </c>
      <c r="Q180" s="123" t="e">
        <f ca="1">IFERROR(L180*(M180+N180)*O180*P180,RANDBETWEEN(1,2)%*L180*(M180+N180)*O180)</f>
        <v>#N/A</v>
      </c>
      <c r="R180" s="125">
        <f>VLOOKUP(D:D,ranking!W:X,2,0)</f>
        <v>0.8</v>
      </c>
      <c r="S180" s="126" t="e">
        <f ca="1">R180*Q180</f>
        <v>#N/A</v>
      </c>
      <c r="T180" s="123">
        <v>0.88899328533091504</v>
      </c>
    </row>
    <row r="181" spans="1:20" x14ac:dyDescent="0.25">
      <c r="A181" s="98" t="s">
        <v>1057</v>
      </c>
      <c r="B181" s="98" t="s">
        <v>85</v>
      </c>
      <c r="C181" s="98" t="s">
        <v>406</v>
      </c>
      <c r="D181" s="46" t="s">
        <v>1012</v>
      </c>
      <c r="E181" s="98" t="s">
        <v>211</v>
      </c>
      <c r="F181" s="46" t="s">
        <v>215</v>
      </c>
      <c r="G181" s="130" t="s">
        <v>1864</v>
      </c>
      <c r="H181" s="119" t="s">
        <v>1922</v>
      </c>
      <c r="I181" s="136">
        <v>46080</v>
      </c>
      <c r="J181" s="131">
        <v>8</v>
      </c>
      <c r="K181" s="98" t="s">
        <v>69</v>
      </c>
      <c r="L181" s="123">
        <f>VLOOKUP($C181&amp;$E181,'Updated SES'!A:N,14,0)</f>
        <v>1.669</v>
      </c>
      <c r="M181" s="124">
        <f>VLOOKUP($K181,'Genre Penetration'!A:B,2,0)*VLOOKUP($C181&amp;$E181,'Updated SES'!A:I,9,0)</f>
        <v>0.42</v>
      </c>
      <c r="N181" s="124">
        <f>VLOOKUP(K:K,'Genre Penetration'!A:C,3,0)*VLOOKUP($C181&amp;$E181,'Updated SES'!A:J,10,0)</f>
        <v>0.12</v>
      </c>
      <c r="O181" s="124">
        <v>0.6</v>
      </c>
      <c r="P181" s="124" t="str">
        <f ca="1">IF(ISBLANK(J181),RANDBETWEEN(1,2)&amp;"%",IF(J181=1,RANDBETWEEN(35,40)&amp;"%",IF(J181=2,RANDBETWEEN(30,35)&amp;"%",IF(J181=3,RANDBETWEEN(25,30)&amp;"%",IF(J181=4,RANDBETWEEN(20,25)&amp;"%",IF(J181=5,RANDBETWEEN(15,20)&amp;"%",IF(J181=6,RANDBETWEEN(10,15)&amp;"%",IF(J181=7,RANDBETWEEN(8,10)&amp;"%",IF(J181=8,RANDBETWEEN(6,8)&amp;"%",IF(J181=9,RANDBETWEEN(4,6)&amp;"%",IF(J181=10,RANDBETWEEN(2,4)&amp;"%","")))))))))))</f>
        <v>7%</v>
      </c>
      <c r="Q181" s="123">
        <f ca="1">IFERROR(L181*(M181+N181)*O181*P181,RANDBETWEEN(1,2)%*L181*(M181+N181)*O181)</f>
        <v>3.7852920000000005E-2</v>
      </c>
      <c r="R181" s="125">
        <f>VLOOKUP(D:D,ranking!W:X,2,0)</f>
        <v>0.6</v>
      </c>
      <c r="S181" s="126">
        <f ca="1">R181*Q181</f>
        <v>2.2711752000000002E-2</v>
      </c>
      <c r="T181" s="123">
        <v>0.83139955457771508</v>
      </c>
    </row>
    <row r="182" spans="1:20" x14ac:dyDescent="0.25">
      <c r="A182" s="98" t="s">
        <v>1057</v>
      </c>
      <c r="B182" s="98" t="s">
        <v>85</v>
      </c>
      <c r="C182" s="46" t="s">
        <v>123</v>
      </c>
      <c r="D182" s="46" t="s">
        <v>1012</v>
      </c>
      <c r="E182" s="46" t="s">
        <v>211</v>
      </c>
      <c r="F182" s="46" t="s">
        <v>215</v>
      </c>
      <c r="G182" s="134" t="s">
        <v>1861</v>
      </c>
      <c r="H182" s="46" t="s">
        <v>20</v>
      </c>
      <c r="I182" s="129">
        <v>46134</v>
      </c>
      <c r="J182" s="133">
        <v>10</v>
      </c>
      <c r="K182" s="46" t="s">
        <v>154</v>
      </c>
      <c r="L182" s="123">
        <f>VLOOKUP($C182&amp;$E182,'Updated SES'!A:N,14,0)</f>
        <v>55.459200000000003</v>
      </c>
      <c r="M182" s="124">
        <f>VLOOKUP($K182,'Genre Penetration'!A:B,2,0)*VLOOKUP($C182&amp;$E182,'Updated SES'!A:I,9,0)</f>
        <v>0.14699999999999999</v>
      </c>
      <c r="N182" s="124">
        <f>VLOOKUP(K:K,'Genre Penetration'!A:C,3,0)*VLOOKUP($C182&amp;$E182,'Updated SES'!A:J,10,0)</f>
        <v>0.35699999999999998</v>
      </c>
      <c r="O182" s="124">
        <f>VLOOKUP($B182,'Language Penetration'!$B$1:$BE$14,MATCH('Compile data Working'!$H103,'Language Penetration'!$B$1:$BE$1,0),0)</f>
        <v>0.6</v>
      </c>
      <c r="P182" s="124" t="str">
        <f ca="1">IF(ISBLANK(J182),RANDBETWEEN(1,2)&amp;"%",IF(J182=1,RANDBETWEEN(35,40)&amp;"%",IF(J182=2,RANDBETWEEN(30,35)&amp;"%",IF(J182=3,RANDBETWEEN(25,30)&amp;"%",IF(J182=4,RANDBETWEEN(20,25)&amp;"%",IF(J182=5,RANDBETWEEN(15,20)&amp;"%",IF(J182=6,RANDBETWEEN(10,15)&amp;"%",IF(J182=7,RANDBETWEEN(8,10)&amp;"%",IF(J182=8,RANDBETWEEN(6,8)&amp;"%",IF(J182=9,RANDBETWEEN(4,6)&amp;"%",IF(J182=10,RANDBETWEEN(2,4)&amp;"%","")))))))))))</f>
        <v>4%</v>
      </c>
      <c r="Q182" s="123">
        <f ca="1">IFERROR(L182*(M182+N182)*O182*P182,RANDBETWEEN(1,2)%*L182*(M182+N182)*O182)</f>
        <v>0.67083448320000005</v>
      </c>
      <c r="R182" s="125">
        <f>VLOOKUP(D:D,ranking!W:X,2,0)</f>
        <v>0.6</v>
      </c>
      <c r="S182" s="126">
        <f ca="1">R182*Q182</f>
        <v>0.40250068992000004</v>
      </c>
      <c r="T182" s="123">
        <v>0.82802087222722554</v>
      </c>
    </row>
    <row r="183" spans="1:20" x14ac:dyDescent="0.25">
      <c r="A183" s="98" t="s">
        <v>1057</v>
      </c>
      <c r="B183" s="98" t="s">
        <v>85</v>
      </c>
      <c r="C183" s="46" t="s">
        <v>123</v>
      </c>
      <c r="D183" s="46" t="s">
        <v>1012</v>
      </c>
      <c r="E183" s="46" t="s">
        <v>211</v>
      </c>
      <c r="F183" s="46" t="s">
        <v>215</v>
      </c>
      <c r="G183" s="134" t="s">
        <v>1867</v>
      </c>
      <c r="H183" s="46" t="s">
        <v>20</v>
      </c>
      <c r="I183" s="129">
        <v>46150</v>
      </c>
      <c r="J183" s="133">
        <v>9</v>
      </c>
      <c r="K183" s="46" t="s">
        <v>186</v>
      </c>
      <c r="L183" s="123">
        <f>VLOOKUP($C183&amp;$E183,'Updated SES'!A:N,14,0)</f>
        <v>55.459200000000003</v>
      </c>
      <c r="M183" s="124">
        <f>VLOOKUP($K183,'Genre Penetration'!A:B,2,0)*VLOOKUP($C183&amp;$E183,'Updated SES'!A:I,9,0)</f>
        <v>0.2646</v>
      </c>
      <c r="N183" s="124">
        <f>VLOOKUP(K:K,'Genre Penetration'!A:C,3,0)*VLOOKUP($C183&amp;$E183,'Updated SES'!A:J,10,0)</f>
        <v>0.2346</v>
      </c>
      <c r="O183" s="124">
        <f>VLOOKUP($B183,'Language Penetration'!$B$1:$BE$14,MATCH('Compile data Working'!$H67,'Language Penetration'!$B$1:$BE$1,0),0)</f>
        <v>0.2</v>
      </c>
      <c r="P183" s="124" t="str">
        <f ca="1">IF(ISBLANK(J183),RANDBETWEEN(1,2)&amp;"%",IF(J183=1,RANDBETWEEN(35,40)&amp;"%",IF(J183=2,RANDBETWEEN(30,35)&amp;"%",IF(J183=3,RANDBETWEEN(25,30)&amp;"%",IF(J183=4,RANDBETWEEN(20,25)&amp;"%",IF(J183=5,RANDBETWEEN(15,20)&amp;"%",IF(J183=6,RANDBETWEEN(10,15)&amp;"%",IF(J183=7,RANDBETWEEN(8,10)&amp;"%",IF(J183=8,RANDBETWEEN(6,8)&amp;"%",IF(J183=9,RANDBETWEEN(4,6)&amp;"%",IF(J183=10,RANDBETWEEN(2,4)&amp;"%","")))))))))))</f>
        <v>6%</v>
      </c>
      <c r="Q183" s="123">
        <f ca="1">IFERROR(L183*(M183+N183)*O183*P183,RANDBETWEEN(1,2)%*L183*(M183+N183)*O183)</f>
        <v>0.33222279168000002</v>
      </c>
      <c r="R183" s="125">
        <f>VLOOKUP(D:D,ranking!W:X,2,0)</f>
        <v>0.6</v>
      </c>
      <c r="S183" s="126">
        <f ca="1">R183*Q183</f>
        <v>0.19933367500800001</v>
      </c>
      <c r="T183" s="123">
        <v>0.82715501781319678</v>
      </c>
    </row>
    <row r="184" spans="1:20" x14ac:dyDescent="0.25">
      <c r="A184" s="98" t="s">
        <v>1057</v>
      </c>
      <c r="B184" s="98" t="s">
        <v>85</v>
      </c>
      <c r="C184" s="98" t="s">
        <v>406</v>
      </c>
      <c r="D184" s="46" t="s">
        <v>1013</v>
      </c>
      <c r="E184" s="119" t="s">
        <v>211</v>
      </c>
      <c r="F184" s="46" t="s">
        <v>213</v>
      </c>
      <c r="G184" s="135" t="s">
        <v>578</v>
      </c>
      <c r="H184" s="119" t="s">
        <v>20</v>
      </c>
      <c r="I184" s="136">
        <v>44022</v>
      </c>
      <c r="J184" s="131">
        <v>5</v>
      </c>
      <c r="K184" s="119" t="s">
        <v>92</v>
      </c>
      <c r="L184" s="123">
        <f>VLOOKUP($C184&amp;$E184,'Updated SES'!A:N,14,0)</f>
        <v>1.669</v>
      </c>
      <c r="M184" s="124">
        <f>VLOOKUP($K184,'Genre Penetration'!A:B,2,0)*VLOOKUP($C184&amp;$E184,'Updated SES'!A:I,9,0)</f>
        <v>0.318</v>
      </c>
      <c r="N184" s="124">
        <f>VLOOKUP(K:K,'Genre Penetration'!A:C,3,0)*VLOOKUP($C184&amp;$E184,'Updated SES'!A:J,10,0)</f>
        <v>0.188</v>
      </c>
      <c r="O184" s="124" t="e">
        <f>VLOOKUP($B184,'Language Penetration'!$B$1:$BE$14,MATCH('Compile data Working'!#REF!,'Language Penetration'!$B$1:$BE$1,0),0)</f>
        <v>#REF!</v>
      </c>
      <c r="P184" s="124" t="str">
        <f ca="1">IF(ISBLANK(J184),RANDBETWEEN(1,2)&amp;"%",IF(J184=1,RANDBETWEEN(35,40)&amp;"%",IF(J184=2,RANDBETWEEN(30,35)&amp;"%",IF(J184=3,RANDBETWEEN(25,30)&amp;"%",IF(J184=4,RANDBETWEEN(20,25)&amp;"%",IF(J184=5,RANDBETWEEN(15,20)&amp;"%",IF(J184=6,RANDBETWEEN(10,15)&amp;"%",IF(J184=7,RANDBETWEEN(8,10)&amp;"%",IF(J184=8,RANDBETWEEN(6,8)&amp;"%",IF(J184=9,RANDBETWEEN(4,6)&amp;"%",IF(J184=10,RANDBETWEEN(2,4)&amp;"%","")))))))))))</f>
        <v>20%</v>
      </c>
      <c r="Q184" s="123" t="e">
        <f ca="1">IFERROR(L184*(M184+N184)*O184*P184,RANDBETWEEN(1,2)%*L184*(M184+N184)*O184)</f>
        <v>#REF!</v>
      </c>
      <c r="R184" s="125">
        <f>VLOOKUP(D:D,ranking!W:X,2,0)</f>
        <v>0.8</v>
      </c>
      <c r="S184" s="126" t="e">
        <f ca="1">R184*Q184</f>
        <v>#REF!</v>
      </c>
      <c r="T184" s="123">
        <v>0.81760377013222596</v>
      </c>
    </row>
    <row r="185" spans="1:20" x14ac:dyDescent="0.25">
      <c r="A185" s="98" t="s">
        <v>1057</v>
      </c>
      <c r="B185" s="98" t="s">
        <v>85</v>
      </c>
      <c r="C185" s="46" t="s">
        <v>1229</v>
      </c>
      <c r="D185" s="46" t="s">
        <v>1866</v>
      </c>
      <c r="E185" s="46" t="s">
        <v>219</v>
      </c>
      <c r="F185" s="46" t="s">
        <v>215</v>
      </c>
      <c r="G185" s="134" t="s">
        <v>1885</v>
      </c>
      <c r="H185" s="46" t="s">
        <v>19</v>
      </c>
      <c r="I185" s="129">
        <v>46092</v>
      </c>
      <c r="J185" s="133">
        <v>7</v>
      </c>
      <c r="K185" s="46" t="s">
        <v>173</v>
      </c>
      <c r="L185" s="123">
        <f>VLOOKUP($C185&amp;$E185,'Updated SES'!A:N,14,0)</f>
        <v>78.939870000000013</v>
      </c>
      <c r="M185" s="124">
        <f>VLOOKUP($K185,'Genre Penetration'!A:B,2,0)*VLOOKUP($C185&amp;$E185,'Updated SES'!A:I,9,0)</f>
        <v>0.44000000000000006</v>
      </c>
      <c r="N185" s="124">
        <f>VLOOKUP(K:K,'Genre Penetration'!A:C,3,0)*VLOOKUP($C185&amp;$E185,'Updated SES'!A:J,10,0)</f>
        <v>9.0000000000000011E-2</v>
      </c>
      <c r="O185" s="124" t="e">
        <f>VLOOKUP($B185,'Language Penetration'!$B$1:$BE$14,MATCH('Compile data Working'!#REF!,'Language Penetration'!$B$1:$BE$1,0),0)</f>
        <v>#REF!</v>
      </c>
      <c r="P185" s="124" t="str">
        <f ca="1">IF(ISBLANK(J185),RANDBETWEEN(1,2)&amp;"%",IF(J185=1,RANDBETWEEN(35,40)&amp;"%",IF(J185=2,RANDBETWEEN(30,35)&amp;"%",IF(J185=3,RANDBETWEEN(25,30)&amp;"%",IF(J185=4,RANDBETWEEN(20,25)&amp;"%",IF(J185=5,RANDBETWEEN(15,20)&amp;"%",IF(J185=6,RANDBETWEEN(10,15)&amp;"%",IF(J185=7,RANDBETWEEN(8,10)&amp;"%",IF(J185=8,RANDBETWEEN(6,8)&amp;"%",IF(J185=9,RANDBETWEEN(4,6)&amp;"%",IF(J185=10,RANDBETWEEN(2,4)&amp;"%","")))))))))))</f>
        <v>8%</v>
      </c>
      <c r="Q185" s="123" t="e">
        <f ca="1">IFERROR(L185*(M185+N185)*O185*P185,RANDBETWEEN(1,2)%*L185*(M185+N185)*O185)</f>
        <v>#REF!</v>
      </c>
      <c r="R185" s="125">
        <f>VLOOKUP(D:D,ranking!W:X,2,0)</f>
        <v>0.6</v>
      </c>
      <c r="S185" s="126" t="e">
        <f ca="1">R185*Q185</f>
        <v>#REF!</v>
      </c>
      <c r="T185" s="123">
        <v>0.80825411627215604</v>
      </c>
    </row>
    <row r="186" spans="1:20" x14ac:dyDescent="0.25">
      <c r="A186" s="98" t="s">
        <v>2002</v>
      </c>
      <c r="B186" s="98" t="s">
        <v>85</v>
      </c>
      <c r="C186" s="46" t="s">
        <v>64</v>
      </c>
      <c r="D186" s="98" t="s">
        <v>434</v>
      </c>
      <c r="E186" s="46" t="s">
        <v>211</v>
      </c>
      <c r="F186" s="46" t="s">
        <v>213</v>
      </c>
      <c r="G186" s="134" t="s">
        <v>1985</v>
      </c>
      <c r="H186" s="46" t="s">
        <v>22</v>
      </c>
      <c r="I186" s="129">
        <v>46164</v>
      </c>
      <c r="J186" s="132"/>
      <c r="K186" s="46" t="s">
        <v>216</v>
      </c>
      <c r="L186" s="123">
        <f>VLOOKUP($C186&amp;$E186,'Updated SES'!A:N,14,0)</f>
        <v>36.498239999999996</v>
      </c>
      <c r="M186" s="124">
        <f>VLOOKUP($K186,'Genre Penetration'!A:B,2,0)*VLOOKUP($C186&amp;$E186,'Updated SES'!A:I,9,0)</f>
        <v>0.26</v>
      </c>
      <c r="N186" s="124">
        <f>VLOOKUP(K:K,'Genre Penetration'!A:C,3,0)*VLOOKUP($C186&amp;$E186,'Updated SES'!A:J,10,0)</f>
        <v>0.24</v>
      </c>
      <c r="O186" s="124">
        <f>VLOOKUP($B186,'Language Penetration'!$B$1:$BE$14,MATCH('Compile data Working'!$H184,'Language Penetration'!$B$1:$BE$1,0),0)</f>
        <v>0.2</v>
      </c>
      <c r="P186" s="124" t="str">
        <f ca="1">IF(ISBLANK(J186),RANDBETWEEN(1,2)&amp;"%",IF(J186=1,RANDBETWEEN(35,40)&amp;"%",IF(J186=2,RANDBETWEEN(30,35)&amp;"%",IF(J186=3,RANDBETWEEN(25,30)&amp;"%",IF(J186=4,RANDBETWEEN(20,25)&amp;"%",IF(J186=5,RANDBETWEEN(15,20)&amp;"%",IF(J186=6,RANDBETWEEN(10,15)&amp;"%",IF(J186=7,RANDBETWEEN(8,10)&amp;"%",IF(J186=8,RANDBETWEEN(6,8)&amp;"%",IF(J186=9,RANDBETWEEN(4,6)&amp;"%",IF(J186=10,RANDBETWEEN(2,4)&amp;"%","")))))))))))</f>
        <v>1%</v>
      </c>
      <c r="Q186" s="123">
        <f ca="1">IFERROR(L186*(M186+N186)*O186*P186,RANDBETWEEN(1,2)%*L186*(M186+N186)*O186)</f>
        <v>3.6498240000000001E-2</v>
      </c>
      <c r="R186" s="125">
        <f>VLOOKUP(D:D,ranking!W:X,2,0)</f>
        <v>0.7</v>
      </c>
      <c r="S186" s="126">
        <f ca="1">R186*Q186</f>
        <v>2.5548767999999999E-2</v>
      </c>
      <c r="T186" s="123">
        <v>0.79692698606541934</v>
      </c>
    </row>
    <row r="187" spans="1:20" x14ac:dyDescent="0.25">
      <c r="A187" s="98" t="s">
        <v>1057</v>
      </c>
      <c r="B187" s="98" t="s">
        <v>85</v>
      </c>
      <c r="C187" s="98" t="s">
        <v>406</v>
      </c>
      <c r="D187" s="46" t="s">
        <v>1012</v>
      </c>
      <c r="E187" s="98" t="s">
        <v>211</v>
      </c>
      <c r="F187" s="46" t="s">
        <v>215</v>
      </c>
      <c r="G187" s="120" t="s">
        <v>1809</v>
      </c>
      <c r="H187" s="119" t="s">
        <v>20</v>
      </c>
      <c r="I187" s="136">
        <v>46115</v>
      </c>
      <c r="J187" s="131">
        <v>1</v>
      </c>
      <c r="K187" s="120" t="s">
        <v>170</v>
      </c>
      <c r="L187" s="123">
        <f>VLOOKUP($C187&amp;$E187,'Updated SES'!A:N,14,0)</f>
        <v>1.669</v>
      </c>
      <c r="M187" s="124">
        <f>VLOOKUP($K187,'Genre Penetration'!A:B,2,0)*VLOOKUP($C187&amp;$E187,'Updated SES'!A:I,9,0)</f>
        <v>0.34799999999999998</v>
      </c>
      <c r="N187" s="124">
        <f>VLOOKUP(K:K,'Genre Penetration'!A:C,3,0)*VLOOKUP($C187&amp;$E187,'Updated SES'!A:J,10,0)</f>
        <v>0.16800000000000001</v>
      </c>
      <c r="O187" s="124">
        <f>VLOOKUP($B187,'Language Penetration'!$B$1:$BE$14,MATCH('Compile data Working'!$H104,'Language Penetration'!$B$1:$BE$1,0),0)</f>
        <v>0.6</v>
      </c>
      <c r="P187" s="124" t="str">
        <f ca="1">IF(ISBLANK(J187),RANDBETWEEN(1,2)&amp;"%",IF(J187=1,RANDBETWEEN(35,40)&amp;"%",IF(J187=2,RANDBETWEEN(30,35)&amp;"%",IF(J187=3,RANDBETWEEN(25,30)&amp;"%",IF(J187=4,RANDBETWEEN(20,25)&amp;"%",IF(J187=5,RANDBETWEEN(15,20)&amp;"%",IF(J187=6,RANDBETWEEN(10,15)&amp;"%",IF(J187=7,RANDBETWEEN(8,10)&amp;"%",IF(J187=8,RANDBETWEEN(6,8)&amp;"%",IF(J187=9,RANDBETWEEN(4,6)&amp;"%",IF(J187=10,RANDBETWEEN(2,4)&amp;"%","")))))))))))</f>
        <v>40%</v>
      </c>
      <c r="Q187" s="123">
        <f ca="1">IFERROR(L187*(M187+N187)*O187*P187,RANDBETWEEN(1,2)%*L187*(M187+N187)*O187)</f>
        <v>0.20668896000000003</v>
      </c>
      <c r="R187" s="125">
        <f>VLOOKUP(D:D,ranking!W:X,2,0)</f>
        <v>0.6</v>
      </c>
      <c r="S187" s="126">
        <f ca="1">R187*Q187</f>
        <v>0.12401337600000001</v>
      </c>
      <c r="T187" s="123">
        <v>0.79602767716031997</v>
      </c>
    </row>
    <row r="188" spans="1:20" x14ac:dyDescent="0.25">
      <c r="A188" s="98" t="s">
        <v>1781</v>
      </c>
      <c r="B188" s="98" t="s">
        <v>85</v>
      </c>
      <c r="C188" s="46" t="s">
        <v>150</v>
      </c>
      <c r="D188" s="98" t="s">
        <v>456</v>
      </c>
      <c r="E188" s="98" t="s">
        <v>219</v>
      </c>
      <c r="F188" s="46" t="s">
        <v>2011</v>
      </c>
      <c r="G188" s="134" t="s">
        <v>1812</v>
      </c>
      <c r="H188" s="46" t="s">
        <v>29</v>
      </c>
      <c r="I188" s="129">
        <v>46097</v>
      </c>
      <c r="J188" s="133"/>
      <c r="K188" s="46" t="s">
        <v>2080</v>
      </c>
      <c r="L188" s="123">
        <f>VLOOKUP($C188&amp;$E188,'Updated SES'!A:N,14,0)</f>
        <v>24.425800000000002</v>
      </c>
      <c r="M188" s="124" t="e">
        <f>VLOOKUP($K188,'Genre Penetration'!A:B,2,0)*VLOOKUP($C188&amp;$E188,'Updated SES'!A:I,9,0)</f>
        <v>#N/A</v>
      </c>
      <c r="N188" s="124" t="e">
        <f>VLOOKUP(K:K,'Genre Penetration'!A:C,3,0)*VLOOKUP($C188&amp;$E188,'Updated SES'!A:J,10,0)</f>
        <v>#N/A</v>
      </c>
      <c r="O188" s="124">
        <f>VLOOKUP($B188,'Language Penetration'!$B$1:$BE$14,MATCH('Compile data Working'!$H157,'Language Penetration'!$B$1:$BE$1,0),0)</f>
        <v>0.6</v>
      </c>
      <c r="P188" s="124" t="str">
        <f ca="1">IF(ISBLANK(J188),RANDBETWEEN(1,2)&amp;"%",IF(J188=1,RANDBETWEEN(35,40)&amp;"%",IF(J188=2,RANDBETWEEN(30,35)&amp;"%",IF(J188=3,RANDBETWEEN(25,30)&amp;"%",IF(J188=4,RANDBETWEEN(20,25)&amp;"%",IF(J188=5,RANDBETWEEN(15,20)&amp;"%",IF(J188=6,RANDBETWEEN(10,15)&amp;"%",IF(J188=7,RANDBETWEEN(8,10)&amp;"%",IF(J188=8,RANDBETWEEN(6,8)&amp;"%",IF(J188=9,RANDBETWEEN(4,6)&amp;"%",IF(J188=10,RANDBETWEEN(2,4)&amp;"%","")))))))))))</f>
        <v>1%</v>
      </c>
      <c r="Q188" s="123" t="e">
        <f ca="1">IFERROR(L188*(M188+N188)*O188*P188,RANDBETWEEN(1,2)%*L188*(M188+N188)*O188)</f>
        <v>#N/A</v>
      </c>
      <c r="R188" s="125">
        <f>VLOOKUP(D:D,ranking!W:X,2,0)</f>
        <v>0.3</v>
      </c>
      <c r="S188" s="126" t="e">
        <f ca="1">R188*Q188</f>
        <v>#N/A</v>
      </c>
      <c r="T188" s="123">
        <v>0.78752732062752007</v>
      </c>
    </row>
    <row r="189" spans="1:20" x14ac:dyDescent="0.25">
      <c r="A189" s="98" t="s">
        <v>1057</v>
      </c>
      <c r="B189" s="98" t="s">
        <v>85</v>
      </c>
      <c r="C189" s="46" t="s">
        <v>1229</v>
      </c>
      <c r="D189" s="46" t="s">
        <v>1866</v>
      </c>
      <c r="E189" s="46" t="s">
        <v>219</v>
      </c>
      <c r="F189" s="46" t="s">
        <v>215</v>
      </c>
      <c r="G189" s="144" t="s">
        <v>1888</v>
      </c>
      <c r="H189" s="46" t="s">
        <v>19</v>
      </c>
      <c r="I189" s="129">
        <v>45994</v>
      </c>
      <c r="J189" s="133">
        <v>10</v>
      </c>
      <c r="K189" s="46" t="s">
        <v>138</v>
      </c>
      <c r="L189" s="123">
        <f>VLOOKUP($C189&amp;$E189,'Updated SES'!A:N,14,0)</f>
        <v>78.939870000000013</v>
      </c>
      <c r="M189" s="124">
        <f>VLOOKUP($K189,'Genre Penetration'!A:B,2,0)*VLOOKUP($C189&amp;$E189,'Updated SES'!A:I,9,0)</f>
        <v>0.376</v>
      </c>
      <c r="N189" s="124">
        <f>VLOOKUP(K:K,'Genre Penetration'!A:C,3,0)*VLOOKUP($C189&amp;$E189,'Updated SES'!A:J,10,0)</f>
        <v>0.10600000000000001</v>
      </c>
      <c r="O189" s="124">
        <f>VLOOKUP($B189,'Language Penetration'!$B$1:$BE$14,MATCH('Compile data Working'!$H166,'Language Penetration'!$B$1:$BE$1,0),0)</f>
        <v>0.12</v>
      </c>
      <c r="P189" s="124" t="str">
        <f ca="1">IF(ISBLANK(J189),RANDBETWEEN(1,2)&amp;"%",IF(J189=1,RANDBETWEEN(35,40)&amp;"%",IF(J189=2,RANDBETWEEN(30,35)&amp;"%",IF(J189=3,RANDBETWEEN(25,30)&amp;"%",IF(J189=4,RANDBETWEEN(20,25)&amp;"%",IF(J189=5,RANDBETWEEN(15,20)&amp;"%",IF(J189=6,RANDBETWEEN(10,15)&amp;"%",IF(J189=7,RANDBETWEEN(8,10)&amp;"%",IF(J189=8,RANDBETWEEN(6,8)&amp;"%",IF(J189=9,RANDBETWEEN(4,6)&amp;"%",IF(J189=10,RANDBETWEEN(2,4)&amp;"%","")))))))))))</f>
        <v>2%</v>
      </c>
      <c r="Q189" s="123">
        <f ca="1">IFERROR(L189*(M189+N189)*O189*P189,RANDBETWEEN(1,2)%*L189*(M189+N189)*O189)</f>
        <v>9.131764161600002E-2</v>
      </c>
      <c r="R189" s="125">
        <f>VLOOKUP(D:D,ranking!W:X,2,0)</f>
        <v>0.6</v>
      </c>
      <c r="S189" s="126">
        <f ca="1">R189*Q189</f>
        <v>5.4790584969600008E-2</v>
      </c>
      <c r="T189" s="123">
        <v>0.78580733349793053</v>
      </c>
    </row>
    <row r="190" spans="1:20" x14ac:dyDescent="0.25">
      <c r="A190" s="98" t="s">
        <v>1057</v>
      </c>
      <c r="B190" s="98" t="s">
        <v>85</v>
      </c>
      <c r="C190" s="98" t="s">
        <v>406</v>
      </c>
      <c r="D190" s="46" t="s">
        <v>1012</v>
      </c>
      <c r="E190" s="98" t="s">
        <v>211</v>
      </c>
      <c r="F190" s="46" t="s">
        <v>215</v>
      </c>
      <c r="G190" s="135" t="s">
        <v>1850</v>
      </c>
      <c r="H190" s="119" t="s">
        <v>20</v>
      </c>
      <c r="I190" s="136">
        <v>46127</v>
      </c>
      <c r="J190" s="131">
        <v>2</v>
      </c>
      <c r="K190" s="98" t="s">
        <v>138</v>
      </c>
      <c r="L190" s="123">
        <f>VLOOKUP($C190&amp;$E190,'Updated SES'!A:N,14,0)</f>
        <v>1.669</v>
      </c>
      <c r="M190" s="124">
        <f>VLOOKUP($K190,'Genre Penetration'!A:B,2,0)*VLOOKUP($C190&amp;$E190,'Updated SES'!A:I,9,0)</f>
        <v>0.28199999999999997</v>
      </c>
      <c r="N190" s="124">
        <f>VLOOKUP(K:K,'Genre Penetration'!A:C,3,0)*VLOOKUP($C190&amp;$E190,'Updated SES'!A:J,10,0)</f>
        <v>0.21200000000000002</v>
      </c>
      <c r="O190" s="124">
        <f>VLOOKUP($B190,'Language Penetration'!$B$1:$BE$14,MATCH('Compile data Working'!$H192,'Language Penetration'!$B$1:$BE$1,0),0)</f>
        <v>0.6</v>
      </c>
      <c r="P190" s="124" t="str">
        <f ca="1">IF(ISBLANK(J190),RANDBETWEEN(1,2)&amp;"%",IF(J190=1,RANDBETWEEN(35,40)&amp;"%",IF(J190=2,RANDBETWEEN(30,35)&amp;"%",IF(J190=3,RANDBETWEEN(25,30)&amp;"%",IF(J190=4,RANDBETWEEN(20,25)&amp;"%",IF(J190=5,RANDBETWEEN(15,20)&amp;"%",IF(J190=6,RANDBETWEEN(10,15)&amp;"%",IF(J190=7,RANDBETWEEN(8,10)&amp;"%",IF(J190=8,RANDBETWEEN(6,8)&amp;"%",IF(J190=9,RANDBETWEEN(4,6)&amp;"%",IF(J190=10,RANDBETWEEN(2,4)&amp;"%","")))))))))))</f>
        <v>31%</v>
      </c>
      <c r="Q190" s="123">
        <f ca="1">IFERROR(L190*(M190+N190)*O190*P190,RANDBETWEEN(1,2)%*L190*(M190+N190)*O190)</f>
        <v>0.153354396</v>
      </c>
      <c r="R190" s="125">
        <f>VLOOKUP(D:D,ranking!W:X,2,0)</f>
        <v>0.6</v>
      </c>
      <c r="S190" s="126">
        <f ca="1">R190*Q190</f>
        <v>9.2012637600000002E-2</v>
      </c>
      <c r="T190" s="123">
        <v>0.78388457027424174</v>
      </c>
    </row>
    <row r="191" spans="1:20" x14ac:dyDescent="0.25">
      <c r="A191" s="98" t="s">
        <v>1781</v>
      </c>
      <c r="B191" s="98" t="s">
        <v>85</v>
      </c>
      <c r="C191" s="46" t="s">
        <v>123</v>
      </c>
      <c r="D191" s="46" t="s">
        <v>1013</v>
      </c>
      <c r="E191" s="119" t="s">
        <v>211</v>
      </c>
      <c r="F191" s="46" t="s">
        <v>213</v>
      </c>
      <c r="G191" s="134" t="s">
        <v>2025</v>
      </c>
      <c r="H191" s="46" t="s">
        <v>19</v>
      </c>
      <c r="I191" s="129">
        <v>45408</v>
      </c>
      <c r="J191" s="132"/>
      <c r="K191" s="46" t="s">
        <v>962</v>
      </c>
      <c r="L191" s="123">
        <f>VLOOKUP($C191&amp;$E191,'Updated SES'!A:N,14,0)</f>
        <v>55.459200000000003</v>
      </c>
      <c r="M191" s="124">
        <f>VLOOKUP($K191,'Genre Penetration'!A:B,2,0)*VLOOKUP($C191&amp;$E191,'Updated SES'!A:I,9,0)</f>
        <v>0.26950000000000002</v>
      </c>
      <c r="N191" s="124">
        <f>VLOOKUP(K:K,'Genre Penetration'!A:C,3,0)*VLOOKUP($C191&amp;$E191,'Updated SES'!A:J,10,0)</f>
        <v>0.22950000000000001</v>
      </c>
      <c r="O191" s="124" t="e">
        <f>VLOOKUP($B191,'Language Penetration'!$B$1:$BE$14,MATCH('Compile data Working'!#REF!,'Language Penetration'!$B$1:$BE$1,0),0)</f>
        <v>#REF!</v>
      </c>
      <c r="P191" s="124" t="str">
        <f ca="1">IF(ISBLANK(J191),RANDBETWEEN(1,2)&amp;"%",IF(J191=1,RANDBETWEEN(35,40)&amp;"%",IF(J191=2,RANDBETWEEN(30,35)&amp;"%",IF(J191=3,RANDBETWEEN(25,30)&amp;"%",IF(J191=4,RANDBETWEEN(20,25)&amp;"%",IF(J191=5,RANDBETWEEN(15,20)&amp;"%",IF(J191=6,RANDBETWEEN(10,15)&amp;"%",IF(J191=7,RANDBETWEEN(8,10)&amp;"%",IF(J191=8,RANDBETWEEN(6,8)&amp;"%",IF(J191=9,RANDBETWEEN(4,6)&amp;"%",IF(J191=10,RANDBETWEEN(2,4)&amp;"%","")))))))))))</f>
        <v>2%</v>
      </c>
      <c r="Q191" s="123" t="e">
        <f ca="1">IFERROR(L191*(M191+N191)*O191*P191,RANDBETWEEN(1,2)%*L191*(M191+N191)*O191)</f>
        <v>#REF!</v>
      </c>
      <c r="R191" s="125">
        <f>VLOOKUP(D:D,ranking!W:X,2,0)</f>
        <v>0.8</v>
      </c>
      <c r="S191" s="126" t="e">
        <f ca="1">R191*Q191</f>
        <v>#REF!</v>
      </c>
      <c r="T191" s="123">
        <v>0.78136068660756486</v>
      </c>
    </row>
    <row r="192" spans="1:20" x14ac:dyDescent="0.25">
      <c r="A192" s="98" t="s">
        <v>1781</v>
      </c>
      <c r="B192" s="98" t="s">
        <v>85</v>
      </c>
      <c r="C192" s="46" t="s">
        <v>123</v>
      </c>
      <c r="D192" s="46" t="s">
        <v>1013</v>
      </c>
      <c r="E192" s="119" t="s">
        <v>211</v>
      </c>
      <c r="F192" s="46" t="s">
        <v>213</v>
      </c>
      <c r="G192" s="134" t="s">
        <v>1934</v>
      </c>
      <c r="H192" s="46" t="s">
        <v>19</v>
      </c>
      <c r="I192" s="129">
        <v>46108</v>
      </c>
      <c r="J192" s="131"/>
      <c r="K192" s="46" t="s">
        <v>1076</v>
      </c>
      <c r="L192" s="123">
        <f>VLOOKUP($C192&amp;$E192,'Updated SES'!A:N,14,0)</f>
        <v>55.459200000000003</v>
      </c>
      <c r="M192" s="124">
        <f>VLOOKUP($K192,'Genre Penetration'!A:B,2,0)*VLOOKUP($C192&amp;$E192,'Updated SES'!A:I,9,0)</f>
        <v>0.26950000000000002</v>
      </c>
      <c r="N192" s="124">
        <f>VLOOKUP(K:K,'Genre Penetration'!A:C,3,0)*VLOOKUP($C192&amp;$E192,'Updated SES'!A:J,10,0)</f>
        <v>0.22950000000000001</v>
      </c>
      <c r="O192" s="124">
        <f>VLOOKUP($B192,'Language Penetration'!$B$1:$BE$14,MATCH('Compile data Working'!$H114,'Language Penetration'!$B$1:$BE$1,0),0)</f>
        <v>0.1</v>
      </c>
      <c r="P192" s="124" t="str">
        <f ca="1">IF(ISBLANK(J192),RANDBETWEEN(1,2)&amp;"%",IF(J192=1,RANDBETWEEN(35,40)&amp;"%",IF(J192=2,RANDBETWEEN(30,35)&amp;"%",IF(J192=3,RANDBETWEEN(25,30)&amp;"%",IF(J192=4,RANDBETWEEN(20,25)&amp;"%",IF(J192=5,RANDBETWEEN(15,20)&amp;"%",IF(J192=6,RANDBETWEEN(10,15)&amp;"%",IF(J192=7,RANDBETWEEN(8,10)&amp;"%",IF(J192=8,RANDBETWEEN(6,8)&amp;"%",IF(J192=9,RANDBETWEEN(4,6)&amp;"%",IF(J192=10,RANDBETWEEN(2,4)&amp;"%","")))))))))))</f>
        <v>2%</v>
      </c>
      <c r="Q192" s="123">
        <f ca="1">IFERROR(L192*(M192+N192)*O192*P192,RANDBETWEEN(1,2)%*L192*(M192+N192)*O192)</f>
        <v>5.53482816E-2</v>
      </c>
      <c r="R192" s="125">
        <f>VLOOKUP(D:D,ranking!W:X,2,0)</f>
        <v>0.8</v>
      </c>
      <c r="S192" s="126">
        <f ca="1">R192*Q192</f>
        <v>4.4278625280000004E-2</v>
      </c>
      <c r="T192" s="123">
        <v>0.76114060303075703</v>
      </c>
    </row>
    <row r="193" spans="1:20" x14ac:dyDescent="0.25">
      <c r="A193" s="98" t="s">
        <v>1057</v>
      </c>
      <c r="B193" s="98" t="s">
        <v>85</v>
      </c>
      <c r="C193" s="98" t="s">
        <v>150</v>
      </c>
      <c r="D193" s="98" t="s">
        <v>434</v>
      </c>
      <c r="E193" s="98" t="s">
        <v>211</v>
      </c>
      <c r="F193" s="46" t="s">
        <v>213</v>
      </c>
      <c r="G193" s="130" t="s">
        <v>1912</v>
      </c>
      <c r="H193" s="98" t="s">
        <v>1058</v>
      </c>
      <c r="I193" s="136">
        <v>46143</v>
      </c>
      <c r="J193" s="131">
        <v>2</v>
      </c>
      <c r="K193" s="98" t="s">
        <v>170</v>
      </c>
      <c r="L193" s="123">
        <f>VLOOKUP($C193&amp;$E193,'Updated SES'!A:N,14,0)</f>
        <v>60.152000000000001</v>
      </c>
      <c r="M193" s="124">
        <f>VLOOKUP($K193,'Genre Penetration'!A:B,2,0)*VLOOKUP($C193&amp;$E193,'Updated SES'!A:I,9,0)</f>
        <v>0.377</v>
      </c>
      <c r="N193" s="124">
        <f>VLOOKUP(K:K,'Genre Penetration'!A:C,3,0)*VLOOKUP($C193&amp;$E193,'Updated SES'!A:J,10,0)</f>
        <v>0.14699999999999999</v>
      </c>
      <c r="O193" s="124" t="e">
        <f>VLOOKUP($B193,'Language Penetration'!$B$1:$BE$14,MATCH('Compile data Working'!$H204,'Language Penetration'!$B$1:$BE$1,0),0)</f>
        <v>#N/A</v>
      </c>
      <c r="P193" s="124" t="str">
        <f ca="1">IF(ISBLANK(J193),RANDBETWEEN(1,2)&amp;"%",IF(J193=1,RANDBETWEEN(35,40)&amp;"%",IF(J193=2,RANDBETWEEN(30,35)&amp;"%",IF(J193=3,RANDBETWEEN(25,30)&amp;"%",IF(J193=4,RANDBETWEEN(20,25)&amp;"%",IF(J193=5,RANDBETWEEN(15,20)&amp;"%",IF(J193=6,RANDBETWEEN(10,15)&amp;"%",IF(J193=7,RANDBETWEEN(8,10)&amp;"%",IF(J193=8,RANDBETWEEN(6,8)&amp;"%",IF(J193=9,RANDBETWEEN(4,6)&amp;"%",IF(J193=10,RANDBETWEEN(2,4)&amp;"%","")))))))))))</f>
        <v>32%</v>
      </c>
      <c r="Q193" s="123" t="e">
        <f ca="1">IFERROR(L193*(M193+N193)*O193*P193,RANDBETWEEN(1,2)%*L193*(M193+N193)*O193)</f>
        <v>#N/A</v>
      </c>
      <c r="R193" s="125">
        <f>VLOOKUP(D:D,ranking!W:X,2,0)</f>
        <v>0.7</v>
      </c>
      <c r="S193" s="126" t="e">
        <f ca="1">R193*Q193</f>
        <v>#N/A</v>
      </c>
      <c r="T193" s="123">
        <v>0.75747164377167353</v>
      </c>
    </row>
    <row r="194" spans="1:20" x14ac:dyDescent="0.25">
      <c r="A194" s="98" t="s">
        <v>1781</v>
      </c>
      <c r="B194" s="98" t="s">
        <v>85</v>
      </c>
      <c r="C194" s="46" t="s">
        <v>906</v>
      </c>
      <c r="D194" s="98" t="s">
        <v>456</v>
      </c>
      <c r="E194" s="98" t="s">
        <v>211</v>
      </c>
      <c r="F194" s="46" t="s">
        <v>2011</v>
      </c>
      <c r="G194" s="134" t="s">
        <v>2018</v>
      </c>
      <c r="H194" s="46" t="s">
        <v>2062</v>
      </c>
      <c r="I194" s="129">
        <v>45313</v>
      </c>
      <c r="J194" s="131"/>
      <c r="K194" s="46" t="s">
        <v>950</v>
      </c>
      <c r="L194" s="123">
        <f>VLOOKUP($C194&amp;$E194,'Updated SES'!A:N,14,0)</f>
        <v>127.11702000000001</v>
      </c>
      <c r="M194" s="124" t="e">
        <f>VLOOKUP($K194,'Genre Penetration'!A:B,2,0)*VLOOKUP($C194&amp;$E194,'Updated SES'!A:I,9,0)</f>
        <v>#N/A</v>
      </c>
      <c r="N194" s="124" t="e">
        <f>VLOOKUP(K:K,'Genre Penetration'!A:C,3,0)*VLOOKUP($C194&amp;$E194,'Updated SES'!A:J,10,0)</f>
        <v>#N/A</v>
      </c>
      <c r="O194" s="124">
        <f>VLOOKUP($B194,'Language Penetration'!$B$1:$BE$14,MATCH('Compile data Working'!$H78,'Language Penetration'!$B$1:$BE$1,0),0)</f>
        <v>0.6</v>
      </c>
      <c r="P194" s="124" t="str">
        <f ca="1">IF(ISBLANK(J194),RANDBETWEEN(1,2)&amp;"%",IF(J194=1,RANDBETWEEN(35,40)&amp;"%",IF(J194=2,RANDBETWEEN(30,35)&amp;"%",IF(J194=3,RANDBETWEEN(25,30)&amp;"%",IF(J194=4,RANDBETWEEN(20,25)&amp;"%",IF(J194=5,RANDBETWEEN(15,20)&amp;"%",IF(J194=6,RANDBETWEEN(10,15)&amp;"%",IF(J194=7,RANDBETWEEN(8,10)&amp;"%",IF(J194=8,RANDBETWEEN(6,8)&amp;"%",IF(J194=9,RANDBETWEEN(4,6)&amp;"%",IF(J194=10,RANDBETWEEN(2,4)&amp;"%","")))))))))))</f>
        <v>1%</v>
      </c>
      <c r="Q194" s="123" t="e">
        <f ca="1">IFERROR(L194*(M194+N194)*O194*P194,RANDBETWEEN(1,2)%*L194*(M194+N194)*O194)</f>
        <v>#N/A</v>
      </c>
      <c r="R194" s="125">
        <f>VLOOKUP(D:D,ranking!W:X,2,0)</f>
        <v>0.3</v>
      </c>
      <c r="S194" s="126" t="e">
        <f ca="1">R194*Q194</f>
        <v>#N/A</v>
      </c>
      <c r="T194" s="123">
        <v>0.73283094578611185</v>
      </c>
    </row>
    <row r="195" spans="1:20" x14ac:dyDescent="0.25">
      <c r="A195" s="98" t="s">
        <v>1781</v>
      </c>
      <c r="B195" s="98" t="s">
        <v>85</v>
      </c>
      <c r="C195" s="46" t="s">
        <v>906</v>
      </c>
      <c r="D195" s="98" t="s">
        <v>456</v>
      </c>
      <c r="E195" s="98" t="s">
        <v>211</v>
      </c>
      <c r="F195" s="46" t="s">
        <v>2011</v>
      </c>
      <c r="G195" s="134" t="s">
        <v>2030</v>
      </c>
      <c r="H195" s="46" t="s">
        <v>29</v>
      </c>
      <c r="I195" s="129">
        <v>46027</v>
      </c>
      <c r="J195" s="133"/>
      <c r="K195" s="46" t="s">
        <v>1083</v>
      </c>
      <c r="L195" s="123">
        <f>VLOOKUP($C195&amp;$E195,'Updated SES'!A:N,14,0)</f>
        <v>127.11702000000001</v>
      </c>
      <c r="M195" s="124">
        <f>VLOOKUP($K195,'Genre Penetration'!A:B,2,0)*VLOOKUP($C195&amp;$E195,'Updated SES'!A:I,9,0)</f>
        <v>0.33499999999999996</v>
      </c>
      <c r="N195" s="124">
        <f>VLOOKUP(K:K,'Genre Penetration'!A:C,3,0)*VLOOKUP($C195&amp;$E195,'Updated SES'!A:J,10,0)</f>
        <v>0.16499999999999998</v>
      </c>
      <c r="O195" s="124">
        <f>VLOOKUP($B195,'Language Penetration'!$B$1:$BE$14,MATCH('Compile data Working'!$H117,'Language Penetration'!$B$1:$BE$1,0),0)</f>
        <v>0.6</v>
      </c>
      <c r="P195" s="124" t="str">
        <f ca="1">IF(ISBLANK(J195),RANDBETWEEN(1,2)&amp;"%",IF(J195=1,RANDBETWEEN(35,40)&amp;"%",IF(J195=2,RANDBETWEEN(30,35)&amp;"%",IF(J195=3,RANDBETWEEN(25,30)&amp;"%",IF(J195=4,RANDBETWEEN(20,25)&amp;"%",IF(J195=5,RANDBETWEEN(15,20)&amp;"%",IF(J195=6,RANDBETWEEN(10,15)&amp;"%",IF(J195=7,RANDBETWEEN(8,10)&amp;"%",IF(J195=8,RANDBETWEEN(6,8)&amp;"%",IF(J195=9,RANDBETWEEN(4,6)&amp;"%",IF(J195=10,RANDBETWEEN(2,4)&amp;"%","")))))))))))</f>
        <v>1%</v>
      </c>
      <c r="Q195" s="123">
        <f ca="1">IFERROR(L195*(M195+N195)*O195*P195,RANDBETWEEN(1,2)%*L195*(M195+N195)*O195)</f>
        <v>0.38135106000000002</v>
      </c>
      <c r="R195" s="125">
        <f>VLOOKUP(D:D,ranking!W:X,2,0)</f>
        <v>0.3</v>
      </c>
      <c r="S195" s="126">
        <f ca="1">R195*Q195</f>
        <v>0.11440531800000001</v>
      </c>
      <c r="T195" s="123">
        <v>0.73105064727434121</v>
      </c>
    </row>
    <row r="196" spans="1:20" x14ac:dyDescent="0.25">
      <c r="A196" s="98" t="s">
        <v>1057</v>
      </c>
      <c r="B196" s="98" t="s">
        <v>85</v>
      </c>
      <c r="C196" s="98" t="s">
        <v>150</v>
      </c>
      <c r="D196" s="98" t="s">
        <v>434</v>
      </c>
      <c r="E196" s="98" t="s">
        <v>219</v>
      </c>
      <c r="F196" s="46" t="s">
        <v>213</v>
      </c>
      <c r="G196" s="130" t="s">
        <v>376</v>
      </c>
      <c r="H196" s="120" t="s">
        <v>19</v>
      </c>
      <c r="I196" s="136">
        <v>45499</v>
      </c>
      <c r="J196" s="132">
        <v>7</v>
      </c>
      <c r="K196" s="120" t="s">
        <v>87</v>
      </c>
      <c r="L196" s="123">
        <f>VLOOKUP($C196&amp;$E196,'Updated SES'!A:N,14,0)</f>
        <v>24.425800000000002</v>
      </c>
      <c r="M196" s="124">
        <f>VLOOKUP($K196,'Genre Penetration'!A:B,2,0)*VLOOKUP($C196&amp;$E196,'Updated SES'!A:I,9,0)</f>
        <v>0.4148</v>
      </c>
      <c r="N196" s="124">
        <f>VLOOKUP(K:K,'Genre Penetration'!A:C,3,0)*VLOOKUP($C196&amp;$E196,'Updated SES'!A:J,10,0)</f>
        <v>0.12480000000000001</v>
      </c>
      <c r="O196" s="124" t="e">
        <f>VLOOKUP($B196,'Language Penetration'!$B$1:$BE$14,MATCH('Compile data Working'!$H91,'Language Penetration'!$B$1:$BE$1,0),0)</f>
        <v>#N/A</v>
      </c>
      <c r="P196" s="124" t="str">
        <f ca="1">IF(ISBLANK(J196),RANDBETWEEN(1,2)&amp;"%",IF(J196=1,RANDBETWEEN(35,40)&amp;"%",IF(J196=2,RANDBETWEEN(30,35)&amp;"%",IF(J196=3,RANDBETWEEN(25,30)&amp;"%",IF(J196=4,RANDBETWEEN(20,25)&amp;"%",IF(J196=5,RANDBETWEEN(15,20)&amp;"%",IF(J196=6,RANDBETWEEN(10,15)&amp;"%",IF(J196=7,RANDBETWEEN(8,10)&amp;"%",IF(J196=8,RANDBETWEEN(6,8)&amp;"%",IF(J196=9,RANDBETWEEN(4,6)&amp;"%",IF(J196=10,RANDBETWEEN(2,4)&amp;"%","")))))))))))</f>
        <v>8%</v>
      </c>
      <c r="Q196" s="123" t="e">
        <f ca="1">IFERROR(L196*(M196+N196)*O196*P196,RANDBETWEEN(1,2)%*L196*(M196+N196)*O196)</f>
        <v>#N/A</v>
      </c>
      <c r="R196" s="125">
        <f>VLOOKUP(D:D,ranking!W:X,2,0)</f>
        <v>0.7</v>
      </c>
      <c r="S196" s="126" t="e">
        <f ca="1">R196*Q196</f>
        <v>#N/A</v>
      </c>
      <c r="T196" s="123">
        <v>0.71992614865425408</v>
      </c>
    </row>
    <row r="197" spans="1:20" x14ac:dyDescent="0.25">
      <c r="A197" s="98" t="s">
        <v>1057</v>
      </c>
      <c r="B197" s="98" t="s">
        <v>85</v>
      </c>
      <c r="C197" s="98" t="s">
        <v>406</v>
      </c>
      <c r="D197" s="46" t="s">
        <v>1012</v>
      </c>
      <c r="E197" s="98" t="s">
        <v>211</v>
      </c>
      <c r="F197" s="46" t="s">
        <v>215</v>
      </c>
      <c r="G197" s="143" t="s">
        <v>1789</v>
      </c>
      <c r="H197" s="119" t="s">
        <v>20</v>
      </c>
      <c r="I197" s="138">
        <v>46099</v>
      </c>
      <c r="J197" s="131">
        <v>9</v>
      </c>
      <c r="K197" s="119" t="s">
        <v>324</v>
      </c>
      <c r="L197" s="123">
        <f>VLOOKUP($C197&amp;$E197,'Updated SES'!A:N,14,0)</f>
        <v>1.669</v>
      </c>
      <c r="M197" s="124">
        <f>VLOOKUP($K197,'Genre Penetration'!A:B,2,0)*VLOOKUP($C197&amp;$E197,'Updated SES'!A:I,9,0)</f>
        <v>0.38400000000000001</v>
      </c>
      <c r="N197" s="124">
        <f>VLOOKUP(K:K,'Genre Penetration'!A:C,3,0)*VLOOKUP($C197&amp;$E197,'Updated SES'!A:J,10,0)</f>
        <v>0.14399999999999999</v>
      </c>
      <c r="O197" s="124" t="e">
        <f>VLOOKUP($B197,'Language Penetration'!$B$1:$BE$14,MATCH('Compile data Working'!$H33,'Language Penetration'!$B$1:$BE$1,0),0)</f>
        <v>#N/A</v>
      </c>
      <c r="P197" s="124" t="str">
        <f ca="1">IF(ISBLANK(J197),RANDBETWEEN(1,2)&amp;"%",IF(J197=1,RANDBETWEEN(35,40)&amp;"%",IF(J197=2,RANDBETWEEN(30,35)&amp;"%",IF(J197=3,RANDBETWEEN(25,30)&amp;"%",IF(J197=4,RANDBETWEEN(20,25)&amp;"%",IF(J197=5,RANDBETWEEN(15,20)&amp;"%",IF(J197=6,RANDBETWEEN(10,15)&amp;"%",IF(J197=7,RANDBETWEEN(8,10)&amp;"%",IF(J197=8,RANDBETWEEN(6,8)&amp;"%",IF(J197=9,RANDBETWEEN(4,6)&amp;"%",IF(J197=10,RANDBETWEEN(2,4)&amp;"%","")))))))))))</f>
        <v>5%</v>
      </c>
      <c r="Q197" s="123" t="e">
        <f ca="1">IFERROR(L197*(M197+N197)*O197*P197,RANDBETWEEN(1,2)%*L197*(M197+N197)*O197)</f>
        <v>#N/A</v>
      </c>
      <c r="R197" s="125">
        <f>VLOOKUP(D:D,ranking!W:X,2,0)</f>
        <v>0.6</v>
      </c>
      <c r="S197" s="126" t="e">
        <f ca="1">R197*Q197</f>
        <v>#N/A</v>
      </c>
      <c r="T197" s="123">
        <v>0.70998822857735921</v>
      </c>
    </row>
    <row r="198" spans="1:20" x14ac:dyDescent="0.25">
      <c r="A198" s="98" t="s">
        <v>1057</v>
      </c>
      <c r="B198" s="98" t="s">
        <v>85</v>
      </c>
      <c r="C198" s="98" t="s">
        <v>906</v>
      </c>
      <c r="D198" s="46" t="s">
        <v>1012</v>
      </c>
      <c r="E198" s="46" t="s">
        <v>211</v>
      </c>
      <c r="F198" s="46" t="s">
        <v>215</v>
      </c>
      <c r="G198" s="134">
        <v>24</v>
      </c>
      <c r="H198" s="46" t="s">
        <v>19</v>
      </c>
      <c r="I198" s="129">
        <v>46136</v>
      </c>
      <c r="J198" s="131">
        <v>2</v>
      </c>
      <c r="K198" s="46" t="s">
        <v>87</v>
      </c>
      <c r="L198" s="123">
        <f>VLOOKUP($C198&amp;$E198,'Updated SES'!A:N,14,0)</f>
        <v>127.11702000000001</v>
      </c>
      <c r="M198" s="124">
        <f>VLOOKUP($K198,'Genre Penetration'!A:B,2,0)*VLOOKUP($C198&amp;$E198,'Updated SES'!A:I,9,0)</f>
        <v>0.40869999999999995</v>
      </c>
      <c r="N198" s="124">
        <f>VLOOKUP(K:K,'Genre Penetration'!A:C,3,0)*VLOOKUP($C198&amp;$E198,'Updated SES'!A:J,10,0)</f>
        <v>0.12869999999999998</v>
      </c>
      <c r="O198" s="124" t="e">
        <f>VLOOKUP($B198,'Language Penetration'!$B$1:$BE$14,MATCH('Compile data Working'!$H46,'Language Penetration'!$B$1:$BE$1,0),0)</f>
        <v>#N/A</v>
      </c>
      <c r="P198" s="124" t="str">
        <f ca="1">IF(ISBLANK(J198),RANDBETWEEN(1,2)&amp;"%",IF(J198=1,RANDBETWEEN(35,40)&amp;"%",IF(J198=2,RANDBETWEEN(30,35)&amp;"%",IF(J198=3,RANDBETWEEN(25,30)&amp;"%",IF(J198=4,RANDBETWEEN(20,25)&amp;"%",IF(J198=5,RANDBETWEEN(15,20)&amp;"%",IF(J198=6,RANDBETWEEN(10,15)&amp;"%",IF(J198=7,RANDBETWEEN(8,10)&amp;"%",IF(J198=8,RANDBETWEEN(6,8)&amp;"%",IF(J198=9,RANDBETWEEN(4,6)&amp;"%",IF(J198=10,RANDBETWEEN(2,4)&amp;"%","")))))))))))</f>
        <v>35%</v>
      </c>
      <c r="Q198" s="123" t="e">
        <f ca="1">IFERROR(L198*(M198+N198)*O198*P198,RANDBETWEEN(1,2)%*L198*(M198+N198)*O198)</f>
        <v>#N/A</v>
      </c>
      <c r="R198" s="125">
        <f>VLOOKUP(D:D,ranking!W:X,2,0)</f>
        <v>0.6</v>
      </c>
      <c r="S198" s="126" t="e">
        <f ca="1">R198*Q198</f>
        <v>#N/A</v>
      </c>
      <c r="T198" s="123">
        <v>0.70834980151651505</v>
      </c>
    </row>
    <row r="199" spans="1:20" x14ac:dyDescent="0.25">
      <c r="A199" s="98" t="s">
        <v>1781</v>
      </c>
      <c r="B199" s="98" t="s">
        <v>85</v>
      </c>
      <c r="C199" s="46" t="s">
        <v>906</v>
      </c>
      <c r="D199" s="46" t="s">
        <v>1013</v>
      </c>
      <c r="E199" s="119" t="s">
        <v>211</v>
      </c>
      <c r="F199" s="46" t="s">
        <v>213</v>
      </c>
      <c r="G199" s="134" t="s">
        <v>2060</v>
      </c>
      <c r="H199" s="46" t="s">
        <v>19</v>
      </c>
      <c r="I199" s="129">
        <v>45558</v>
      </c>
      <c r="J199" s="133"/>
      <c r="K199" s="46" t="s">
        <v>962</v>
      </c>
      <c r="L199" s="123">
        <f>VLOOKUP($C199&amp;$E199,'Updated SES'!A:N,14,0)</f>
        <v>127.11702000000001</v>
      </c>
      <c r="M199" s="124">
        <f>VLOOKUP($K199,'Genre Penetration'!A:B,2,0)*VLOOKUP($C199&amp;$E199,'Updated SES'!A:I,9,0)</f>
        <v>0.36849999999999999</v>
      </c>
      <c r="N199" s="124">
        <f>VLOOKUP(K:K,'Genre Penetration'!A:C,3,0)*VLOOKUP($C199&amp;$E199,'Updated SES'!A:J,10,0)</f>
        <v>0.14849999999999999</v>
      </c>
      <c r="O199" s="124">
        <f>VLOOKUP($B199,'Language Penetration'!$B$1:$BE$14,MATCH('Compile data Working'!$H235,'Language Penetration'!$B$1:$BE$1,0),0)</f>
        <v>0.6</v>
      </c>
      <c r="P199" s="124" t="str">
        <f ca="1">IF(ISBLANK(J199),RANDBETWEEN(1,2)&amp;"%",IF(J199=1,RANDBETWEEN(35,40)&amp;"%",IF(J199=2,RANDBETWEEN(30,35)&amp;"%",IF(J199=3,RANDBETWEEN(25,30)&amp;"%",IF(J199=4,RANDBETWEEN(20,25)&amp;"%",IF(J199=5,RANDBETWEEN(15,20)&amp;"%",IF(J199=6,RANDBETWEEN(10,15)&amp;"%",IF(J199=7,RANDBETWEEN(8,10)&amp;"%",IF(J199=8,RANDBETWEEN(6,8)&amp;"%",IF(J199=9,RANDBETWEEN(4,6)&amp;"%",IF(J199=10,RANDBETWEEN(2,4)&amp;"%","")))))))))))</f>
        <v>2%</v>
      </c>
      <c r="Q199" s="123">
        <f ca="1">IFERROR(L199*(M199+N199)*O199*P199,RANDBETWEEN(1,2)%*L199*(M199+N199)*O199)</f>
        <v>0.78863399208000018</v>
      </c>
      <c r="R199" s="125">
        <f>VLOOKUP(D:D,ranking!W:X,2,0)</f>
        <v>0.8</v>
      </c>
      <c r="S199" s="126">
        <f ca="1">R199*Q199</f>
        <v>0.63090719366400017</v>
      </c>
      <c r="T199" s="123">
        <v>0.6529300836119678</v>
      </c>
    </row>
    <row r="200" spans="1:20" x14ac:dyDescent="0.25">
      <c r="A200" s="98" t="s">
        <v>1057</v>
      </c>
      <c r="B200" s="98" t="s">
        <v>85</v>
      </c>
      <c r="C200" s="46" t="s">
        <v>1229</v>
      </c>
      <c r="D200" s="46" t="s">
        <v>1866</v>
      </c>
      <c r="E200" s="46" t="s">
        <v>219</v>
      </c>
      <c r="F200" s="46" t="s">
        <v>215</v>
      </c>
      <c r="G200" s="134" t="s">
        <v>1887</v>
      </c>
      <c r="H200" s="46" t="s">
        <v>19</v>
      </c>
      <c r="I200" s="129">
        <v>46003</v>
      </c>
      <c r="J200" s="133">
        <v>9</v>
      </c>
      <c r="K200" s="46" t="s">
        <v>216</v>
      </c>
      <c r="L200" s="123">
        <f>VLOOKUP($C200&amp;$E200,'Updated SES'!A:N,14,0)</f>
        <v>78.939870000000013</v>
      </c>
      <c r="M200" s="124">
        <f>VLOOKUP($K200,'Genre Penetration'!A:B,2,0)*VLOOKUP($C200&amp;$E200,'Updated SES'!A:I,9,0)</f>
        <v>0.4</v>
      </c>
      <c r="N200" s="124">
        <f>VLOOKUP(K:K,'Genre Penetration'!A:C,3,0)*VLOOKUP($C200&amp;$E200,'Updated SES'!A:J,10,0)</f>
        <v>0.1</v>
      </c>
      <c r="O200" s="124" t="e">
        <f>VLOOKUP($B200,'Language Penetration'!$B$1:$BE$14,MATCH('Compile data Working'!$H58,'Language Penetration'!$B$1:$BE$1,0),0)</f>
        <v>#N/A</v>
      </c>
      <c r="P200" s="124" t="str">
        <f ca="1">IF(ISBLANK(J200),RANDBETWEEN(1,2)&amp;"%",IF(J200=1,RANDBETWEEN(35,40)&amp;"%",IF(J200=2,RANDBETWEEN(30,35)&amp;"%",IF(J200=3,RANDBETWEEN(25,30)&amp;"%",IF(J200=4,RANDBETWEEN(20,25)&amp;"%",IF(J200=5,RANDBETWEEN(15,20)&amp;"%",IF(J200=6,RANDBETWEEN(10,15)&amp;"%",IF(J200=7,RANDBETWEEN(8,10)&amp;"%",IF(J200=8,RANDBETWEEN(6,8)&amp;"%",IF(J200=9,RANDBETWEEN(4,6)&amp;"%",IF(J200=10,RANDBETWEEN(2,4)&amp;"%","")))))))))))</f>
        <v>5%</v>
      </c>
      <c r="Q200" s="123" t="e">
        <f ca="1">IFERROR(L200*(M200+N200)*O200*P200,RANDBETWEEN(1,2)%*L200*(M200+N200)*O200)</f>
        <v>#N/A</v>
      </c>
      <c r="R200" s="125">
        <f>VLOOKUP(D:D,ranking!W:X,2,0)</f>
        <v>0.6</v>
      </c>
      <c r="S200" s="126" t="e">
        <f ca="1">R200*Q200</f>
        <v>#N/A</v>
      </c>
      <c r="T200" s="123">
        <v>0.64597811574513575</v>
      </c>
    </row>
    <row r="201" spans="1:20" x14ac:dyDescent="0.25">
      <c r="A201" s="98" t="s">
        <v>1781</v>
      </c>
      <c r="B201" s="98" t="s">
        <v>85</v>
      </c>
      <c r="C201" s="46" t="s">
        <v>906</v>
      </c>
      <c r="D201" s="46" t="s">
        <v>1012</v>
      </c>
      <c r="E201" s="119" t="s">
        <v>211</v>
      </c>
      <c r="F201" s="46" t="s">
        <v>215</v>
      </c>
      <c r="G201" s="134" t="s">
        <v>1805</v>
      </c>
      <c r="H201" s="46" t="s">
        <v>23</v>
      </c>
      <c r="I201" s="129">
        <v>46087</v>
      </c>
      <c r="J201" s="133"/>
      <c r="K201" s="46" t="s">
        <v>964</v>
      </c>
      <c r="L201" s="123">
        <f>VLOOKUP($C201&amp;$E201,'Updated SES'!A:N,14,0)</f>
        <v>127.11702000000001</v>
      </c>
      <c r="M201" s="124">
        <f>VLOOKUP($K201,'Genre Penetration'!A:B,2,0)*VLOOKUP($C201&amp;$E201,'Updated SES'!A:I,9,0)</f>
        <v>0.36849999999999999</v>
      </c>
      <c r="N201" s="124">
        <f>VLOOKUP(K:K,'Genre Penetration'!A:C,3,0)*VLOOKUP($C201&amp;$E201,'Updated SES'!A:J,10,0)</f>
        <v>0.14849999999999999</v>
      </c>
      <c r="O201" s="124" t="e">
        <f>VLOOKUP($B201,'Language Penetration'!$B$1:$BE$14,MATCH('Compile data Working'!$H234,'Language Penetration'!$B$1:$BE$1,0),0)</f>
        <v>#N/A</v>
      </c>
      <c r="P201" s="124" t="str">
        <f ca="1">IF(ISBLANK(J201),RANDBETWEEN(1,2)&amp;"%",IF(J201=1,RANDBETWEEN(35,40)&amp;"%",IF(J201=2,RANDBETWEEN(30,35)&amp;"%",IF(J201=3,RANDBETWEEN(25,30)&amp;"%",IF(J201=4,RANDBETWEEN(20,25)&amp;"%",IF(J201=5,RANDBETWEEN(15,20)&amp;"%",IF(J201=6,RANDBETWEEN(10,15)&amp;"%",IF(J201=7,RANDBETWEEN(8,10)&amp;"%",IF(J201=8,RANDBETWEEN(6,8)&amp;"%",IF(J201=9,RANDBETWEEN(4,6)&amp;"%",IF(J201=10,RANDBETWEEN(2,4)&amp;"%","")))))))))))</f>
        <v>1%</v>
      </c>
      <c r="Q201" s="123" t="e">
        <f ca="1">IFERROR(L201*(M201+N201)*O201*P201,RANDBETWEEN(1,2)%*L201*(M201+N201)*O201)</f>
        <v>#N/A</v>
      </c>
      <c r="R201" s="125">
        <f>VLOOKUP(D:D,ranking!W:X,2,0)</f>
        <v>0.6</v>
      </c>
      <c r="S201" s="126" t="e">
        <f ca="1">R201*Q201</f>
        <v>#N/A</v>
      </c>
      <c r="T201" s="123">
        <v>0.61697339561875353</v>
      </c>
    </row>
    <row r="202" spans="1:20" x14ac:dyDescent="0.25">
      <c r="A202" s="98" t="s">
        <v>1781</v>
      </c>
      <c r="B202" s="98" t="s">
        <v>85</v>
      </c>
      <c r="C202" s="46" t="s">
        <v>906</v>
      </c>
      <c r="D202" s="98" t="s">
        <v>456</v>
      </c>
      <c r="E202" s="98" t="s">
        <v>211</v>
      </c>
      <c r="F202" s="46" t="s">
        <v>2011</v>
      </c>
      <c r="G202" s="134" t="s">
        <v>1855</v>
      </c>
      <c r="H202" s="46" t="s">
        <v>19</v>
      </c>
      <c r="I202" s="129">
        <v>44145</v>
      </c>
      <c r="J202" s="132"/>
      <c r="K202" s="46" t="s">
        <v>216</v>
      </c>
      <c r="L202" s="123">
        <f>VLOOKUP($C202&amp;$E202,'Updated SES'!A:N,14,0)</f>
        <v>127.11702000000001</v>
      </c>
      <c r="M202" s="124">
        <f>VLOOKUP($K202,'Genre Penetration'!A:B,2,0)*VLOOKUP($C202&amp;$E202,'Updated SES'!A:I,9,0)</f>
        <v>0.33499999999999996</v>
      </c>
      <c r="N202" s="124">
        <f>VLOOKUP(K:K,'Genre Penetration'!A:C,3,0)*VLOOKUP($C202&amp;$E202,'Updated SES'!A:J,10,0)</f>
        <v>0.16499999999999998</v>
      </c>
      <c r="O202" s="124">
        <f>VLOOKUP($B202,'Language Penetration'!$B$1:$BE$14,MATCH('Compile data Working'!$H107,'Language Penetration'!$B$1:$BE$1,0),0)</f>
        <v>0.6</v>
      </c>
      <c r="P202" s="124" t="str">
        <f ca="1">IF(ISBLANK(J202),RANDBETWEEN(1,2)&amp;"%",IF(J202=1,RANDBETWEEN(35,40)&amp;"%",IF(J202=2,RANDBETWEEN(30,35)&amp;"%",IF(J202=3,RANDBETWEEN(25,30)&amp;"%",IF(J202=4,RANDBETWEEN(20,25)&amp;"%",IF(J202=5,RANDBETWEEN(15,20)&amp;"%",IF(J202=6,RANDBETWEEN(10,15)&amp;"%",IF(J202=7,RANDBETWEEN(8,10)&amp;"%",IF(J202=8,RANDBETWEEN(6,8)&amp;"%",IF(J202=9,RANDBETWEEN(4,6)&amp;"%",IF(J202=10,RANDBETWEEN(2,4)&amp;"%","")))))))))))</f>
        <v>2%</v>
      </c>
      <c r="Q202" s="123">
        <f ca="1">IFERROR(L202*(M202+N202)*O202*P202,RANDBETWEEN(1,2)%*L202*(M202+N202)*O202)</f>
        <v>0.76270212000000004</v>
      </c>
      <c r="R202" s="125">
        <f>VLOOKUP(D:D,ranking!W:X,2,0)</f>
        <v>0.3</v>
      </c>
      <c r="S202" s="126">
        <f ca="1">R202*Q202</f>
        <v>0.22881063600000001</v>
      </c>
      <c r="T202" s="123">
        <v>0.58611889063243294</v>
      </c>
    </row>
    <row r="203" spans="1:20" x14ac:dyDescent="0.25">
      <c r="A203" s="98" t="s">
        <v>1781</v>
      </c>
      <c r="B203" s="98" t="s">
        <v>85</v>
      </c>
      <c r="C203" s="46" t="s">
        <v>906</v>
      </c>
      <c r="D203" s="46" t="s">
        <v>1013</v>
      </c>
      <c r="E203" s="119" t="s">
        <v>211</v>
      </c>
      <c r="F203" s="46" t="s">
        <v>213</v>
      </c>
      <c r="G203" s="134" t="s">
        <v>1932</v>
      </c>
      <c r="H203" s="46" t="s">
        <v>19</v>
      </c>
      <c r="I203" s="129">
        <v>46045</v>
      </c>
      <c r="J203" s="132"/>
      <c r="K203" s="46" t="s">
        <v>970</v>
      </c>
      <c r="L203" s="123">
        <f>VLOOKUP($C203&amp;$E203,'Updated SES'!A:N,14,0)</f>
        <v>127.11702000000001</v>
      </c>
      <c r="M203" s="124">
        <f>VLOOKUP($K203,'Genre Penetration'!A:B,2,0)*VLOOKUP($C203&amp;$E203,'Updated SES'!A:I,9,0)</f>
        <v>0.33499999999999996</v>
      </c>
      <c r="N203" s="124">
        <f>VLOOKUP(K:K,'Genre Penetration'!A:C,3,0)*VLOOKUP($C203&amp;$E203,'Updated SES'!A:J,10,0)</f>
        <v>0.16499999999999998</v>
      </c>
      <c r="O203" s="124" t="e">
        <f>VLOOKUP($B203,'Language Penetration'!$B$1:$BE$14,MATCH('Compile data Working'!$H73,'Language Penetration'!$B$1:$BE$1,0),0)</f>
        <v>#N/A</v>
      </c>
      <c r="P203" s="124" t="str">
        <f ca="1">IF(ISBLANK(J203),RANDBETWEEN(1,2)&amp;"%",IF(J203=1,RANDBETWEEN(35,40)&amp;"%",IF(J203=2,RANDBETWEEN(30,35)&amp;"%",IF(J203=3,RANDBETWEEN(25,30)&amp;"%",IF(J203=4,RANDBETWEEN(20,25)&amp;"%",IF(J203=5,RANDBETWEEN(15,20)&amp;"%",IF(J203=6,RANDBETWEEN(10,15)&amp;"%",IF(J203=7,RANDBETWEEN(8,10)&amp;"%",IF(J203=8,RANDBETWEEN(6,8)&amp;"%",IF(J203=9,RANDBETWEEN(4,6)&amp;"%",IF(J203=10,RANDBETWEEN(2,4)&amp;"%","")))))))))))</f>
        <v>1%</v>
      </c>
      <c r="Q203" s="123" t="e">
        <f ca="1">IFERROR(L203*(M203+N203)*O203*P203,RANDBETWEEN(1,2)%*L203*(M203+N203)*O203)</f>
        <v>#N/A</v>
      </c>
      <c r="R203" s="125">
        <f>VLOOKUP(D:D,ranking!W:X,2,0)</f>
        <v>0.8</v>
      </c>
      <c r="S203" s="126" t="e">
        <f ca="1">R203*Q203</f>
        <v>#N/A</v>
      </c>
      <c r="T203" s="123">
        <v>0.57477565939559105</v>
      </c>
    </row>
    <row r="204" spans="1:20" x14ac:dyDescent="0.25">
      <c r="A204" s="98" t="s">
        <v>1057</v>
      </c>
      <c r="B204" s="98" t="s">
        <v>85</v>
      </c>
      <c r="C204" s="98" t="s">
        <v>150</v>
      </c>
      <c r="D204" s="98" t="s">
        <v>434</v>
      </c>
      <c r="E204" s="119" t="s">
        <v>211</v>
      </c>
      <c r="F204" s="46" t="s">
        <v>213</v>
      </c>
      <c r="G204" s="143" t="s">
        <v>1915</v>
      </c>
      <c r="H204" s="119" t="s">
        <v>1757</v>
      </c>
      <c r="I204" s="138">
        <v>44694</v>
      </c>
      <c r="J204" s="132">
        <v>10</v>
      </c>
      <c r="K204" s="119" t="s">
        <v>216</v>
      </c>
      <c r="L204" s="123">
        <f>VLOOKUP($C204&amp;$E204,'Updated SES'!A:N,14,0)</f>
        <v>60.152000000000001</v>
      </c>
      <c r="M204" s="124">
        <f>VLOOKUP($K204,'Genre Penetration'!A:B,2,0)*VLOOKUP($C204&amp;$E204,'Updated SES'!A:I,9,0)</f>
        <v>0.32500000000000001</v>
      </c>
      <c r="N204" s="124">
        <f>VLOOKUP(K:K,'Genre Penetration'!A:C,3,0)*VLOOKUP($C204&amp;$E204,'Updated SES'!A:J,10,0)</f>
        <v>0.17499999999999999</v>
      </c>
      <c r="O204" s="124">
        <f>VLOOKUP($B204,'Language Penetration'!$B$1:$BE$14,MATCH('Compile data Working'!$H196,'Language Penetration'!$B$1:$BE$1,0),0)</f>
        <v>0.6</v>
      </c>
      <c r="P204" s="124" t="str">
        <f ca="1">IF(ISBLANK(J204),RANDBETWEEN(1,2)&amp;"%",IF(J204=1,RANDBETWEEN(35,40)&amp;"%",IF(J204=2,RANDBETWEEN(30,35)&amp;"%",IF(J204=3,RANDBETWEEN(25,30)&amp;"%",IF(J204=4,RANDBETWEEN(20,25)&amp;"%",IF(J204=5,RANDBETWEEN(15,20)&amp;"%",IF(J204=6,RANDBETWEEN(10,15)&amp;"%",IF(J204=7,RANDBETWEEN(8,10)&amp;"%",IF(J204=8,RANDBETWEEN(6,8)&amp;"%",IF(J204=9,RANDBETWEEN(4,6)&amp;"%",IF(J204=10,RANDBETWEEN(2,4)&amp;"%","")))))))))))</f>
        <v>4%</v>
      </c>
      <c r="Q204" s="123">
        <f ca="1">IFERROR(L204*(M204+N204)*O204*P204,RANDBETWEEN(1,2)%*L204*(M204+N204)*O204)</f>
        <v>0.72182400000000002</v>
      </c>
      <c r="R204" s="125">
        <f>VLOOKUP(D:D,ranking!W:X,2,0)</f>
        <v>0.7</v>
      </c>
      <c r="S204" s="126">
        <f ca="1">R204*Q204</f>
        <v>0.50527679999999997</v>
      </c>
      <c r="T204" s="123">
        <v>0.53970953254516807</v>
      </c>
    </row>
    <row r="205" spans="1:20" x14ac:dyDescent="0.25">
      <c r="A205" s="98" t="s">
        <v>1057</v>
      </c>
      <c r="B205" s="98" t="s">
        <v>85</v>
      </c>
      <c r="C205" s="98" t="s">
        <v>406</v>
      </c>
      <c r="D205" s="46" t="s">
        <v>1013</v>
      </c>
      <c r="E205" s="119" t="s">
        <v>211</v>
      </c>
      <c r="F205" s="46" t="s">
        <v>213</v>
      </c>
      <c r="G205" s="135" t="s">
        <v>1808</v>
      </c>
      <c r="H205" s="119" t="s">
        <v>20</v>
      </c>
      <c r="I205" s="136">
        <v>46122</v>
      </c>
      <c r="J205" s="131">
        <v>1</v>
      </c>
      <c r="K205" s="98" t="s">
        <v>124</v>
      </c>
      <c r="L205" s="123">
        <f>VLOOKUP($C205&amp;$E205,'Updated SES'!A:N,14,0)</f>
        <v>1.669</v>
      </c>
      <c r="M205" s="124">
        <f>VLOOKUP($K205,'Genre Penetration'!A:B,2,0)*VLOOKUP($C205&amp;$E205,'Updated SES'!A:I,9,0)</f>
        <v>0.27</v>
      </c>
      <c r="N205" s="124">
        <f>VLOOKUP(K:K,'Genre Penetration'!A:C,3,0)*VLOOKUP($C205&amp;$E205,'Updated SES'!A:J,10,0)</f>
        <v>0.22000000000000003</v>
      </c>
      <c r="O205" s="124">
        <f>VLOOKUP($B205,'Language Penetration'!$B$1:$BE$14,MATCH('Compile data Working'!$H63,'Language Penetration'!$B$1:$BE$1,0),0)</f>
        <v>7.0000000000000007E-2</v>
      </c>
      <c r="P205" s="124" t="str">
        <f ca="1">IF(ISBLANK(J205),RANDBETWEEN(1,2)&amp;"%",IF(J205=1,RANDBETWEEN(35,40)&amp;"%",IF(J205=2,RANDBETWEEN(30,35)&amp;"%",IF(J205=3,RANDBETWEEN(25,30)&amp;"%",IF(J205=4,RANDBETWEEN(20,25)&amp;"%",IF(J205=5,RANDBETWEEN(15,20)&amp;"%",IF(J205=6,RANDBETWEEN(10,15)&amp;"%",IF(J205=7,RANDBETWEEN(8,10)&amp;"%",IF(J205=8,RANDBETWEEN(6,8)&amp;"%",IF(J205=9,RANDBETWEEN(4,6)&amp;"%",IF(J205=10,RANDBETWEEN(2,4)&amp;"%","")))))))))))</f>
        <v>36%</v>
      </c>
      <c r="Q205" s="123">
        <f ca="1">IFERROR(L205*(M205+N205)*O205*P205,RANDBETWEEN(1,2)%*L205*(M205+N205)*O205)</f>
        <v>2.0608812000000004E-2</v>
      </c>
      <c r="R205" s="125">
        <f>VLOOKUP(D:D,ranking!W:X,2,0)</f>
        <v>0.8</v>
      </c>
      <c r="S205" s="126">
        <f ca="1">R205*Q205</f>
        <v>1.6487049600000005E-2</v>
      </c>
      <c r="T205" s="123">
        <v>0.50455276982960673</v>
      </c>
    </row>
    <row r="206" spans="1:20" x14ac:dyDescent="0.25">
      <c r="A206" s="98" t="s">
        <v>1057</v>
      </c>
      <c r="B206" s="98" t="s">
        <v>85</v>
      </c>
      <c r="C206" s="98" t="s">
        <v>150</v>
      </c>
      <c r="D206" s="46" t="s">
        <v>1866</v>
      </c>
      <c r="E206" s="98" t="s">
        <v>219</v>
      </c>
      <c r="F206" s="46" t="s">
        <v>215</v>
      </c>
      <c r="G206" s="143" t="s">
        <v>1798</v>
      </c>
      <c r="H206" s="119" t="s">
        <v>19</v>
      </c>
      <c r="I206" s="138">
        <v>46031</v>
      </c>
      <c r="J206" s="131">
        <v>9</v>
      </c>
      <c r="K206" s="119" t="s">
        <v>1928</v>
      </c>
      <c r="L206" s="123">
        <f>VLOOKUP($C206&amp;$E206,'Updated SES'!A:N,14,0)</f>
        <v>24.425800000000002</v>
      </c>
      <c r="M206" s="124" t="e">
        <f>VLOOKUP($K206,'Genre Penetration'!A:B,2,0)*VLOOKUP($C206&amp;$E206,'Updated SES'!A:I,9,0)</f>
        <v>#N/A</v>
      </c>
      <c r="N206" s="124" t="e">
        <f>VLOOKUP(K:K,'Genre Penetration'!A:C,3,0)*VLOOKUP($C206&amp;$E206,'Updated SES'!A:J,10,0)</f>
        <v>#N/A</v>
      </c>
      <c r="O206" s="124">
        <f>VLOOKUP($B206,'Language Penetration'!$B$1:$BE$14,MATCH('Compile data Working'!$H121,'Language Penetration'!$B$1:$BE$1,0),0)</f>
        <v>0.6</v>
      </c>
      <c r="P206" s="124" t="str">
        <f ca="1">IF(ISBLANK(J206),RANDBETWEEN(1,2)&amp;"%",IF(J206=1,RANDBETWEEN(35,40)&amp;"%",IF(J206=2,RANDBETWEEN(30,35)&amp;"%",IF(J206=3,RANDBETWEEN(25,30)&amp;"%",IF(J206=4,RANDBETWEEN(20,25)&amp;"%",IF(J206=5,RANDBETWEEN(15,20)&amp;"%",IF(J206=6,RANDBETWEEN(10,15)&amp;"%",IF(J206=7,RANDBETWEEN(8,10)&amp;"%",IF(J206=8,RANDBETWEEN(6,8)&amp;"%",IF(J206=9,RANDBETWEEN(4,6)&amp;"%",IF(J206=10,RANDBETWEEN(2,4)&amp;"%","")))))))))))</f>
        <v>4%</v>
      </c>
      <c r="Q206" s="123" t="e">
        <f ca="1">IFERROR(L206*(M206+N206)*O206*P206,RANDBETWEEN(1,2)%*L206*(M206+N206)*O206)</f>
        <v>#N/A</v>
      </c>
      <c r="R206" s="125">
        <f>VLOOKUP(D:D,ranking!W:X,2,0)</f>
        <v>0.6</v>
      </c>
      <c r="S206" s="126" t="e">
        <f ca="1">R206*Q206</f>
        <v>#N/A</v>
      </c>
      <c r="T206" s="123">
        <v>0.41365000957051656</v>
      </c>
    </row>
    <row r="207" spans="1:20" x14ac:dyDescent="0.25">
      <c r="A207" s="98" t="s">
        <v>1781</v>
      </c>
      <c r="B207" s="98" t="s">
        <v>85</v>
      </c>
      <c r="C207" s="46" t="s">
        <v>906</v>
      </c>
      <c r="D207" s="46" t="s">
        <v>1013</v>
      </c>
      <c r="E207" s="119" t="s">
        <v>211</v>
      </c>
      <c r="F207" s="46" t="s">
        <v>213</v>
      </c>
      <c r="G207" s="134" t="s">
        <v>1858</v>
      </c>
      <c r="H207" s="46" t="s">
        <v>19</v>
      </c>
      <c r="I207" s="129">
        <v>44470</v>
      </c>
      <c r="J207" s="133"/>
      <c r="K207" s="46" t="s">
        <v>970</v>
      </c>
      <c r="L207" s="123">
        <f>VLOOKUP($C207&amp;$E207,'Updated SES'!A:N,14,0)</f>
        <v>127.11702000000001</v>
      </c>
      <c r="M207" s="124">
        <f>VLOOKUP($K207,'Genre Penetration'!A:B,2,0)*VLOOKUP($C207&amp;$E207,'Updated SES'!A:I,9,0)</f>
        <v>0.33499999999999996</v>
      </c>
      <c r="N207" s="124">
        <f>VLOOKUP(K:K,'Genre Penetration'!A:C,3,0)*VLOOKUP($C207&amp;$E207,'Updated SES'!A:J,10,0)</f>
        <v>0.16499999999999998</v>
      </c>
      <c r="O207" s="124">
        <f>VLOOKUP($B207,'Language Penetration'!$B$1:$BE$14,MATCH('Compile data Working'!$H174,'Language Penetration'!$B$1:$BE$1,0),0)</f>
        <v>0.6</v>
      </c>
      <c r="P207" s="124" t="str">
        <f ca="1">IF(ISBLANK(J207),RANDBETWEEN(1,2)&amp;"%",IF(J207=1,RANDBETWEEN(35,40)&amp;"%",IF(J207=2,RANDBETWEEN(30,35)&amp;"%",IF(J207=3,RANDBETWEEN(25,30)&amp;"%",IF(J207=4,RANDBETWEEN(20,25)&amp;"%",IF(J207=5,RANDBETWEEN(15,20)&amp;"%",IF(J207=6,RANDBETWEEN(10,15)&amp;"%",IF(J207=7,RANDBETWEEN(8,10)&amp;"%",IF(J207=8,RANDBETWEEN(6,8)&amp;"%",IF(J207=9,RANDBETWEEN(4,6)&amp;"%",IF(J207=10,RANDBETWEEN(2,4)&amp;"%","")))))))))))</f>
        <v>1%</v>
      </c>
      <c r="Q207" s="123">
        <f ca="1">IFERROR(L207*(M207+N207)*O207*P207,RANDBETWEEN(1,2)%*L207*(M207+N207)*O207)</f>
        <v>0.38135106000000002</v>
      </c>
      <c r="R207" s="125">
        <f>VLOOKUP(D:D,ranking!W:X,2,0)</f>
        <v>0.8</v>
      </c>
      <c r="S207" s="126">
        <f ca="1">R207*Q207</f>
        <v>0.30508084800000002</v>
      </c>
      <c r="T207" s="123">
        <v>0.38546613271871866</v>
      </c>
    </row>
    <row r="208" spans="1:20" x14ac:dyDescent="0.25">
      <c r="A208" s="98" t="s">
        <v>1781</v>
      </c>
      <c r="B208" s="98" t="s">
        <v>85</v>
      </c>
      <c r="C208" s="46" t="s">
        <v>906</v>
      </c>
      <c r="D208" s="46" t="s">
        <v>1013</v>
      </c>
      <c r="E208" s="119" t="s">
        <v>211</v>
      </c>
      <c r="F208" s="46" t="s">
        <v>213</v>
      </c>
      <c r="G208" s="134" t="s">
        <v>2042</v>
      </c>
      <c r="H208" s="46" t="s">
        <v>26</v>
      </c>
      <c r="I208" s="129">
        <v>46052</v>
      </c>
      <c r="J208" s="133"/>
      <c r="K208" s="46" t="s">
        <v>2068</v>
      </c>
      <c r="L208" s="123">
        <f>VLOOKUP($C208&amp;$E208,'Updated SES'!A:N,14,0)</f>
        <v>127.11702000000001</v>
      </c>
      <c r="M208" s="124" t="e">
        <f>VLOOKUP($K208,'Genre Penetration'!A:B,2,0)*VLOOKUP($C208&amp;$E208,'Updated SES'!A:I,9,0)</f>
        <v>#N/A</v>
      </c>
      <c r="N208" s="124" t="e">
        <f>VLOOKUP(K:K,'Genre Penetration'!A:C,3,0)*VLOOKUP($C208&amp;$E208,'Updated SES'!A:J,10,0)</f>
        <v>#N/A</v>
      </c>
      <c r="O208" s="124">
        <f>VLOOKUP($B208,'Language Penetration'!$B$1:$BE$14,MATCH('Compile data Working'!$H149,'Language Penetration'!$B$1:$BE$1,0),0)</f>
        <v>0.6</v>
      </c>
      <c r="P208" s="124" t="str">
        <f ca="1">IF(ISBLANK(J208),RANDBETWEEN(1,2)&amp;"%",IF(J208=1,RANDBETWEEN(35,40)&amp;"%",IF(J208=2,RANDBETWEEN(30,35)&amp;"%",IF(J208=3,RANDBETWEEN(25,30)&amp;"%",IF(J208=4,RANDBETWEEN(20,25)&amp;"%",IF(J208=5,RANDBETWEEN(15,20)&amp;"%",IF(J208=6,RANDBETWEEN(10,15)&amp;"%",IF(J208=7,RANDBETWEEN(8,10)&amp;"%",IF(J208=8,RANDBETWEEN(6,8)&amp;"%",IF(J208=9,RANDBETWEEN(4,6)&amp;"%",IF(J208=10,RANDBETWEEN(2,4)&amp;"%","")))))))))))</f>
        <v>2%</v>
      </c>
      <c r="Q208" s="123" t="e">
        <f ca="1">IFERROR(L208*(M208+N208)*O208*P208,RANDBETWEEN(1,2)%*L208*(M208+N208)*O208)</f>
        <v>#N/A</v>
      </c>
      <c r="R208" s="125">
        <f>VLOOKUP(D:D,ranking!W:X,2,0)</f>
        <v>0.8</v>
      </c>
      <c r="S208" s="126" t="e">
        <f ca="1">R208*Q208</f>
        <v>#N/A</v>
      </c>
      <c r="T208" s="123">
        <v>0.37396441322046259</v>
      </c>
    </row>
    <row r="209" spans="1:20" x14ac:dyDescent="0.25">
      <c r="A209" s="98" t="s">
        <v>1057</v>
      </c>
      <c r="B209" s="98" t="s">
        <v>85</v>
      </c>
      <c r="C209" s="98" t="s">
        <v>406</v>
      </c>
      <c r="D209" s="46" t="s">
        <v>1012</v>
      </c>
      <c r="E209" s="98" t="s">
        <v>211</v>
      </c>
      <c r="F209" s="46" t="s">
        <v>215</v>
      </c>
      <c r="G209" s="143" t="s">
        <v>1788</v>
      </c>
      <c r="H209" s="119" t="s">
        <v>20</v>
      </c>
      <c r="I209" s="138">
        <v>46050</v>
      </c>
      <c r="J209" s="131">
        <v>7</v>
      </c>
      <c r="K209" s="119" t="s">
        <v>124</v>
      </c>
      <c r="L209" s="123">
        <f>VLOOKUP($C209&amp;$E209,'Updated SES'!A:N,14,0)</f>
        <v>1.669</v>
      </c>
      <c r="M209" s="124">
        <f>VLOOKUP($K209,'Genre Penetration'!A:B,2,0)*VLOOKUP($C209&amp;$E209,'Updated SES'!A:I,9,0)</f>
        <v>0.27</v>
      </c>
      <c r="N209" s="124">
        <f>VLOOKUP(K:K,'Genre Penetration'!A:C,3,0)*VLOOKUP($C209&amp;$E209,'Updated SES'!A:J,10,0)</f>
        <v>0.22000000000000003</v>
      </c>
      <c r="O209" s="124">
        <f>VLOOKUP($B209,'Language Penetration'!$B$1:$BE$14,MATCH('Compile data Working'!$H209,'Language Penetration'!$B$1:$BE$1,0),0)</f>
        <v>0.2</v>
      </c>
      <c r="P209" s="124" t="str">
        <f ca="1">IF(ISBLANK(J209),RANDBETWEEN(1,2)&amp;"%",IF(J209=1,RANDBETWEEN(35,40)&amp;"%",IF(J209=2,RANDBETWEEN(30,35)&amp;"%",IF(J209=3,RANDBETWEEN(25,30)&amp;"%",IF(J209=4,RANDBETWEEN(20,25)&amp;"%",IF(J209=5,RANDBETWEEN(15,20)&amp;"%",IF(J209=6,RANDBETWEEN(10,15)&amp;"%",IF(J209=7,RANDBETWEEN(8,10)&amp;"%",IF(J209=8,RANDBETWEEN(6,8)&amp;"%",IF(J209=9,RANDBETWEEN(4,6)&amp;"%",IF(J209=10,RANDBETWEEN(2,4)&amp;"%","")))))))))))</f>
        <v>10%</v>
      </c>
      <c r="Q209" s="123">
        <f ca="1">IFERROR(L209*(M209+N209)*O209*P209,RANDBETWEEN(1,2)%*L209*(M209+N209)*O209)</f>
        <v>1.6356200000000005E-2</v>
      </c>
      <c r="R209" s="125">
        <f>VLOOKUP(D:D,ranking!W:X,2,0)</f>
        <v>0.6</v>
      </c>
      <c r="S209" s="126">
        <f ca="1">R209*Q209</f>
        <v>9.8137200000000032E-3</v>
      </c>
      <c r="T209" s="123">
        <v>0.33949315646269035</v>
      </c>
    </row>
    <row r="210" spans="1:20" x14ac:dyDescent="0.25">
      <c r="A210" s="98" t="s">
        <v>1057</v>
      </c>
      <c r="B210" s="98" t="s">
        <v>85</v>
      </c>
      <c r="C210" s="98" t="s">
        <v>406</v>
      </c>
      <c r="D210" s="46" t="s">
        <v>1012</v>
      </c>
      <c r="E210" s="98" t="s">
        <v>211</v>
      </c>
      <c r="F210" s="46" t="s">
        <v>215</v>
      </c>
      <c r="G210" s="130" t="s">
        <v>1790</v>
      </c>
      <c r="H210" s="119" t="s">
        <v>20</v>
      </c>
      <c r="I210" s="136">
        <v>45000</v>
      </c>
      <c r="J210" s="131">
        <v>6</v>
      </c>
      <c r="K210" s="98" t="s">
        <v>124</v>
      </c>
      <c r="L210" s="123">
        <f>VLOOKUP($C210&amp;$E210,'Updated SES'!A:N,14,0)</f>
        <v>1.669</v>
      </c>
      <c r="M210" s="124">
        <f>VLOOKUP($K210,'Genre Penetration'!A:B,2,0)*VLOOKUP($C210&amp;$E210,'Updated SES'!A:I,9,0)</f>
        <v>0.27</v>
      </c>
      <c r="N210" s="124">
        <f>VLOOKUP(K:K,'Genre Penetration'!A:C,3,0)*VLOOKUP($C210&amp;$E210,'Updated SES'!A:J,10,0)</f>
        <v>0.22000000000000003</v>
      </c>
      <c r="O210" s="124" t="e">
        <f>VLOOKUP($B210,'Language Penetration'!$B$1:$BE$14,MATCH('Compile data Working'!#REF!,'Language Penetration'!$B$1:$BE$1,0),0)</f>
        <v>#REF!</v>
      </c>
      <c r="P210" s="124" t="str">
        <f ca="1">IF(ISBLANK(J210),RANDBETWEEN(1,2)&amp;"%",IF(J210=1,RANDBETWEEN(35,40)&amp;"%",IF(J210=2,RANDBETWEEN(30,35)&amp;"%",IF(J210=3,RANDBETWEEN(25,30)&amp;"%",IF(J210=4,RANDBETWEEN(20,25)&amp;"%",IF(J210=5,RANDBETWEEN(15,20)&amp;"%",IF(J210=6,RANDBETWEEN(10,15)&amp;"%",IF(J210=7,RANDBETWEEN(8,10)&amp;"%",IF(J210=8,RANDBETWEEN(6,8)&amp;"%",IF(J210=9,RANDBETWEEN(4,6)&amp;"%",IF(J210=10,RANDBETWEEN(2,4)&amp;"%","")))))))))))</f>
        <v>11%</v>
      </c>
      <c r="Q210" s="123" t="e">
        <f ca="1">IFERROR(L210*(M210+N210)*O210*P210,RANDBETWEEN(1,2)%*L210*(M210+N210)*O210)</f>
        <v>#REF!</v>
      </c>
      <c r="R210" s="125">
        <f>VLOOKUP(D:D,ranking!W:X,2,0)</f>
        <v>0.6</v>
      </c>
      <c r="S210" s="126" t="e">
        <f ca="1">R210*Q210</f>
        <v>#REF!</v>
      </c>
      <c r="T210" s="123">
        <v>0.32555152849817598</v>
      </c>
    </row>
    <row r="211" spans="1:20" x14ac:dyDescent="0.25">
      <c r="A211" s="98" t="s">
        <v>1057</v>
      </c>
      <c r="B211" s="98" t="s">
        <v>85</v>
      </c>
      <c r="C211" s="98" t="s">
        <v>150</v>
      </c>
      <c r="D211" s="46" t="s">
        <v>1012</v>
      </c>
      <c r="E211" s="98" t="s">
        <v>211</v>
      </c>
      <c r="F211" s="46" t="s">
        <v>215</v>
      </c>
      <c r="G211" s="130" t="s">
        <v>1810</v>
      </c>
      <c r="H211" s="120" t="s">
        <v>1927</v>
      </c>
      <c r="I211" s="136">
        <v>46053</v>
      </c>
      <c r="J211" s="131">
        <v>8</v>
      </c>
      <c r="K211" s="120" t="s">
        <v>275</v>
      </c>
      <c r="L211" s="123">
        <f>VLOOKUP($C211&amp;$E211,'Updated SES'!A:N,14,0)</f>
        <v>60.152000000000001</v>
      </c>
      <c r="M211" s="124">
        <f>VLOOKUP($K211,'Genre Penetration'!A:B,2,0)*VLOOKUP($C211&amp;$E211,'Updated SES'!A:I,9,0)</f>
        <v>0.35750000000000004</v>
      </c>
      <c r="N211" s="124">
        <f>VLOOKUP(K:K,'Genre Penetration'!A:C,3,0)*VLOOKUP($C211&amp;$E211,'Updated SES'!A:J,10,0)</f>
        <v>0.1575</v>
      </c>
      <c r="O211" s="124">
        <f>VLOOKUP($B211,'Language Penetration'!$B$1:$BE$14,MATCH('Compile data Working'!$H93,'Language Penetration'!$B$1:$BE$1,0),0)</f>
        <v>0.6</v>
      </c>
      <c r="P211" s="124" t="str">
        <f ca="1">IF(ISBLANK(J211),RANDBETWEEN(1,2)&amp;"%",IF(J211=1,RANDBETWEEN(35,40)&amp;"%",IF(J211=2,RANDBETWEEN(30,35)&amp;"%",IF(J211=3,RANDBETWEEN(25,30)&amp;"%",IF(J211=4,RANDBETWEEN(20,25)&amp;"%",IF(J211=5,RANDBETWEEN(15,20)&amp;"%",IF(J211=6,RANDBETWEEN(10,15)&amp;"%",IF(J211=7,RANDBETWEEN(8,10)&amp;"%",IF(J211=8,RANDBETWEEN(6,8)&amp;"%",IF(J211=9,RANDBETWEEN(4,6)&amp;"%",IF(J211=10,RANDBETWEEN(2,4)&amp;"%","")))))))))))</f>
        <v>8%</v>
      </c>
      <c r="Q211" s="123">
        <f ca="1">IFERROR(L211*(M211+N211)*O211*P211,RANDBETWEEN(1,2)%*L211*(M211+N211)*O211)</f>
        <v>1.4869574399999999</v>
      </c>
      <c r="R211" s="125">
        <f>VLOOKUP(D:D,ranking!W:X,2,0)</f>
        <v>0.6</v>
      </c>
      <c r="S211" s="126">
        <f ca="1">R211*Q211</f>
        <v>0.89217446399999989</v>
      </c>
      <c r="T211" s="123">
        <v>0.29600650880392909</v>
      </c>
    </row>
    <row r="212" spans="1:20" x14ac:dyDescent="0.25">
      <c r="A212" s="98" t="s">
        <v>1781</v>
      </c>
      <c r="B212" s="98" t="s">
        <v>85</v>
      </c>
      <c r="C212" s="46" t="s">
        <v>64</v>
      </c>
      <c r="D212" s="46" t="s">
        <v>1013</v>
      </c>
      <c r="E212" s="119" t="s">
        <v>211</v>
      </c>
      <c r="F212" s="46" t="s">
        <v>213</v>
      </c>
      <c r="G212" s="134" t="s">
        <v>2054</v>
      </c>
      <c r="H212" s="46" t="s">
        <v>19</v>
      </c>
      <c r="I212" s="129">
        <v>46065</v>
      </c>
      <c r="J212" s="133"/>
      <c r="K212" s="46" t="s">
        <v>168</v>
      </c>
      <c r="L212" s="123">
        <f>VLOOKUP($C212&amp;$E212,'Updated SES'!A:N,14,0)</f>
        <v>36.498239999999996</v>
      </c>
      <c r="M212" s="124">
        <f>VLOOKUP($K212,'Genre Penetration'!A:B,2,0)*VLOOKUP($C212&amp;$E212,'Updated SES'!A:I,9,0)</f>
        <v>0.33280000000000004</v>
      </c>
      <c r="N212" s="124">
        <f>VLOOKUP(K:K,'Genre Penetration'!A:C,3,0)*VLOOKUP($C212&amp;$E212,'Updated SES'!A:J,10,0)</f>
        <v>0.17279999999999998</v>
      </c>
      <c r="O212" s="124">
        <f>VLOOKUP($B212,'Language Penetration'!$B$1:$BE$14,MATCH('Compile data Working'!$H208,'Language Penetration'!$B$1:$BE$1,0),0)</f>
        <v>7.0000000000000007E-2</v>
      </c>
      <c r="P212" s="124" t="str">
        <f ca="1">IF(ISBLANK(J212),RANDBETWEEN(1,2)&amp;"%",IF(J212=1,RANDBETWEEN(35,40)&amp;"%",IF(J212=2,RANDBETWEEN(30,35)&amp;"%",IF(J212=3,RANDBETWEEN(25,30)&amp;"%",IF(J212=4,RANDBETWEEN(20,25)&amp;"%",IF(J212=5,RANDBETWEEN(15,20)&amp;"%",IF(J212=6,RANDBETWEEN(10,15)&amp;"%",IF(J212=7,RANDBETWEEN(8,10)&amp;"%",IF(J212=8,RANDBETWEEN(6,8)&amp;"%",IF(J212=9,RANDBETWEEN(4,6)&amp;"%",IF(J212=10,RANDBETWEEN(2,4)&amp;"%","")))))))))))</f>
        <v>1%</v>
      </c>
      <c r="Q212" s="123">
        <f ca="1">IFERROR(L212*(M212+N212)*O212*P212,RANDBETWEEN(1,2)%*L212*(M212+N212)*O212)</f>
        <v>1.2917457100800001E-2</v>
      </c>
      <c r="R212" s="125">
        <f>VLOOKUP(D:D,ranking!W:X,2,0)</f>
        <v>0.8</v>
      </c>
      <c r="S212" s="126">
        <f ca="1">R212*Q212</f>
        <v>1.0333965680640001E-2</v>
      </c>
      <c r="T212" s="123">
        <v>0.24047457182742732</v>
      </c>
    </row>
    <row r="213" spans="1:20" x14ac:dyDescent="0.25">
      <c r="A213" s="98" t="s">
        <v>1781</v>
      </c>
      <c r="B213" s="98" t="s">
        <v>85</v>
      </c>
      <c r="C213" s="46" t="s">
        <v>64</v>
      </c>
      <c r="D213" s="46" t="s">
        <v>1012</v>
      </c>
      <c r="E213" s="119" t="s">
        <v>211</v>
      </c>
      <c r="F213" s="46" t="s">
        <v>215</v>
      </c>
      <c r="G213" s="134" t="s">
        <v>1441</v>
      </c>
      <c r="H213" s="46" t="s">
        <v>19</v>
      </c>
      <c r="I213" s="129">
        <v>45478</v>
      </c>
      <c r="J213" s="132"/>
      <c r="K213" s="46" t="s">
        <v>2073</v>
      </c>
      <c r="L213" s="123">
        <f>VLOOKUP($C213&amp;$E213,'Updated SES'!A:N,14,0)</f>
        <v>36.498239999999996</v>
      </c>
      <c r="M213" s="124" t="e">
        <f>VLOOKUP($K213,'Genre Penetration'!A:B,2,0)*VLOOKUP($C213&amp;$E213,'Updated SES'!A:I,9,0)</f>
        <v>#N/A</v>
      </c>
      <c r="N213" s="124" t="e">
        <f>VLOOKUP(K:K,'Genre Penetration'!A:C,3,0)*VLOOKUP($C213&amp;$E213,'Updated SES'!A:J,10,0)</f>
        <v>#N/A</v>
      </c>
      <c r="O213" s="124" t="e">
        <f>VLOOKUP($B213,'Language Penetration'!$B$1:$BE$14,MATCH('Compile data Working'!#REF!,'Language Penetration'!$B$1:$BE$1,0),0)</f>
        <v>#REF!</v>
      </c>
      <c r="P213" s="124" t="str">
        <f ca="1">IF(ISBLANK(J213),RANDBETWEEN(1,2)&amp;"%",IF(J213=1,RANDBETWEEN(35,40)&amp;"%",IF(J213=2,RANDBETWEEN(30,35)&amp;"%",IF(J213=3,RANDBETWEEN(25,30)&amp;"%",IF(J213=4,RANDBETWEEN(20,25)&amp;"%",IF(J213=5,RANDBETWEEN(15,20)&amp;"%",IF(J213=6,RANDBETWEEN(10,15)&amp;"%",IF(J213=7,RANDBETWEEN(8,10)&amp;"%",IF(J213=8,RANDBETWEEN(6,8)&amp;"%",IF(J213=9,RANDBETWEEN(4,6)&amp;"%",IF(J213=10,RANDBETWEEN(2,4)&amp;"%","")))))))))))</f>
        <v>1%</v>
      </c>
      <c r="Q213" s="123" t="e">
        <f ca="1">IFERROR(L213*(M213+N213)*O213*P213,RANDBETWEEN(1,2)%*L213*(M213+N213)*O213)</f>
        <v>#N/A</v>
      </c>
      <c r="R213" s="125">
        <f>VLOOKUP(D:D,ranking!W:X,2,0)</f>
        <v>0.6</v>
      </c>
      <c r="S213" s="126" t="e">
        <f ca="1">R213*Q213</f>
        <v>#N/A</v>
      </c>
      <c r="T213" s="123">
        <v>0.23817564464516922</v>
      </c>
    </row>
    <row r="214" spans="1:20" x14ac:dyDescent="0.25">
      <c r="A214" s="98" t="s">
        <v>1781</v>
      </c>
      <c r="B214" s="98" t="s">
        <v>85</v>
      </c>
      <c r="C214" s="46" t="s">
        <v>906</v>
      </c>
      <c r="D214" s="46" t="s">
        <v>1013</v>
      </c>
      <c r="E214" s="119" t="s">
        <v>211</v>
      </c>
      <c r="F214" s="46" t="s">
        <v>213</v>
      </c>
      <c r="G214" s="134" t="s">
        <v>2037</v>
      </c>
      <c r="H214" s="46" t="s">
        <v>19</v>
      </c>
      <c r="I214" s="129">
        <v>46034</v>
      </c>
      <c r="J214" s="133"/>
      <c r="K214" s="46" t="s">
        <v>168</v>
      </c>
      <c r="L214" s="123">
        <f>VLOOKUP($C214&amp;$E214,'Updated SES'!A:N,14,0)</f>
        <v>127.11702000000001</v>
      </c>
      <c r="M214" s="124">
        <f>VLOOKUP($K214,'Genre Penetration'!A:B,2,0)*VLOOKUP($C214&amp;$E214,'Updated SES'!A:I,9,0)</f>
        <v>0.42879999999999996</v>
      </c>
      <c r="N214" s="124">
        <f>VLOOKUP(K:K,'Genre Penetration'!A:C,3,0)*VLOOKUP($C214&amp;$E214,'Updated SES'!A:J,10,0)</f>
        <v>0.11879999999999998</v>
      </c>
      <c r="O214" s="124">
        <f>VLOOKUP($B214,'Language Penetration'!$B$1:$BE$14,MATCH('Compile data Working'!$H134,'Language Penetration'!$B$1:$BE$1,0),0)</f>
        <v>0.6</v>
      </c>
      <c r="P214" s="124" t="str">
        <f ca="1">IF(ISBLANK(J214),RANDBETWEEN(1,2)&amp;"%",IF(J214=1,RANDBETWEEN(35,40)&amp;"%",IF(J214=2,RANDBETWEEN(30,35)&amp;"%",IF(J214=3,RANDBETWEEN(25,30)&amp;"%",IF(J214=4,RANDBETWEEN(20,25)&amp;"%",IF(J214=5,RANDBETWEEN(15,20)&amp;"%",IF(J214=6,RANDBETWEEN(10,15)&amp;"%",IF(J214=7,RANDBETWEEN(8,10)&amp;"%",IF(J214=8,RANDBETWEEN(6,8)&amp;"%",IF(J214=9,RANDBETWEEN(4,6)&amp;"%",IF(J214=10,RANDBETWEEN(2,4)&amp;"%","")))))))))))</f>
        <v>1%</v>
      </c>
      <c r="Q214" s="123">
        <f ca="1">IFERROR(L214*(M214+N214)*O214*P214,RANDBETWEEN(1,2)%*L214*(M214+N214)*O214)</f>
        <v>0.41765568091199995</v>
      </c>
      <c r="R214" s="125">
        <f>VLOOKUP(D:D,ranking!W:X,2,0)</f>
        <v>0.8</v>
      </c>
      <c r="S214" s="126">
        <f ca="1">R214*Q214</f>
        <v>0.33412454472959996</v>
      </c>
      <c r="T214" s="123">
        <v>0.21170131154067456</v>
      </c>
    </row>
    <row r="215" spans="1:20" x14ac:dyDescent="0.25">
      <c r="A215" s="98" t="s">
        <v>1057</v>
      </c>
      <c r="B215" s="98" t="s">
        <v>85</v>
      </c>
      <c r="C215" s="98" t="s">
        <v>906</v>
      </c>
      <c r="D215" s="98" t="s">
        <v>456</v>
      </c>
      <c r="E215" s="98" t="s">
        <v>211</v>
      </c>
      <c r="F215" s="46" t="s">
        <v>2011</v>
      </c>
      <c r="G215" s="130" t="s">
        <v>1792</v>
      </c>
      <c r="H215" s="98" t="s">
        <v>40</v>
      </c>
      <c r="I215" s="136">
        <v>45457</v>
      </c>
      <c r="J215" s="131">
        <v>4</v>
      </c>
      <c r="K215" s="98" t="s">
        <v>935</v>
      </c>
      <c r="L215" s="123">
        <f>VLOOKUP($C215&amp;$E215,'Updated SES'!A:N,14,0)</f>
        <v>127.11702000000001</v>
      </c>
      <c r="M215" s="124">
        <f>VLOOKUP($K215,'Genre Penetration'!A:B,2,0)*VLOOKUP($C215&amp;$E215,'Updated SES'!A:I,9,0)</f>
        <v>0.36849999999999999</v>
      </c>
      <c r="N215" s="124">
        <f>VLOOKUP(K:K,'Genre Penetration'!A:C,3,0)*VLOOKUP($C215&amp;$E215,'Updated SES'!A:J,10,0)</f>
        <v>0.14849999999999999</v>
      </c>
      <c r="O215" s="124">
        <f>VLOOKUP($B215,'Language Penetration'!$B$1:$BE$14,MATCH('Compile data Working'!$H178,'Language Penetration'!$B$1:$BE$1,0),0)</f>
        <v>0.6</v>
      </c>
      <c r="P215" s="124" t="str">
        <f ca="1">IF(ISBLANK(J215),RANDBETWEEN(1,2)&amp;"%",IF(J215=1,RANDBETWEEN(35,40)&amp;"%",IF(J215=2,RANDBETWEEN(30,35)&amp;"%",IF(J215=3,RANDBETWEEN(25,30)&amp;"%",IF(J215=4,RANDBETWEEN(20,25)&amp;"%",IF(J215=5,RANDBETWEEN(15,20)&amp;"%",IF(J215=6,RANDBETWEEN(10,15)&amp;"%",IF(J215=7,RANDBETWEEN(8,10)&amp;"%",IF(J215=8,RANDBETWEEN(6,8)&amp;"%",IF(J215=9,RANDBETWEEN(4,6)&amp;"%",IF(J215=10,RANDBETWEEN(2,4)&amp;"%","")))))))))))</f>
        <v>25%</v>
      </c>
      <c r="Q215" s="123">
        <f ca="1">IFERROR(L215*(M215+N215)*O215*P215,RANDBETWEEN(1,2)%*L215*(M215+N215)*O215)</f>
        <v>9.8579249010000023</v>
      </c>
      <c r="R215" s="125">
        <f>VLOOKUP(D:D,ranking!W:X,2,0)</f>
        <v>0.3</v>
      </c>
      <c r="S215" s="126">
        <f ca="1">R215*Q215</f>
        <v>2.9573774703000004</v>
      </c>
      <c r="T215" s="123">
        <v>0.19882888013835834</v>
      </c>
    </row>
    <row r="216" spans="1:20" x14ac:dyDescent="0.25">
      <c r="A216" s="98" t="s">
        <v>1781</v>
      </c>
      <c r="B216" s="98" t="s">
        <v>85</v>
      </c>
      <c r="C216" s="46" t="s">
        <v>906</v>
      </c>
      <c r="D216" s="98" t="s">
        <v>456</v>
      </c>
      <c r="E216" s="98" t="s">
        <v>211</v>
      </c>
      <c r="F216" s="46" t="s">
        <v>2011</v>
      </c>
      <c r="G216" s="130" t="s">
        <v>2040</v>
      </c>
      <c r="H216" s="46" t="s">
        <v>19</v>
      </c>
      <c r="I216" s="129">
        <v>44123</v>
      </c>
      <c r="J216" s="133"/>
      <c r="K216" s="46" t="s">
        <v>950</v>
      </c>
      <c r="L216" s="123">
        <f>VLOOKUP($C216&amp;$E216,'Updated SES'!A:N,14,0)</f>
        <v>127.11702000000001</v>
      </c>
      <c r="M216" s="124" t="e">
        <f>VLOOKUP($K216,'Genre Penetration'!A:B,2,0)*VLOOKUP($C216&amp;$E216,'Updated SES'!A:I,9,0)</f>
        <v>#N/A</v>
      </c>
      <c r="N216" s="124" t="e">
        <f>VLOOKUP(K:K,'Genre Penetration'!A:C,3,0)*VLOOKUP($C216&amp;$E216,'Updated SES'!A:J,10,0)</f>
        <v>#N/A</v>
      </c>
      <c r="O216" s="124">
        <f>VLOOKUP($B216,'Language Penetration'!$B$1:$BE$14,MATCH('Compile data Working'!$H156,'Language Penetration'!$B$1:$BE$1,0),0)</f>
        <v>0.6</v>
      </c>
      <c r="P216" s="124" t="str">
        <f ca="1">IF(ISBLANK(J216),RANDBETWEEN(1,2)&amp;"%",IF(J216=1,RANDBETWEEN(35,40)&amp;"%",IF(J216=2,RANDBETWEEN(30,35)&amp;"%",IF(J216=3,RANDBETWEEN(25,30)&amp;"%",IF(J216=4,RANDBETWEEN(20,25)&amp;"%",IF(J216=5,RANDBETWEEN(15,20)&amp;"%",IF(J216=6,RANDBETWEEN(10,15)&amp;"%",IF(J216=7,RANDBETWEEN(8,10)&amp;"%",IF(J216=8,RANDBETWEEN(6,8)&amp;"%",IF(J216=9,RANDBETWEEN(4,6)&amp;"%",IF(J216=10,RANDBETWEEN(2,4)&amp;"%","")))))))))))</f>
        <v>2%</v>
      </c>
      <c r="Q216" s="123" t="e">
        <f ca="1">IFERROR(L216*(M216+N216)*O216*P216,RANDBETWEEN(1,2)%*L216*(M216+N216)*O216)</f>
        <v>#N/A</v>
      </c>
      <c r="R216" s="125">
        <f>VLOOKUP(D:D,ranking!W:X,2,0)</f>
        <v>0.3</v>
      </c>
      <c r="S216" s="126" t="e">
        <f ca="1">R216*Q216</f>
        <v>#N/A</v>
      </c>
      <c r="T216" s="123">
        <v>0.19450734545088</v>
      </c>
    </row>
    <row r="217" spans="1:20" x14ac:dyDescent="0.25">
      <c r="A217" s="98" t="s">
        <v>1057</v>
      </c>
      <c r="B217" s="98" t="s">
        <v>85</v>
      </c>
      <c r="C217" s="98" t="s">
        <v>906</v>
      </c>
      <c r="D217" s="46" t="s">
        <v>1012</v>
      </c>
      <c r="E217" s="98" t="s">
        <v>211</v>
      </c>
      <c r="F217" s="46" t="s">
        <v>215</v>
      </c>
      <c r="G217" s="130" t="s">
        <v>1811</v>
      </c>
      <c r="H217" s="98" t="s">
        <v>1058</v>
      </c>
      <c r="I217" s="136">
        <v>46094</v>
      </c>
      <c r="J217" s="131">
        <v>10</v>
      </c>
      <c r="K217" s="98" t="s">
        <v>145</v>
      </c>
      <c r="L217" s="123">
        <f>VLOOKUP($C217&amp;$E217,'Updated SES'!A:N,14,0)</f>
        <v>127.11702000000001</v>
      </c>
      <c r="M217" s="124">
        <f>VLOOKUP($K217,'Genre Penetration'!A:B,2,0)*VLOOKUP($C217&amp;$E217,'Updated SES'!A:I,9,0)</f>
        <v>0.24789999999999998</v>
      </c>
      <c r="N217" s="124">
        <f>VLOOKUP(K:K,'Genre Penetration'!A:C,3,0)*VLOOKUP($C217&amp;$E217,'Updated SES'!A:J,10,0)</f>
        <v>0.20789999999999997</v>
      </c>
      <c r="O217" s="124">
        <f>VLOOKUP($B217,'Language Penetration'!$B$1:$BE$14,MATCH('Compile data Working'!$H10,'Language Penetration'!$B$1:$BE$1,0),0)</f>
        <v>0.6</v>
      </c>
      <c r="P217" s="124" t="str">
        <f ca="1">IF(ISBLANK(J217),RANDBETWEEN(1,2)&amp;"%",IF(J217=1,RANDBETWEEN(35,40)&amp;"%",IF(J217=2,RANDBETWEEN(30,35)&amp;"%",IF(J217=3,RANDBETWEEN(25,30)&amp;"%",IF(J217=4,RANDBETWEEN(20,25)&amp;"%",IF(J217=5,RANDBETWEEN(15,20)&amp;"%",IF(J217=6,RANDBETWEEN(10,15)&amp;"%",IF(J217=7,RANDBETWEEN(8,10)&amp;"%",IF(J217=8,RANDBETWEEN(6,8)&amp;"%",IF(J217=9,RANDBETWEEN(4,6)&amp;"%",IF(J217=10,RANDBETWEEN(2,4)&amp;"%","")))))))))))</f>
        <v>3%</v>
      </c>
      <c r="Q217" s="123">
        <f ca="1">IFERROR(L217*(M217+N217)*O217*P217,RANDBETWEEN(1,2)%*L217*(M217+N217)*O217)</f>
        <v>1.0429188788879999</v>
      </c>
      <c r="R217" s="125">
        <f>VLOOKUP(D:D,ranking!W:X,2,0)</f>
        <v>0.6</v>
      </c>
      <c r="S217" s="126">
        <f ca="1">R217*Q217</f>
        <v>0.62575132733279992</v>
      </c>
      <c r="T217" s="123">
        <v>0.19398346776935993</v>
      </c>
    </row>
    <row r="218" spans="1:20" x14ac:dyDescent="0.25">
      <c r="A218" s="98" t="s">
        <v>1781</v>
      </c>
      <c r="B218" s="98" t="s">
        <v>85</v>
      </c>
      <c r="C218" s="46" t="s">
        <v>906</v>
      </c>
      <c r="D218" s="46" t="s">
        <v>1013</v>
      </c>
      <c r="E218" s="119" t="s">
        <v>211</v>
      </c>
      <c r="F218" s="46" t="s">
        <v>213</v>
      </c>
      <c r="G218" s="134" t="s">
        <v>2053</v>
      </c>
      <c r="H218" s="46" t="s">
        <v>19</v>
      </c>
      <c r="I218" s="129">
        <v>45387</v>
      </c>
      <c r="J218" s="133"/>
      <c r="K218" s="46" t="s">
        <v>1778</v>
      </c>
      <c r="L218" s="123">
        <f>VLOOKUP($C218&amp;$E218,'Updated SES'!A:N,14,0)</f>
        <v>127.11702000000001</v>
      </c>
      <c r="M218" s="124">
        <f>VLOOKUP($K218,'Genre Penetration'!A:B,2,0)*VLOOKUP($C218&amp;$E218,'Updated SES'!A:I,9,0)</f>
        <v>0.33499999999999996</v>
      </c>
      <c r="N218" s="124">
        <f>VLOOKUP(K:K,'Genre Penetration'!A:C,3,0)*VLOOKUP($C218&amp;$E218,'Updated SES'!A:J,10,0)</f>
        <v>0.16499999999999998</v>
      </c>
      <c r="O218" s="124">
        <f>VLOOKUP($B218,'Language Penetration'!$B$1:$BE$14,MATCH('Compile data Working'!$H203,'Language Penetration'!$B$1:$BE$1,0),0)</f>
        <v>0.6</v>
      </c>
      <c r="P218" s="124" t="str">
        <f ca="1">IF(ISBLANK(J218),RANDBETWEEN(1,2)&amp;"%",IF(J218=1,RANDBETWEEN(35,40)&amp;"%",IF(J218=2,RANDBETWEEN(30,35)&amp;"%",IF(J218=3,RANDBETWEEN(25,30)&amp;"%",IF(J218=4,RANDBETWEEN(20,25)&amp;"%",IF(J218=5,RANDBETWEEN(15,20)&amp;"%",IF(J218=6,RANDBETWEEN(10,15)&amp;"%",IF(J218=7,RANDBETWEEN(8,10)&amp;"%",IF(J218=8,RANDBETWEEN(6,8)&amp;"%",IF(J218=9,RANDBETWEEN(4,6)&amp;"%",IF(J218=10,RANDBETWEEN(2,4)&amp;"%","")))))))))))</f>
        <v>1%</v>
      </c>
      <c r="Q218" s="123">
        <f ca="1">IFERROR(L218*(M218+N218)*O218*P218,RANDBETWEEN(1,2)%*L218*(M218+N218)*O218)</f>
        <v>0.38135106000000002</v>
      </c>
      <c r="R218" s="125">
        <f>VLOOKUP(D:D,ranking!W:X,2,0)</f>
        <v>0.8</v>
      </c>
      <c r="S218" s="126">
        <f ca="1">R218*Q218</f>
        <v>0.30508084800000002</v>
      </c>
      <c r="T218" s="123">
        <v>0.17339907004890631</v>
      </c>
    </row>
    <row r="219" spans="1:20" x14ac:dyDescent="0.25">
      <c r="A219" s="98" t="s">
        <v>1057</v>
      </c>
      <c r="B219" s="98" t="s">
        <v>85</v>
      </c>
      <c r="C219" s="46" t="s">
        <v>1229</v>
      </c>
      <c r="D219" s="46" t="s">
        <v>1866</v>
      </c>
      <c r="E219" s="46" t="s">
        <v>219</v>
      </c>
      <c r="F219" s="46" t="s">
        <v>215</v>
      </c>
      <c r="G219" s="134" t="s">
        <v>1886</v>
      </c>
      <c r="H219" s="46" t="s">
        <v>19</v>
      </c>
      <c r="I219" s="129">
        <v>46043</v>
      </c>
      <c r="J219" s="133">
        <v>8</v>
      </c>
      <c r="K219" s="46" t="s">
        <v>138</v>
      </c>
      <c r="L219" s="123">
        <f>VLOOKUP($C219&amp;$E219,'Updated SES'!A:N,14,0)</f>
        <v>78.939870000000013</v>
      </c>
      <c r="M219" s="124">
        <f>VLOOKUP($K219,'Genre Penetration'!A:B,2,0)*VLOOKUP($C219&amp;$E219,'Updated SES'!A:I,9,0)</f>
        <v>0.376</v>
      </c>
      <c r="N219" s="124">
        <f>VLOOKUP(K:K,'Genre Penetration'!A:C,3,0)*VLOOKUP($C219&amp;$E219,'Updated SES'!A:J,10,0)</f>
        <v>0.10600000000000001</v>
      </c>
      <c r="O219" s="124">
        <f>VLOOKUP($B219,'Language Penetration'!$B$1:$BE$14,MATCH('Compile data Working'!$H15,'Language Penetration'!$B$1:$BE$1,0),0)</f>
        <v>0.6</v>
      </c>
      <c r="P219" s="124" t="str">
        <f ca="1">IF(ISBLANK(J219),RANDBETWEEN(1,2)&amp;"%",IF(J219=1,RANDBETWEEN(35,40)&amp;"%",IF(J219=2,RANDBETWEEN(30,35)&amp;"%",IF(J219=3,RANDBETWEEN(25,30)&amp;"%",IF(J219=4,RANDBETWEEN(20,25)&amp;"%",IF(J219=5,RANDBETWEEN(15,20)&amp;"%",IF(J219=6,RANDBETWEEN(10,15)&amp;"%",IF(J219=7,RANDBETWEEN(8,10)&amp;"%",IF(J219=8,RANDBETWEEN(6,8)&amp;"%",IF(J219=9,RANDBETWEEN(4,6)&amp;"%",IF(J219=10,RANDBETWEEN(2,4)&amp;"%","")))))))))))</f>
        <v>6%</v>
      </c>
      <c r="Q219" s="123">
        <f ca="1">IFERROR(L219*(M219+N219)*O219*P219,RANDBETWEEN(1,2)%*L219*(M219+N219)*O219)</f>
        <v>1.3697646242400001</v>
      </c>
      <c r="R219" s="125">
        <f>VLOOKUP(D:D,ranking!W:X,2,0)</f>
        <v>0.6</v>
      </c>
      <c r="S219" s="126">
        <f ca="1">R219*Q219</f>
        <v>0.82185877454400003</v>
      </c>
      <c r="T219" s="123">
        <v>0.15679754491853751</v>
      </c>
    </row>
    <row r="220" spans="1:20" x14ac:dyDescent="0.25">
      <c r="A220" s="98" t="s">
        <v>1781</v>
      </c>
      <c r="B220" s="98" t="s">
        <v>85</v>
      </c>
      <c r="C220" s="46" t="s">
        <v>879</v>
      </c>
      <c r="D220" s="46" t="s">
        <v>1866</v>
      </c>
      <c r="E220" s="98" t="s">
        <v>219</v>
      </c>
      <c r="F220" s="46" t="s">
        <v>215</v>
      </c>
      <c r="G220" s="134" t="s">
        <v>2035</v>
      </c>
      <c r="H220" s="46" t="s">
        <v>19</v>
      </c>
      <c r="I220" s="129" t="s">
        <v>254</v>
      </c>
      <c r="J220" s="133"/>
      <c r="K220" s="46" t="s">
        <v>2075</v>
      </c>
      <c r="L220" s="123">
        <f>VLOOKUP($C220&amp;$E220,'Updated SES'!A:N,14,0)</f>
        <v>78.939870000000013</v>
      </c>
      <c r="M220" s="124" t="e">
        <f>VLOOKUP($K220,'Genre Penetration'!A:B,2,0)*VLOOKUP($C220&amp;$E220,'Updated SES'!A:I,9,0)</f>
        <v>#N/A</v>
      </c>
      <c r="N220" s="124" t="e">
        <f>VLOOKUP(K:K,'Genre Penetration'!A:C,3,0)*VLOOKUP($C220&amp;$E220,'Updated SES'!A:J,10,0)</f>
        <v>#N/A</v>
      </c>
      <c r="O220" s="124">
        <f>VLOOKUP($B220,'Language Penetration'!$B$1:$BE$14,MATCH('Compile data Working'!$H131,'Language Penetration'!$B$1:$BE$1,0),0)</f>
        <v>0.6</v>
      </c>
      <c r="P220" s="124" t="str">
        <f ca="1">IF(ISBLANK(J220),RANDBETWEEN(1,2)&amp;"%",IF(J220=1,RANDBETWEEN(35,40)&amp;"%",IF(J220=2,RANDBETWEEN(30,35)&amp;"%",IF(J220=3,RANDBETWEEN(25,30)&amp;"%",IF(J220=4,RANDBETWEEN(20,25)&amp;"%",IF(J220=5,RANDBETWEEN(15,20)&amp;"%",IF(J220=6,RANDBETWEEN(10,15)&amp;"%",IF(J220=7,RANDBETWEEN(8,10)&amp;"%",IF(J220=8,RANDBETWEEN(6,8)&amp;"%",IF(J220=9,RANDBETWEEN(4,6)&amp;"%",IF(J220=10,RANDBETWEEN(2,4)&amp;"%","")))))))))))</f>
        <v>2%</v>
      </c>
      <c r="Q220" s="123" t="e">
        <f ca="1">IFERROR(L220*(M220+N220)*O220*P220,RANDBETWEEN(1,2)%*L220*(M220+N220)*O220)</f>
        <v>#N/A</v>
      </c>
      <c r="R220" s="125">
        <f>VLOOKUP(D:D,ranking!W:X,2,0)</f>
        <v>0.6</v>
      </c>
      <c r="S220" s="126" t="e">
        <f ca="1">R220*Q220</f>
        <v>#N/A</v>
      </c>
      <c r="T220" s="123">
        <v>0.15523309456015685</v>
      </c>
    </row>
    <row r="221" spans="1:20" x14ac:dyDescent="0.25">
      <c r="A221" s="98" t="s">
        <v>1781</v>
      </c>
      <c r="B221" s="98" t="s">
        <v>85</v>
      </c>
      <c r="C221" s="46" t="s">
        <v>906</v>
      </c>
      <c r="D221" s="98" t="s">
        <v>456</v>
      </c>
      <c r="E221" s="98" t="s">
        <v>211</v>
      </c>
      <c r="F221" s="46" t="s">
        <v>2011</v>
      </c>
      <c r="G221" s="134" t="s">
        <v>427</v>
      </c>
      <c r="H221" s="46" t="s">
        <v>19</v>
      </c>
      <c r="I221" s="129">
        <v>45258</v>
      </c>
      <c r="J221" s="132"/>
      <c r="K221" s="46" t="s">
        <v>950</v>
      </c>
      <c r="L221" s="123">
        <f>VLOOKUP($C221&amp;$E221,'Updated SES'!A:N,14,0)</f>
        <v>127.11702000000001</v>
      </c>
      <c r="M221" s="124" t="e">
        <f>VLOOKUP($K221,'Genre Penetration'!A:B,2,0)*VLOOKUP($C221&amp;$E221,'Updated SES'!A:I,9,0)</f>
        <v>#N/A</v>
      </c>
      <c r="N221" s="124" t="e">
        <f>VLOOKUP(K:K,'Genre Penetration'!A:C,3,0)*VLOOKUP($C221&amp;$E221,'Updated SES'!A:J,10,0)</f>
        <v>#N/A</v>
      </c>
      <c r="O221" s="124" t="e">
        <f>VLOOKUP($B221,'Language Penetration'!$B$1:$BE$14,MATCH('Compile data Working'!$H81,'Language Penetration'!$B$1:$BE$1,0),0)</f>
        <v>#N/A</v>
      </c>
      <c r="P221" s="124" t="str">
        <f ca="1">IF(ISBLANK(J221),RANDBETWEEN(1,2)&amp;"%",IF(J221=1,RANDBETWEEN(35,40)&amp;"%",IF(J221=2,RANDBETWEEN(30,35)&amp;"%",IF(J221=3,RANDBETWEEN(25,30)&amp;"%",IF(J221=4,RANDBETWEEN(20,25)&amp;"%",IF(J221=5,RANDBETWEEN(15,20)&amp;"%",IF(J221=6,RANDBETWEEN(10,15)&amp;"%",IF(J221=7,RANDBETWEEN(8,10)&amp;"%",IF(J221=8,RANDBETWEEN(6,8)&amp;"%",IF(J221=9,RANDBETWEEN(4,6)&amp;"%",IF(J221=10,RANDBETWEEN(2,4)&amp;"%","")))))))))))</f>
        <v>1%</v>
      </c>
      <c r="Q221" s="123" t="e">
        <f ca="1">IFERROR(L221*(M221+N221)*O221*P221,RANDBETWEEN(1,2)%*L221*(M221+N221)*O221)</f>
        <v>#N/A</v>
      </c>
      <c r="R221" s="125">
        <f>VLOOKUP(D:D,ranking!W:X,2,0)</f>
        <v>0.3</v>
      </c>
      <c r="S221" s="126" t="e">
        <f ca="1">R221*Q221</f>
        <v>#N/A</v>
      </c>
      <c r="T221" s="123">
        <v>0.15266282077412355</v>
      </c>
    </row>
    <row r="222" spans="1:20" x14ac:dyDescent="0.25">
      <c r="A222" s="98" t="s">
        <v>1057</v>
      </c>
      <c r="B222" s="98" t="s">
        <v>85</v>
      </c>
      <c r="C222" s="98" t="s">
        <v>150</v>
      </c>
      <c r="D222" s="46" t="s">
        <v>1012</v>
      </c>
      <c r="E222" s="98" t="s">
        <v>211</v>
      </c>
      <c r="F222" s="46" t="s">
        <v>215</v>
      </c>
      <c r="G222" s="130" t="s">
        <v>1920</v>
      </c>
      <c r="H222" s="98" t="s">
        <v>320</v>
      </c>
      <c r="I222" s="136">
        <v>46052</v>
      </c>
      <c r="J222" s="132">
        <v>7</v>
      </c>
      <c r="K222" s="120" t="s">
        <v>176</v>
      </c>
      <c r="L222" s="123">
        <f>VLOOKUP($C222&amp;$E222,'Updated SES'!A:N,14,0)</f>
        <v>60.152000000000001</v>
      </c>
      <c r="M222" s="124">
        <f>VLOOKUP($K222,'Genre Penetration'!A:B,2,0)*VLOOKUP($C222&amp;$E222,'Updated SES'!A:I,9,0)</f>
        <v>0.40300000000000002</v>
      </c>
      <c r="N222" s="124">
        <f>VLOOKUP(K:K,'Genre Penetration'!A:C,3,0)*VLOOKUP($C222&amp;$E222,'Updated SES'!A:J,10,0)</f>
        <v>0.13299999999999998</v>
      </c>
      <c r="O222" s="124">
        <f>VLOOKUP($B222,'Language Penetration'!$B$1:$BE$14,MATCH('Compile data Working'!$H27,'Language Penetration'!$B$1:$BE$1,0),0)</f>
        <v>0.6</v>
      </c>
      <c r="P222" s="124" t="str">
        <f ca="1">IF(ISBLANK(J222),RANDBETWEEN(1,2)&amp;"%",IF(J222=1,RANDBETWEEN(35,40)&amp;"%",IF(J222=2,RANDBETWEEN(30,35)&amp;"%",IF(J222=3,RANDBETWEEN(25,30)&amp;"%",IF(J222=4,RANDBETWEEN(20,25)&amp;"%",IF(J222=5,RANDBETWEEN(15,20)&amp;"%",IF(J222=6,RANDBETWEEN(10,15)&amp;"%",IF(J222=7,RANDBETWEEN(8,10)&amp;"%",IF(J222=8,RANDBETWEEN(6,8)&amp;"%",IF(J222=9,RANDBETWEEN(4,6)&amp;"%",IF(J222=10,RANDBETWEEN(2,4)&amp;"%","")))))))))))</f>
        <v>8%</v>
      </c>
      <c r="Q222" s="123">
        <f ca="1">IFERROR(L222*(M222+N222)*O222*P222,RANDBETWEEN(1,2)%*L222*(M222+N222)*O222)</f>
        <v>1.5475906560000001</v>
      </c>
      <c r="R222" s="125">
        <f>VLOOKUP(D:D,ranking!W:X,2,0)</f>
        <v>0.6</v>
      </c>
      <c r="S222" s="126">
        <f ca="1">R222*Q222</f>
        <v>0.92855439360000003</v>
      </c>
      <c r="T222" s="123">
        <v>0.14275116580209407</v>
      </c>
    </row>
    <row r="223" spans="1:20" x14ac:dyDescent="0.25">
      <c r="A223" s="98" t="s">
        <v>1057</v>
      </c>
      <c r="B223" s="98" t="s">
        <v>85</v>
      </c>
      <c r="C223" s="98" t="s">
        <v>406</v>
      </c>
      <c r="D223" s="98" t="s">
        <v>434</v>
      </c>
      <c r="E223" s="119" t="s">
        <v>211</v>
      </c>
      <c r="F223" s="46" t="s">
        <v>213</v>
      </c>
      <c r="G223" s="143" t="s">
        <v>1785</v>
      </c>
      <c r="H223" s="119" t="s">
        <v>20</v>
      </c>
      <c r="I223" s="138">
        <v>46066</v>
      </c>
      <c r="J223" s="131">
        <v>8</v>
      </c>
      <c r="K223" s="119" t="s">
        <v>154</v>
      </c>
      <c r="L223" s="123">
        <f>VLOOKUP($C223&amp;$E223,'Updated SES'!A:N,14,0)</f>
        <v>1.669</v>
      </c>
      <c r="M223" s="124">
        <f>VLOOKUP($K223,'Genre Penetration'!A:B,2,0)*VLOOKUP($C223&amp;$E223,'Updated SES'!A:I,9,0)</f>
        <v>0.18</v>
      </c>
      <c r="N223" s="124">
        <f>VLOOKUP(K:K,'Genre Penetration'!A:C,3,0)*VLOOKUP($C223&amp;$E223,'Updated SES'!A:J,10,0)</f>
        <v>0.27999999999999997</v>
      </c>
      <c r="O223" s="124">
        <f>VLOOKUP($B223,'Language Penetration'!$B$1:$BE$14,MATCH('Compile data Working'!$H32,'Language Penetration'!$B$1:$BE$1,0),0)</f>
        <v>0.15</v>
      </c>
      <c r="P223" s="124" t="str">
        <f ca="1">IF(ISBLANK(J223),RANDBETWEEN(1,2)&amp;"%",IF(J223=1,RANDBETWEEN(35,40)&amp;"%",IF(J223=2,RANDBETWEEN(30,35)&amp;"%",IF(J223=3,RANDBETWEEN(25,30)&amp;"%",IF(J223=4,RANDBETWEEN(20,25)&amp;"%",IF(J223=5,RANDBETWEEN(15,20)&amp;"%",IF(J223=6,RANDBETWEEN(10,15)&amp;"%",IF(J223=7,RANDBETWEEN(8,10)&amp;"%",IF(J223=8,RANDBETWEEN(6,8)&amp;"%",IF(J223=9,RANDBETWEEN(4,6)&amp;"%",IF(J223=10,RANDBETWEEN(2,4)&amp;"%","")))))))))))</f>
        <v>6%</v>
      </c>
      <c r="Q223" s="123">
        <f ca="1">IFERROR(L223*(M223+N223)*O223*P223,RANDBETWEEN(1,2)%*L223*(M223+N223)*O223)</f>
        <v>6.9096599999999989E-3</v>
      </c>
      <c r="R223" s="125">
        <f>VLOOKUP(D:D,ranking!W:X,2,0)</f>
        <v>0.7</v>
      </c>
      <c r="S223" s="126">
        <f ca="1">R223*Q223</f>
        <v>4.8367619999999988E-3</v>
      </c>
      <c r="T223" s="123">
        <v>0.12837463713933858</v>
      </c>
    </row>
    <row r="224" spans="1:20" x14ac:dyDescent="0.25">
      <c r="A224" s="98" t="s">
        <v>1057</v>
      </c>
      <c r="B224" s="98" t="s">
        <v>85</v>
      </c>
      <c r="C224" s="98" t="s">
        <v>132</v>
      </c>
      <c r="D224" s="98" t="s">
        <v>456</v>
      </c>
      <c r="E224" s="98" t="s">
        <v>219</v>
      </c>
      <c r="F224" s="46" t="s">
        <v>2011</v>
      </c>
      <c r="G224" s="130" t="s">
        <v>1911</v>
      </c>
      <c r="H224" s="120" t="s">
        <v>29</v>
      </c>
      <c r="I224" s="136">
        <v>44025</v>
      </c>
      <c r="J224" s="131">
        <v>10</v>
      </c>
      <c r="K224" s="98" t="s">
        <v>124</v>
      </c>
      <c r="L224" s="123">
        <f>VLOOKUP($C224&amp;$E224,'Updated SES'!A:N,14,0)</f>
        <v>5.2679999999999998</v>
      </c>
      <c r="M224" s="124">
        <f>VLOOKUP($K224,'Genre Penetration'!A:B,2,0)*VLOOKUP($C224&amp;$E224,'Updated SES'!A:I,9,0)</f>
        <v>0.29700000000000004</v>
      </c>
      <c r="N224" s="124">
        <f>VLOOKUP(K:K,'Genre Penetration'!A:C,3,0)*VLOOKUP($C224&amp;$E224,'Updated SES'!A:J,10,0)</f>
        <v>0.18700000000000003</v>
      </c>
      <c r="O224" s="124" t="e">
        <f>VLOOKUP($B224,'Language Penetration'!$B$1:$BE$14,MATCH('Compile data Working'!$H136,'Language Penetration'!$B$1:$BE$1,0),0)</f>
        <v>#N/A</v>
      </c>
      <c r="P224" s="124" t="str">
        <f ca="1">IF(ISBLANK(J224),RANDBETWEEN(1,2)&amp;"%",IF(J224=1,RANDBETWEEN(35,40)&amp;"%",IF(J224=2,RANDBETWEEN(30,35)&amp;"%",IF(J224=3,RANDBETWEEN(25,30)&amp;"%",IF(J224=4,RANDBETWEEN(20,25)&amp;"%",IF(J224=5,RANDBETWEEN(15,20)&amp;"%",IF(J224=6,RANDBETWEEN(10,15)&amp;"%",IF(J224=7,RANDBETWEEN(8,10)&amp;"%",IF(J224=8,RANDBETWEEN(6,8)&amp;"%",IF(J224=9,RANDBETWEEN(4,6)&amp;"%",IF(J224=10,RANDBETWEEN(2,4)&amp;"%","")))))))))))</f>
        <v>3%</v>
      </c>
      <c r="Q224" s="123" t="e">
        <f ca="1">IFERROR(L224*(M224+N224)*O224*P224,RANDBETWEEN(1,2)%*L224*(M224+N224)*O224)</f>
        <v>#N/A</v>
      </c>
      <c r="R224" s="125">
        <f>VLOOKUP(D:D,ranking!W:X,2,0)</f>
        <v>0.3</v>
      </c>
      <c r="S224" s="126" t="e">
        <f ca="1">R224*Q224</f>
        <v>#N/A</v>
      </c>
      <c r="T224" s="123">
        <v>0.10591125230079999</v>
      </c>
    </row>
    <row r="225" spans="1:20" x14ac:dyDescent="0.25">
      <c r="A225" s="98" t="s">
        <v>1057</v>
      </c>
      <c r="B225" s="98" t="s">
        <v>85</v>
      </c>
      <c r="C225" s="98" t="s">
        <v>132</v>
      </c>
      <c r="D225" s="46" t="s">
        <v>1012</v>
      </c>
      <c r="E225" s="98" t="s">
        <v>211</v>
      </c>
      <c r="F225" s="46" t="s">
        <v>215</v>
      </c>
      <c r="G225" s="130" t="s">
        <v>1910</v>
      </c>
      <c r="H225" s="98" t="s">
        <v>1222</v>
      </c>
      <c r="I225" s="136">
        <v>45449</v>
      </c>
      <c r="J225" s="131">
        <v>4</v>
      </c>
      <c r="K225" s="98" t="s">
        <v>138</v>
      </c>
      <c r="L225" s="123">
        <f>VLOOKUP($C225&amp;$E225,'Updated SES'!A:N,14,0)</f>
        <v>21.682040000000004</v>
      </c>
      <c r="M225" s="124">
        <f>VLOOKUP($K225,'Genre Penetration'!A:B,2,0)*VLOOKUP($C225&amp;$E225,'Updated SES'!A:I,9,0)</f>
        <v>0.30549999999999999</v>
      </c>
      <c r="N225" s="124">
        <f>VLOOKUP(K:K,'Genre Penetration'!A:C,3,0)*VLOOKUP($C225&amp;$E225,'Updated SES'!A:J,10,0)</f>
        <v>0.1855</v>
      </c>
      <c r="O225" s="124">
        <f>VLOOKUP($B225,'Language Penetration'!$B$1:$BE$14,MATCH('Compile data Working'!$H170,'Language Penetration'!$B$1:$BE$1,0),0)</f>
        <v>0.6</v>
      </c>
      <c r="P225" s="124" t="str">
        <f ca="1">IF(ISBLANK(J225),RANDBETWEEN(1,2)&amp;"%",IF(J225=1,RANDBETWEEN(35,40)&amp;"%",IF(J225=2,RANDBETWEEN(30,35)&amp;"%",IF(J225=3,RANDBETWEEN(25,30)&amp;"%",IF(J225=4,RANDBETWEEN(20,25)&amp;"%",IF(J225=5,RANDBETWEEN(15,20)&amp;"%",IF(J225=6,RANDBETWEEN(10,15)&amp;"%",IF(J225=7,RANDBETWEEN(8,10)&amp;"%",IF(J225=8,RANDBETWEEN(6,8)&amp;"%",IF(J225=9,RANDBETWEEN(4,6)&amp;"%",IF(J225=10,RANDBETWEEN(2,4)&amp;"%","")))))))))))</f>
        <v>20%</v>
      </c>
      <c r="Q225" s="123">
        <f ca="1">IFERROR(L225*(M225+N225)*O225*P225,RANDBETWEEN(1,2)%*L225*(M225+N225)*O225)</f>
        <v>1.2775057968000003</v>
      </c>
      <c r="R225" s="125">
        <f>VLOOKUP(D:D,ranking!W:X,2,0)</f>
        <v>0.6</v>
      </c>
      <c r="S225" s="126">
        <f ca="1">R225*Q225</f>
        <v>0.76650347808000019</v>
      </c>
      <c r="T225" s="123">
        <v>0.10262531107178381</v>
      </c>
    </row>
    <row r="226" spans="1:20" x14ac:dyDescent="0.25">
      <c r="A226" s="98" t="s">
        <v>1057</v>
      </c>
      <c r="B226" s="98" t="s">
        <v>85</v>
      </c>
      <c r="C226" s="98" t="s">
        <v>150</v>
      </c>
      <c r="D226" s="46" t="s">
        <v>1866</v>
      </c>
      <c r="E226" s="98" t="s">
        <v>219</v>
      </c>
      <c r="F226" s="46" t="s">
        <v>215</v>
      </c>
      <c r="G226" s="130" t="s">
        <v>1919</v>
      </c>
      <c r="H226" s="119" t="s">
        <v>40</v>
      </c>
      <c r="I226" s="136">
        <v>45597</v>
      </c>
      <c r="J226" s="131">
        <v>6</v>
      </c>
      <c r="K226" s="119" t="s">
        <v>173</v>
      </c>
      <c r="L226" s="123">
        <f>VLOOKUP($C226&amp;$E226,'Updated SES'!A:N,14,0)</f>
        <v>24.425800000000002</v>
      </c>
      <c r="M226" s="124">
        <f>VLOOKUP($K226,'Genre Penetration'!A:B,2,0)*VLOOKUP($C226&amp;$E226,'Updated SES'!A:I,9,0)</f>
        <v>0.37400000000000005</v>
      </c>
      <c r="N226" s="124">
        <f>VLOOKUP(K:K,'Genre Penetration'!A:C,3,0)*VLOOKUP($C226&amp;$E226,'Updated SES'!A:J,10,0)</f>
        <v>0.14400000000000002</v>
      </c>
      <c r="O226" s="124">
        <f>VLOOKUP($B226,'Language Penetration'!$B$1:$BE$14,MATCH('Compile data Working'!$H180,'Language Penetration'!$B$1:$BE$1,0),0)</f>
        <v>0.6</v>
      </c>
      <c r="P226" s="124" t="str">
        <f ca="1">IF(ISBLANK(J226),RANDBETWEEN(1,2)&amp;"%",IF(J226=1,RANDBETWEEN(35,40)&amp;"%",IF(J226=2,RANDBETWEEN(30,35)&amp;"%",IF(J226=3,RANDBETWEEN(25,30)&amp;"%",IF(J226=4,RANDBETWEEN(20,25)&amp;"%",IF(J226=5,RANDBETWEEN(15,20)&amp;"%",IF(J226=6,RANDBETWEEN(10,15)&amp;"%",IF(J226=7,RANDBETWEEN(8,10)&amp;"%",IF(J226=8,RANDBETWEEN(6,8)&amp;"%",IF(J226=9,RANDBETWEEN(4,6)&amp;"%",IF(J226=10,RANDBETWEEN(2,4)&amp;"%","")))))))))))</f>
        <v>11%</v>
      </c>
      <c r="Q226" s="123">
        <f ca="1">IFERROR(L226*(M226+N226)*O226*P226,RANDBETWEEN(1,2)%*L226*(M226+N226)*O226)</f>
        <v>0.83506925040000002</v>
      </c>
      <c r="R226" s="125">
        <f>VLOOKUP(D:D,ranking!W:X,2,0)</f>
        <v>0.6</v>
      </c>
      <c r="S226" s="126">
        <f ca="1">R226*Q226</f>
        <v>0.50104155023999997</v>
      </c>
      <c r="T226" s="123">
        <v>0.10081817242958736</v>
      </c>
    </row>
    <row r="227" spans="1:20" x14ac:dyDescent="0.25">
      <c r="A227" s="98" t="s">
        <v>1781</v>
      </c>
      <c r="B227" s="98" t="s">
        <v>85</v>
      </c>
      <c r="C227" s="46" t="s">
        <v>906</v>
      </c>
      <c r="D227" s="98" t="s">
        <v>456</v>
      </c>
      <c r="E227" s="98" t="s">
        <v>211</v>
      </c>
      <c r="F227" s="46" t="s">
        <v>2011</v>
      </c>
      <c r="G227" s="134" t="s">
        <v>1804</v>
      </c>
      <c r="H227" s="46" t="s">
        <v>29</v>
      </c>
      <c r="I227" s="129">
        <v>44900</v>
      </c>
      <c r="J227" s="133"/>
      <c r="K227" s="46" t="s">
        <v>950</v>
      </c>
      <c r="L227" s="123">
        <f>VLOOKUP($C227&amp;$E227,'Updated SES'!A:N,14,0)</f>
        <v>127.11702000000001</v>
      </c>
      <c r="M227" s="124" t="e">
        <f>VLOOKUP($K227,'Genre Penetration'!A:B,2,0)*VLOOKUP($C227&amp;$E227,'Updated SES'!A:I,9,0)</f>
        <v>#N/A</v>
      </c>
      <c r="N227" s="124" t="e">
        <f>VLOOKUP(K:K,'Genre Penetration'!A:C,3,0)*VLOOKUP($C227&amp;$E227,'Updated SES'!A:J,10,0)</f>
        <v>#N/A</v>
      </c>
      <c r="O227" s="124">
        <f>VLOOKUP($B227,'Language Penetration'!$B$1:$BE$14,MATCH('Compile data Working'!$H195,'Language Penetration'!$B$1:$BE$1,0),0)</f>
        <v>0.12</v>
      </c>
      <c r="P227" s="124" t="str">
        <f ca="1">IF(ISBLANK(J227),RANDBETWEEN(1,2)&amp;"%",IF(J227=1,RANDBETWEEN(35,40)&amp;"%",IF(J227=2,RANDBETWEEN(30,35)&amp;"%",IF(J227=3,RANDBETWEEN(25,30)&amp;"%",IF(J227=4,RANDBETWEEN(20,25)&amp;"%",IF(J227=5,RANDBETWEEN(15,20)&amp;"%",IF(J227=6,RANDBETWEEN(10,15)&amp;"%",IF(J227=7,RANDBETWEEN(8,10)&amp;"%",IF(J227=8,RANDBETWEEN(6,8)&amp;"%",IF(J227=9,RANDBETWEEN(4,6)&amp;"%",IF(J227=10,RANDBETWEEN(2,4)&amp;"%","")))))))))))</f>
        <v>1%</v>
      </c>
      <c r="Q227" s="123" t="e">
        <f ca="1">IFERROR(L227*(M227+N227)*O227*P227,RANDBETWEEN(1,2)%*L227*(M227+N227)*O227)</f>
        <v>#N/A</v>
      </c>
      <c r="R227" s="125">
        <f>VLOOKUP(D:D,ranking!W:X,2,0)</f>
        <v>0.3</v>
      </c>
      <c r="S227" s="126" t="e">
        <f ca="1">R227*Q227</f>
        <v>#N/A</v>
      </c>
      <c r="T227" s="123">
        <v>9.3111680983117728E-2</v>
      </c>
    </row>
    <row r="228" spans="1:20" x14ac:dyDescent="0.25">
      <c r="A228" s="98" t="s">
        <v>1057</v>
      </c>
      <c r="B228" s="98" t="s">
        <v>85</v>
      </c>
      <c r="C228" s="98" t="s">
        <v>406</v>
      </c>
      <c r="D228" s="46" t="s">
        <v>1012</v>
      </c>
      <c r="E228" s="98" t="s">
        <v>211</v>
      </c>
      <c r="F228" s="46" t="s">
        <v>215</v>
      </c>
      <c r="G228" s="130" t="s">
        <v>1897</v>
      </c>
      <c r="H228" s="119" t="s">
        <v>20</v>
      </c>
      <c r="I228" s="136">
        <v>46141</v>
      </c>
      <c r="J228" s="131">
        <v>3</v>
      </c>
      <c r="K228" s="120" t="s">
        <v>324</v>
      </c>
      <c r="L228" s="123">
        <f>VLOOKUP($C228&amp;$E228,'Updated SES'!A:N,14,0)</f>
        <v>1.669</v>
      </c>
      <c r="M228" s="124">
        <f>VLOOKUP($K228,'Genre Penetration'!A:B,2,0)*VLOOKUP($C228&amp;$E228,'Updated SES'!A:I,9,0)</f>
        <v>0.38400000000000001</v>
      </c>
      <c r="N228" s="124">
        <f>VLOOKUP(K:K,'Genre Penetration'!A:C,3,0)*VLOOKUP($C228&amp;$E228,'Updated SES'!A:J,10,0)</f>
        <v>0.14399999999999999</v>
      </c>
      <c r="O228" s="124">
        <f>VLOOKUP($B228,'Language Penetration'!$B$1:$BE$14,MATCH('Compile data Working'!$H68,'Language Penetration'!$B$1:$BE$1,0),0)</f>
        <v>0.6</v>
      </c>
      <c r="P228" s="124" t="str">
        <f ca="1">IF(ISBLANK(J228),RANDBETWEEN(1,2)&amp;"%",IF(J228=1,RANDBETWEEN(35,40)&amp;"%",IF(J228=2,RANDBETWEEN(30,35)&amp;"%",IF(J228=3,RANDBETWEEN(25,30)&amp;"%",IF(J228=4,RANDBETWEEN(20,25)&amp;"%",IF(J228=5,RANDBETWEEN(15,20)&amp;"%",IF(J228=6,RANDBETWEEN(10,15)&amp;"%",IF(J228=7,RANDBETWEEN(8,10)&amp;"%",IF(J228=8,RANDBETWEEN(6,8)&amp;"%",IF(J228=9,RANDBETWEEN(4,6)&amp;"%",IF(J228=10,RANDBETWEEN(2,4)&amp;"%","")))))))))))</f>
        <v>27%</v>
      </c>
      <c r="Q228" s="123">
        <f ca="1">IFERROR(L228*(M228+N228)*O228*P228,RANDBETWEEN(1,2)%*L228*(M228+N228)*O228)</f>
        <v>0.14275958399999999</v>
      </c>
      <c r="R228" s="125">
        <f>VLOOKUP(D:D,ranking!W:X,2,0)</f>
        <v>0.6</v>
      </c>
      <c r="S228" s="126">
        <f ca="1">R228*Q228</f>
        <v>8.5655750399999994E-2</v>
      </c>
      <c r="T228" s="123">
        <v>9.0033742056153845E-2</v>
      </c>
    </row>
    <row r="229" spans="1:20" x14ac:dyDescent="0.25">
      <c r="A229" s="98" t="s">
        <v>1781</v>
      </c>
      <c r="B229" s="98" t="s">
        <v>85</v>
      </c>
      <c r="C229" s="46" t="s">
        <v>906</v>
      </c>
      <c r="D229" s="98" t="s">
        <v>456</v>
      </c>
      <c r="E229" s="98" t="s">
        <v>211</v>
      </c>
      <c r="F229" s="46" t="s">
        <v>2011</v>
      </c>
      <c r="G229" s="130" t="s">
        <v>1853</v>
      </c>
      <c r="H229" s="46" t="s">
        <v>2062</v>
      </c>
      <c r="I229" s="129">
        <v>45781</v>
      </c>
      <c r="J229" s="133"/>
      <c r="K229" s="46" t="s">
        <v>2070</v>
      </c>
      <c r="L229" s="123">
        <f>VLOOKUP($C229&amp;$E229,'Updated SES'!A:N,14,0)</f>
        <v>127.11702000000001</v>
      </c>
      <c r="M229" s="124" t="e">
        <f>VLOOKUP($K229,'Genre Penetration'!A:B,2,0)*VLOOKUP($C229&amp;$E229,'Updated SES'!A:I,9,0)</f>
        <v>#N/A</v>
      </c>
      <c r="N229" s="124" t="e">
        <f>VLOOKUP(K:K,'Genre Penetration'!A:C,3,0)*VLOOKUP($C229&amp;$E229,'Updated SES'!A:J,10,0)</f>
        <v>#N/A</v>
      </c>
      <c r="O229" s="124">
        <f>VLOOKUP($B229,'Language Penetration'!$B$1:$BE$14,MATCH('Compile data Working'!$H220,'Language Penetration'!$B$1:$BE$1,0),0)</f>
        <v>0.6</v>
      </c>
      <c r="P229" s="124" t="str">
        <f ca="1">IF(ISBLANK(J229),RANDBETWEEN(1,2)&amp;"%",IF(J229=1,RANDBETWEEN(35,40)&amp;"%",IF(J229=2,RANDBETWEEN(30,35)&amp;"%",IF(J229=3,RANDBETWEEN(25,30)&amp;"%",IF(J229=4,RANDBETWEEN(20,25)&amp;"%",IF(J229=5,RANDBETWEEN(15,20)&amp;"%",IF(J229=6,RANDBETWEEN(10,15)&amp;"%",IF(J229=7,RANDBETWEEN(8,10)&amp;"%",IF(J229=8,RANDBETWEEN(6,8)&amp;"%",IF(J229=9,RANDBETWEEN(4,6)&amp;"%",IF(J229=10,RANDBETWEEN(2,4)&amp;"%","")))))))))))</f>
        <v>2%</v>
      </c>
      <c r="Q229" s="123" t="e">
        <f ca="1">IFERROR(L229*(M229+N229)*O229*P229,RANDBETWEEN(1,2)%*L229*(M229+N229)*O229)</f>
        <v>#N/A</v>
      </c>
      <c r="R229" s="125">
        <f>VLOOKUP(D:D,ranking!W:X,2,0)</f>
        <v>0.3</v>
      </c>
      <c r="S229" s="126" t="e">
        <f ca="1">R229*Q229</f>
        <v>#N/A</v>
      </c>
      <c r="T229" s="123">
        <v>8.7890741500320002E-2</v>
      </c>
    </row>
    <row r="230" spans="1:20" x14ac:dyDescent="0.25">
      <c r="A230" s="98" t="s">
        <v>1057</v>
      </c>
      <c r="B230" s="98" t="s">
        <v>85</v>
      </c>
      <c r="C230" s="98" t="s">
        <v>906</v>
      </c>
      <c r="D230" s="98" t="s">
        <v>434</v>
      </c>
      <c r="E230" s="98" t="s">
        <v>211</v>
      </c>
      <c r="F230" s="46" t="s">
        <v>213</v>
      </c>
      <c r="G230" s="145" t="s">
        <v>1901</v>
      </c>
      <c r="H230" s="97" t="s">
        <v>19</v>
      </c>
      <c r="I230" s="139">
        <v>45704</v>
      </c>
      <c r="J230" s="131">
        <v>7</v>
      </c>
      <c r="K230" s="98" t="s">
        <v>103</v>
      </c>
      <c r="L230" s="123">
        <f>VLOOKUP($C230&amp;$E230,'Updated SES'!A:N,14,0)</f>
        <v>127.11702000000001</v>
      </c>
      <c r="M230" s="124">
        <f>VLOOKUP($K230,'Genre Penetration'!A:B,2,0)*VLOOKUP($C230&amp;$E230,'Updated SES'!A:I,9,0)</f>
        <v>0.4756999999999999</v>
      </c>
      <c r="N230" s="124">
        <f>VLOOKUP(K:K,'Genre Penetration'!A:C,3,0)*VLOOKUP($C230&amp;$E230,'Updated SES'!A:J,10,0)</f>
        <v>9.569999999999998E-2</v>
      </c>
      <c r="O230" s="124">
        <f>VLOOKUP($B230,'Language Penetration'!$B$1:$BE$14,MATCH('Compile data Working'!$H214,'Language Penetration'!$B$1:$BE$1,0),0)</f>
        <v>0.6</v>
      </c>
      <c r="P230" s="124" t="str">
        <f ca="1">IF(ISBLANK(J230),RANDBETWEEN(1,2)&amp;"%",IF(J230=1,RANDBETWEEN(35,40)&amp;"%",IF(J230=2,RANDBETWEEN(30,35)&amp;"%",IF(J230=3,RANDBETWEEN(25,30)&amp;"%",IF(J230=4,RANDBETWEEN(20,25)&amp;"%",IF(J230=5,RANDBETWEEN(15,20)&amp;"%",IF(J230=6,RANDBETWEEN(10,15)&amp;"%",IF(J230=7,RANDBETWEEN(8,10)&amp;"%",IF(J230=8,RANDBETWEEN(6,8)&amp;"%",IF(J230=9,RANDBETWEEN(4,6)&amp;"%",IF(J230=10,RANDBETWEEN(2,4)&amp;"%","")))))))))))</f>
        <v>9%</v>
      </c>
      <c r="Q230" s="123">
        <f ca="1">IFERROR(L230*(M230+N230)*O230*P230,RANDBETWEEN(1,2)%*L230*(M230+N230)*O230)</f>
        <v>3.9222719223119991</v>
      </c>
      <c r="R230" s="125">
        <f>VLOOKUP(D:D,ranking!W:X,2,0)</f>
        <v>0.7</v>
      </c>
      <c r="S230" s="126">
        <f ca="1">R230*Q230</f>
        <v>2.7455903456183992</v>
      </c>
      <c r="T230" s="123">
        <v>6.1403423219475443E-2</v>
      </c>
    </row>
    <row r="231" spans="1:20" x14ac:dyDescent="0.25">
      <c r="A231" s="98" t="s">
        <v>1781</v>
      </c>
      <c r="B231" s="98" t="s">
        <v>85</v>
      </c>
      <c r="C231" s="46" t="s">
        <v>906</v>
      </c>
      <c r="D231" s="98" t="s">
        <v>456</v>
      </c>
      <c r="E231" s="98" t="s">
        <v>211</v>
      </c>
      <c r="F231" s="46" t="s">
        <v>2011</v>
      </c>
      <c r="G231" s="134" t="s">
        <v>1854</v>
      </c>
      <c r="H231" s="46" t="s">
        <v>29</v>
      </c>
      <c r="I231" s="129" t="s">
        <v>254</v>
      </c>
      <c r="J231" s="131"/>
      <c r="K231" s="46" t="s">
        <v>970</v>
      </c>
      <c r="L231" s="123">
        <f>VLOOKUP($C231&amp;$E231,'Updated SES'!A:N,14,0)</f>
        <v>127.11702000000001</v>
      </c>
      <c r="M231" s="124">
        <f>VLOOKUP($K231,'Genre Penetration'!A:B,2,0)*VLOOKUP($C231&amp;$E231,'Updated SES'!A:I,9,0)</f>
        <v>0.33499999999999996</v>
      </c>
      <c r="N231" s="124">
        <f>VLOOKUP(K:K,'Genre Penetration'!A:C,3,0)*VLOOKUP($C231&amp;$E231,'Updated SES'!A:J,10,0)</f>
        <v>0.16499999999999998</v>
      </c>
      <c r="O231" s="124">
        <f>VLOOKUP($B231,'Language Penetration'!$B$1:$BE$14,MATCH('Compile data Working'!$H50,'Language Penetration'!$B$1:$BE$1,0),0)</f>
        <v>0.2</v>
      </c>
      <c r="P231" s="124" t="str">
        <f ca="1">IF(ISBLANK(J231),RANDBETWEEN(1,2)&amp;"%",IF(J231=1,RANDBETWEEN(35,40)&amp;"%",IF(J231=2,RANDBETWEEN(30,35)&amp;"%",IF(J231=3,RANDBETWEEN(25,30)&amp;"%",IF(J231=4,RANDBETWEEN(20,25)&amp;"%",IF(J231=5,RANDBETWEEN(15,20)&amp;"%",IF(J231=6,RANDBETWEEN(10,15)&amp;"%",IF(J231=7,RANDBETWEEN(8,10)&amp;"%",IF(J231=8,RANDBETWEEN(6,8)&amp;"%",IF(J231=9,RANDBETWEEN(4,6)&amp;"%",IF(J231=10,RANDBETWEEN(2,4)&amp;"%","")))))))))))</f>
        <v>1%</v>
      </c>
      <c r="Q231" s="123">
        <f ca="1">IFERROR(L231*(M231+N231)*O231*P231,RANDBETWEEN(1,2)%*L231*(M231+N231)*O231)</f>
        <v>0.12711702</v>
      </c>
      <c r="R231" s="125">
        <f>VLOOKUP(D:D,ranking!W:X,2,0)</f>
        <v>0.3</v>
      </c>
      <c r="S231" s="126">
        <f ca="1">R231*Q231</f>
        <v>3.8135105999999995E-2</v>
      </c>
      <c r="T231" s="123">
        <v>6.1003966976241691E-2</v>
      </c>
    </row>
    <row r="232" spans="1:20" x14ac:dyDescent="0.25">
      <c r="A232" s="98" t="s">
        <v>1057</v>
      </c>
      <c r="B232" s="98" t="s">
        <v>85</v>
      </c>
      <c r="C232" s="98" t="s">
        <v>150</v>
      </c>
      <c r="D232" s="98" t="s">
        <v>434</v>
      </c>
      <c r="E232" s="98" t="s">
        <v>211</v>
      </c>
      <c r="F232" s="46" t="s">
        <v>213</v>
      </c>
      <c r="G232" s="130" t="s">
        <v>1914</v>
      </c>
      <c r="H232" s="98" t="s">
        <v>19</v>
      </c>
      <c r="I232" s="136">
        <v>45982</v>
      </c>
      <c r="J232" s="132">
        <v>4</v>
      </c>
      <c r="K232" s="98" t="s">
        <v>173</v>
      </c>
      <c r="L232" s="123">
        <f>VLOOKUP($C232&amp;$E232,'Updated SES'!A:N,14,0)</f>
        <v>60.152000000000001</v>
      </c>
      <c r="M232" s="124">
        <f>VLOOKUP($K232,'Genre Penetration'!A:B,2,0)*VLOOKUP($C232&amp;$E232,'Updated SES'!A:I,9,0)</f>
        <v>0.35750000000000004</v>
      </c>
      <c r="N232" s="124">
        <f>VLOOKUP(K:K,'Genre Penetration'!A:C,3,0)*VLOOKUP($C232&amp;$E232,'Updated SES'!A:J,10,0)</f>
        <v>0.1575</v>
      </c>
      <c r="O232" s="124">
        <f>VLOOKUP($B232,'Language Penetration'!$B$1:$BE$14,MATCH('Compile data Working'!$H48,'Language Penetration'!$B$1:$BE$1,0),0)</f>
        <v>0.2</v>
      </c>
      <c r="P232" s="124" t="str">
        <f ca="1">IF(ISBLANK(J232),RANDBETWEEN(1,2)&amp;"%",IF(J232=1,RANDBETWEEN(35,40)&amp;"%",IF(J232=2,RANDBETWEEN(30,35)&amp;"%",IF(J232=3,RANDBETWEEN(25,30)&amp;"%",IF(J232=4,RANDBETWEEN(20,25)&amp;"%",IF(J232=5,RANDBETWEEN(15,20)&amp;"%",IF(J232=6,RANDBETWEEN(10,15)&amp;"%",IF(J232=7,RANDBETWEEN(8,10)&amp;"%",IF(J232=8,RANDBETWEEN(6,8)&amp;"%",IF(J232=9,RANDBETWEEN(4,6)&amp;"%",IF(J232=10,RANDBETWEEN(2,4)&amp;"%","")))))))))))</f>
        <v>20%</v>
      </c>
      <c r="Q232" s="123">
        <f ca="1">IFERROR(L232*(M232+N232)*O232*P232,RANDBETWEEN(1,2)%*L232*(M232+N232)*O232)</f>
        <v>1.2391312000000001</v>
      </c>
      <c r="R232" s="125">
        <f>VLOOKUP(D:D,ranking!W:X,2,0)</f>
        <v>0.7</v>
      </c>
      <c r="S232" s="126">
        <f ca="1">R232*Q232</f>
        <v>0.86739184000000003</v>
      </c>
      <c r="T232" s="123">
        <v>2.1138050755669217E-2</v>
      </c>
    </row>
    <row r="233" spans="1:20" x14ac:dyDescent="0.25">
      <c r="A233" s="98" t="s">
        <v>1057</v>
      </c>
      <c r="B233" s="98" t="s">
        <v>85</v>
      </c>
      <c r="C233" s="98" t="s">
        <v>906</v>
      </c>
      <c r="D233" s="46" t="s">
        <v>1012</v>
      </c>
      <c r="E233" s="46" t="s">
        <v>211</v>
      </c>
      <c r="F233" s="46" t="s">
        <v>215</v>
      </c>
      <c r="G233" s="134" t="s">
        <v>362</v>
      </c>
      <c r="H233" s="46" t="s">
        <v>1757</v>
      </c>
      <c r="I233" s="129">
        <v>43570</v>
      </c>
      <c r="J233" s="131">
        <v>9</v>
      </c>
      <c r="K233" s="46" t="s">
        <v>1150</v>
      </c>
      <c r="L233" s="123">
        <f>VLOOKUP($C233&amp;$E233,'Updated SES'!A:N,14,0)</f>
        <v>127.11702000000001</v>
      </c>
      <c r="M233" s="124">
        <f>VLOOKUP($K233,'Genre Penetration'!A:B,2,0)*VLOOKUP($C233&amp;$E233,'Updated SES'!A:I,9,0)</f>
        <v>0.44219999999999998</v>
      </c>
      <c r="N233" s="124">
        <f>VLOOKUP(K:K,'Genre Penetration'!A:C,3,0)*VLOOKUP($C233&amp;$E233,'Updated SES'!A:J,10,0)</f>
        <v>0.11219999999999999</v>
      </c>
      <c r="O233" s="124">
        <f>VLOOKUP($B233,'Language Penetration'!$B$1:$BE$14,MATCH('Compile data Working'!$H140,'Language Penetration'!$B$1:$BE$1,0),0)</f>
        <v>0.6</v>
      </c>
      <c r="P233" s="124" t="str">
        <f ca="1">IF(ISBLANK(J233),RANDBETWEEN(1,2)&amp;"%",IF(J233=1,RANDBETWEEN(35,40)&amp;"%",IF(J233=2,RANDBETWEEN(30,35)&amp;"%",IF(J233=3,RANDBETWEEN(25,30)&amp;"%",IF(J233=4,RANDBETWEEN(20,25)&amp;"%",IF(J233=5,RANDBETWEEN(15,20)&amp;"%",IF(J233=6,RANDBETWEEN(10,15)&amp;"%",IF(J233=7,RANDBETWEEN(8,10)&amp;"%",IF(J233=8,RANDBETWEEN(6,8)&amp;"%",IF(J233=9,RANDBETWEEN(4,6)&amp;"%",IF(J233=10,RANDBETWEEN(2,4)&amp;"%","")))))))))))</f>
        <v>6%</v>
      </c>
      <c r="Q233" s="123">
        <f ca="1">IFERROR(L233*(M233+N233)*O233*P233,RANDBETWEEN(1,2)%*L233*(M233+N233)*O233)</f>
        <v>2.5370523319679998</v>
      </c>
      <c r="R233" s="125">
        <f>VLOOKUP(D:D,ranking!W:X,2,0)</f>
        <v>0.6</v>
      </c>
      <c r="S233" s="126">
        <f ca="1">R233*Q233</f>
        <v>1.5222313991807999</v>
      </c>
      <c r="T233" s="123">
        <v>1.7216868542613138E-2</v>
      </c>
    </row>
    <row r="234" spans="1:20" x14ac:dyDescent="0.25">
      <c r="A234" s="98" t="s">
        <v>1781</v>
      </c>
      <c r="B234" s="98" t="s">
        <v>85</v>
      </c>
      <c r="C234" s="46" t="s">
        <v>906</v>
      </c>
      <c r="D234" s="98" t="s">
        <v>456</v>
      </c>
      <c r="E234" s="98" t="s">
        <v>211</v>
      </c>
      <c r="F234" s="46" t="s">
        <v>2011</v>
      </c>
      <c r="G234" s="134" t="s">
        <v>1803</v>
      </c>
      <c r="H234" s="46" t="s">
        <v>2062</v>
      </c>
      <c r="I234" s="129">
        <v>44065</v>
      </c>
      <c r="J234" s="133"/>
      <c r="K234" s="46" t="s">
        <v>2078</v>
      </c>
      <c r="L234" s="123">
        <f>VLOOKUP($C234&amp;$E234,'Updated SES'!A:N,14,0)</f>
        <v>127.11702000000001</v>
      </c>
      <c r="M234" s="124" t="e">
        <f>VLOOKUP($K234,'Genre Penetration'!A:B,2,0)*VLOOKUP($C234&amp;$E234,'Updated SES'!A:I,9,0)</f>
        <v>#N/A</v>
      </c>
      <c r="N234" s="124" t="e">
        <f>VLOOKUP(K:K,'Genre Penetration'!A:C,3,0)*VLOOKUP($C234&amp;$E234,'Updated SES'!A:J,10,0)</f>
        <v>#N/A</v>
      </c>
      <c r="O234" s="124">
        <f>VLOOKUP($B234,'Language Penetration'!$B$1:$BE$14,MATCH('Compile data Working'!$H133,'Language Penetration'!$B$1:$BE$1,0),0)</f>
        <v>0.6</v>
      </c>
      <c r="P234" s="124" t="str">
        <f ca="1">IF(ISBLANK(J234),RANDBETWEEN(1,2)&amp;"%",IF(J234=1,RANDBETWEEN(35,40)&amp;"%",IF(J234=2,RANDBETWEEN(30,35)&amp;"%",IF(J234=3,RANDBETWEEN(25,30)&amp;"%",IF(J234=4,RANDBETWEEN(20,25)&amp;"%",IF(J234=5,RANDBETWEEN(15,20)&amp;"%",IF(J234=6,RANDBETWEEN(10,15)&amp;"%",IF(J234=7,RANDBETWEEN(8,10)&amp;"%",IF(J234=8,RANDBETWEEN(6,8)&amp;"%",IF(J234=9,RANDBETWEEN(4,6)&amp;"%",IF(J234=10,RANDBETWEEN(2,4)&amp;"%","")))))))))))</f>
        <v>1%</v>
      </c>
      <c r="Q234" s="123" t="e">
        <f ca="1">IFERROR(L234*(M234+N234)*O234*P234,RANDBETWEEN(1,2)%*L234*(M234+N234)*O234)</f>
        <v>#N/A</v>
      </c>
      <c r="R234" s="125">
        <f>VLOOKUP(D:D,ranking!W:X,2,0)</f>
        <v>0.3</v>
      </c>
      <c r="S234" s="126" t="e">
        <f ca="1">R234*Q234</f>
        <v>#N/A</v>
      </c>
      <c r="T234" s="123">
        <v>1.4579069399335657E-2</v>
      </c>
    </row>
    <row r="235" spans="1:20" x14ac:dyDescent="0.25">
      <c r="A235" s="98" t="s">
        <v>1057</v>
      </c>
      <c r="B235" s="98" t="s">
        <v>85</v>
      </c>
      <c r="C235" s="98" t="s">
        <v>150</v>
      </c>
      <c r="D235" s="46" t="s">
        <v>1012</v>
      </c>
      <c r="E235" s="98" t="s">
        <v>211</v>
      </c>
      <c r="F235" s="46" t="s">
        <v>215</v>
      </c>
      <c r="G235" s="143" t="s">
        <v>1799</v>
      </c>
      <c r="H235" s="119" t="s">
        <v>19</v>
      </c>
      <c r="I235" s="138">
        <v>45534</v>
      </c>
      <c r="J235" s="131">
        <v>3</v>
      </c>
      <c r="K235" s="119" t="s">
        <v>176</v>
      </c>
      <c r="L235" s="123">
        <f>VLOOKUP($C235&amp;$E235,'Updated SES'!A:N,14,0)</f>
        <v>60.152000000000001</v>
      </c>
      <c r="M235" s="124">
        <f>VLOOKUP($K235,'Genre Penetration'!A:B,2,0)*VLOOKUP($C235&amp;$E235,'Updated SES'!A:I,9,0)</f>
        <v>0.40300000000000002</v>
      </c>
      <c r="N235" s="124">
        <f>VLOOKUP(K:K,'Genre Penetration'!A:C,3,0)*VLOOKUP($C235&amp;$E235,'Updated SES'!A:J,10,0)</f>
        <v>0.13299999999999998</v>
      </c>
      <c r="O235" s="124">
        <f>VLOOKUP($B235,'Language Penetration'!$B$1:$BE$14,MATCH('Compile data Working'!$H47,'Language Penetration'!$B$1:$BE$1,0),0)</f>
        <v>7.0000000000000007E-2</v>
      </c>
      <c r="P235" s="124" t="str">
        <f ca="1">IF(ISBLANK(J235),RANDBETWEEN(1,2)&amp;"%",IF(J235=1,RANDBETWEEN(35,40)&amp;"%",IF(J235=2,RANDBETWEEN(30,35)&amp;"%",IF(J235=3,RANDBETWEEN(25,30)&amp;"%",IF(J235=4,RANDBETWEEN(20,25)&amp;"%",IF(J235=5,RANDBETWEEN(15,20)&amp;"%",IF(J235=6,RANDBETWEEN(10,15)&amp;"%",IF(J235=7,RANDBETWEEN(8,10)&amp;"%",IF(J235=8,RANDBETWEEN(6,8)&amp;"%",IF(J235=9,RANDBETWEEN(4,6)&amp;"%",IF(J235=10,RANDBETWEEN(2,4)&amp;"%","")))))))))))</f>
        <v>25%</v>
      </c>
      <c r="Q235" s="123">
        <f ca="1">IFERROR(L235*(M235+N235)*O235*P235,RANDBETWEEN(1,2)%*L235*(M235+N235)*O235)</f>
        <v>0.56422576000000013</v>
      </c>
      <c r="R235" s="125">
        <f>VLOOKUP(D:D,ranking!W:X,2,0)</f>
        <v>0.6</v>
      </c>
      <c r="S235" s="126">
        <f ca="1">R235*Q235</f>
        <v>0.33853545600000007</v>
      </c>
      <c r="T235" s="123">
        <v>9.8820091386164245E-3</v>
      </c>
    </row>
    <row r="236" spans="1:20" x14ac:dyDescent="0.25">
      <c r="A236" s="98" t="s">
        <v>1057</v>
      </c>
      <c r="B236" s="98" t="s">
        <v>85</v>
      </c>
      <c r="C236" s="98" t="s">
        <v>406</v>
      </c>
      <c r="D236" s="46" t="s">
        <v>1013</v>
      </c>
      <c r="E236" s="119" t="s">
        <v>211</v>
      </c>
      <c r="F236" s="46" t="s">
        <v>213</v>
      </c>
      <c r="G236" s="130" t="s">
        <v>581</v>
      </c>
      <c r="H236" s="119" t="s">
        <v>20</v>
      </c>
      <c r="I236" s="136">
        <v>45275</v>
      </c>
      <c r="J236" s="131">
        <v>10</v>
      </c>
      <c r="K236" s="98" t="s">
        <v>124</v>
      </c>
      <c r="L236" s="123">
        <f>VLOOKUP($C236&amp;$E236,'Updated SES'!A:N,14,0)</f>
        <v>1.669</v>
      </c>
      <c r="M236" s="124">
        <f>VLOOKUP($K236,'Genre Penetration'!A:B,2,0)*VLOOKUP($C236&amp;$E236,'Updated SES'!A:I,9,0)</f>
        <v>0.27</v>
      </c>
      <c r="N236" s="124">
        <f>VLOOKUP(K:K,'Genre Penetration'!A:C,3,0)*VLOOKUP($C236&amp;$E236,'Updated SES'!A:J,10,0)</f>
        <v>0.22000000000000003</v>
      </c>
      <c r="O236" s="124" t="e">
        <f>VLOOKUP($B236,'Language Penetration'!$B$1:$BE$14,MATCH('Compile data Working'!$H54,'Language Penetration'!$B$1:$BE$1,0),0)</f>
        <v>#N/A</v>
      </c>
      <c r="P236" s="124" t="str">
        <f ca="1">IF(ISBLANK(J236),RANDBETWEEN(1,2)&amp;"%",IF(J236=1,RANDBETWEEN(35,40)&amp;"%",IF(J236=2,RANDBETWEEN(30,35)&amp;"%",IF(J236=3,RANDBETWEEN(25,30)&amp;"%",IF(J236=4,RANDBETWEEN(20,25)&amp;"%",IF(J236=5,RANDBETWEEN(15,20)&amp;"%",IF(J236=6,RANDBETWEEN(10,15)&amp;"%",IF(J236=7,RANDBETWEEN(8,10)&amp;"%",IF(J236=8,RANDBETWEEN(6,8)&amp;"%",IF(J236=9,RANDBETWEEN(4,6)&amp;"%",IF(J236=10,RANDBETWEEN(2,4)&amp;"%","")))))))))))</f>
        <v>2%</v>
      </c>
      <c r="Q236" s="123" t="e">
        <f ca="1">IFERROR(L236*(M236+N236)*O236*P236,RANDBETWEEN(1,2)%*L236*(M236+N236)*O236)</f>
        <v>#N/A</v>
      </c>
      <c r="R236" s="125">
        <f>VLOOKUP(D:D,ranking!W:X,2,0)</f>
        <v>0.8</v>
      </c>
      <c r="S236" s="126" t="e">
        <f ca="1">R236*Q236</f>
        <v>#N/A</v>
      </c>
      <c r="T236" s="123">
        <v>3.8084274818260067E-3</v>
      </c>
    </row>
    <row r="237" spans="1:20" x14ac:dyDescent="0.25">
      <c r="A237" s="98" t="s">
        <v>1057</v>
      </c>
      <c r="B237" s="98" t="s">
        <v>85</v>
      </c>
      <c r="C237" s="98" t="s">
        <v>150</v>
      </c>
      <c r="D237" s="98" t="s">
        <v>434</v>
      </c>
      <c r="E237" s="98" t="s">
        <v>211</v>
      </c>
      <c r="F237" s="46" t="s">
        <v>213</v>
      </c>
      <c r="G237" s="143" t="s">
        <v>1796</v>
      </c>
      <c r="H237" s="119" t="s">
        <v>40</v>
      </c>
      <c r="I237" s="138">
        <v>43543</v>
      </c>
      <c r="J237" s="131">
        <v>9</v>
      </c>
      <c r="K237" s="119" t="s">
        <v>92</v>
      </c>
      <c r="L237" s="123">
        <f>VLOOKUP($C237&amp;$E237,'Updated SES'!A:N,14,0)</f>
        <v>60.152000000000001</v>
      </c>
      <c r="M237" s="124">
        <f>VLOOKUP($K237,'Genre Penetration'!A:B,2,0)*VLOOKUP($C237&amp;$E237,'Updated SES'!A:I,9,0)</f>
        <v>0.34450000000000003</v>
      </c>
      <c r="N237" s="124">
        <f>VLOOKUP(K:K,'Genre Penetration'!A:C,3,0)*VLOOKUP($C237&amp;$E237,'Updated SES'!A:J,10,0)</f>
        <v>0.16449999999999998</v>
      </c>
      <c r="O237" s="124" t="e">
        <f>VLOOKUP($B237,'Language Penetration'!$B$1:$BE$14,MATCH('Compile data Working'!#REF!,'Language Penetration'!$B$1:$BE$1,0),0)</f>
        <v>#REF!</v>
      </c>
      <c r="P237" s="124" t="str">
        <f ca="1">IF(ISBLANK(J237),RANDBETWEEN(1,2)&amp;"%",IF(J237=1,RANDBETWEEN(35,40)&amp;"%",IF(J237=2,RANDBETWEEN(30,35)&amp;"%",IF(J237=3,RANDBETWEEN(25,30)&amp;"%",IF(J237=4,RANDBETWEEN(20,25)&amp;"%",IF(J237=5,RANDBETWEEN(15,20)&amp;"%",IF(J237=6,RANDBETWEEN(10,15)&amp;"%",IF(J237=7,RANDBETWEEN(8,10)&amp;"%",IF(J237=8,RANDBETWEEN(6,8)&amp;"%",IF(J237=9,RANDBETWEEN(4,6)&amp;"%",IF(J237=10,RANDBETWEEN(2,4)&amp;"%","")))))))))))</f>
        <v>5%</v>
      </c>
      <c r="Q237" s="123" t="e">
        <f ca="1">IFERROR(L237*(M237+N237)*O237*P237,RANDBETWEEN(1,2)%*L237*(M237+N237)*O237)</f>
        <v>#REF!</v>
      </c>
      <c r="R237" s="125">
        <f>VLOOKUP(D:D,ranking!W:X,2,0)</f>
        <v>0.7</v>
      </c>
      <c r="S237" s="126" t="e">
        <f ca="1">R237*Q237</f>
        <v>#REF!</v>
      </c>
      <c r="T237" s="123">
        <v>2.2226889302296373E-3</v>
      </c>
    </row>
    <row r="238" spans="1:20" x14ac:dyDescent="0.25">
      <c r="A238" s="98" t="s">
        <v>1057</v>
      </c>
      <c r="B238" s="98" t="s">
        <v>85</v>
      </c>
      <c r="C238" s="98" t="s">
        <v>150</v>
      </c>
      <c r="D238" s="98" t="s">
        <v>434</v>
      </c>
      <c r="E238" s="98" t="s">
        <v>211</v>
      </c>
      <c r="F238" s="46" t="s">
        <v>213</v>
      </c>
      <c r="G238" s="130" t="s">
        <v>1795</v>
      </c>
      <c r="H238" s="98" t="s">
        <v>1755</v>
      </c>
      <c r="I238" s="136">
        <v>45338</v>
      </c>
      <c r="J238" s="131">
        <v>5</v>
      </c>
      <c r="K238" s="98" t="s">
        <v>216</v>
      </c>
      <c r="L238" s="123">
        <f>VLOOKUP($C238&amp;$E238,'Updated SES'!A:N,14,0)</f>
        <v>60.152000000000001</v>
      </c>
      <c r="M238" s="124">
        <f>VLOOKUP($K238,'Genre Penetration'!A:B,2,0)*VLOOKUP($C238&amp;$E238,'Updated SES'!A:I,9,0)</f>
        <v>0.32500000000000001</v>
      </c>
      <c r="N238" s="124">
        <f>VLOOKUP(K:K,'Genre Penetration'!A:C,3,0)*VLOOKUP($C238&amp;$E238,'Updated SES'!A:J,10,0)</f>
        <v>0.17499999999999999</v>
      </c>
      <c r="O238" s="124">
        <f>VLOOKUP($B238,'Language Penetration'!$B$1:$BE$14,MATCH('Compile data Working'!$H101,'Language Penetration'!$B$1:$BE$1,0),0)</f>
        <v>0.15</v>
      </c>
      <c r="P238" s="124" t="str">
        <f ca="1">IF(ISBLANK(J238),RANDBETWEEN(1,2)&amp;"%",IF(J238=1,RANDBETWEEN(35,40)&amp;"%",IF(J238=2,RANDBETWEEN(30,35)&amp;"%",IF(J238=3,RANDBETWEEN(25,30)&amp;"%",IF(J238=4,RANDBETWEEN(20,25)&amp;"%",IF(J238=5,RANDBETWEEN(15,20)&amp;"%",IF(J238=6,RANDBETWEEN(10,15)&amp;"%",IF(J238=7,RANDBETWEEN(8,10)&amp;"%",IF(J238=8,RANDBETWEEN(6,8)&amp;"%",IF(J238=9,RANDBETWEEN(4,6)&amp;"%",IF(J238=10,RANDBETWEEN(2,4)&amp;"%","")))))))))))</f>
        <v>19%</v>
      </c>
      <c r="Q238" s="123">
        <f ca="1">IFERROR(L238*(M238+N238)*O238*P238,RANDBETWEEN(1,2)%*L238*(M238+N238)*O238)</f>
        <v>0.85716599999999998</v>
      </c>
      <c r="R238" s="125">
        <f>VLOOKUP(D:D,ranking!W:X,2,0)</f>
        <v>0.7</v>
      </c>
      <c r="S238" s="126">
        <f ca="1">R238*Q238</f>
        <v>0.6000162</v>
      </c>
      <c r="T238" s="123">
        <v>1.553090816064061E-3</v>
      </c>
    </row>
    <row r="239" spans="1:20" x14ac:dyDescent="0.25">
      <c r="A239" s="98" t="s">
        <v>1057</v>
      </c>
      <c r="B239" s="98" t="s">
        <v>85</v>
      </c>
      <c r="C239" s="98" t="s">
        <v>406</v>
      </c>
      <c r="D239" s="98" t="s">
        <v>434</v>
      </c>
      <c r="E239" s="119" t="s">
        <v>211</v>
      </c>
      <c r="F239" s="46" t="s">
        <v>213</v>
      </c>
      <c r="G239" s="143" t="s">
        <v>1784</v>
      </c>
      <c r="H239" s="119" t="s">
        <v>20</v>
      </c>
      <c r="I239" s="138">
        <v>46003</v>
      </c>
      <c r="J239" s="131">
        <v>2</v>
      </c>
      <c r="K239" s="119" t="s">
        <v>92</v>
      </c>
      <c r="L239" s="123">
        <f>VLOOKUP($C239&amp;$E239,'Updated SES'!A:N,14,0)</f>
        <v>1.669</v>
      </c>
      <c r="M239" s="124">
        <f>VLOOKUP($K239,'Genre Penetration'!A:B,2,0)*VLOOKUP($C239&amp;$E239,'Updated SES'!A:I,9,0)</f>
        <v>0.318</v>
      </c>
      <c r="N239" s="124">
        <f>VLOOKUP(K:K,'Genre Penetration'!A:C,3,0)*VLOOKUP($C239&amp;$E239,'Updated SES'!A:J,10,0)</f>
        <v>0.188</v>
      </c>
      <c r="O239" s="124">
        <f>VLOOKUP($B239,'Language Penetration'!$B$1:$BE$14,MATCH('Compile data Working'!$H31,'Language Penetration'!$B$1:$BE$1,0),0)</f>
        <v>0.2</v>
      </c>
      <c r="P239" s="124" t="str">
        <f ca="1">IF(ISBLANK(J239),RANDBETWEEN(1,2)&amp;"%",IF(J239=1,RANDBETWEEN(35,40)&amp;"%",IF(J239=2,RANDBETWEEN(30,35)&amp;"%",IF(J239=3,RANDBETWEEN(25,30)&amp;"%",IF(J239=4,RANDBETWEEN(20,25)&amp;"%",IF(J239=5,RANDBETWEEN(15,20)&amp;"%",IF(J239=6,RANDBETWEEN(10,15)&amp;"%",IF(J239=7,RANDBETWEEN(8,10)&amp;"%",IF(J239=8,RANDBETWEEN(6,8)&amp;"%",IF(J239=9,RANDBETWEEN(4,6)&amp;"%",IF(J239=10,RANDBETWEEN(2,4)&amp;"%","")))))))))))</f>
        <v>34%</v>
      </c>
      <c r="Q239" s="123">
        <f ca="1">IFERROR(L239*(M239+N239)*O239*P239,RANDBETWEEN(1,2)%*L239*(M239+N239)*O239)</f>
        <v>5.742695200000001E-2</v>
      </c>
      <c r="R239" s="125">
        <f>VLOOKUP(D:D,ranking!W:X,2,0)</f>
        <v>0.7</v>
      </c>
      <c r="S239" s="126">
        <f ca="1">R239*Q239</f>
        <v>4.0198866400000005E-2</v>
      </c>
      <c r="T239" s="123">
        <v>5.044793905176402E-4</v>
      </c>
    </row>
    <row r="240" spans="1:20" x14ac:dyDescent="0.25">
      <c r="A240" s="98" t="s">
        <v>1057</v>
      </c>
      <c r="B240" s="98" t="s">
        <v>85</v>
      </c>
      <c r="C240" s="98" t="s">
        <v>406</v>
      </c>
      <c r="D240" s="46" t="s">
        <v>1013</v>
      </c>
      <c r="E240" s="119" t="s">
        <v>211</v>
      </c>
      <c r="F240" s="46" t="s">
        <v>213</v>
      </c>
      <c r="G240" s="98" t="s">
        <v>1787</v>
      </c>
      <c r="H240" s="119" t="s">
        <v>20</v>
      </c>
      <c r="I240" s="136">
        <v>45982</v>
      </c>
      <c r="J240" s="119">
        <v>9</v>
      </c>
      <c r="K240" s="98" t="s">
        <v>124</v>
      </c>
      <c r="L240" s="123">
        <f>VLOOKUP($C240&amp;$E240,'Updated SES'!A:N,14,0)</f>
        <v>1.669</v>
      </c>
      <c r="M240" s="124">
        <f>VLOOKUP($K240,'Genre Penetration'!A:B,2,0)*VLOOKUP($C240&amp;$E240,'Updated SES'!A:I,9,0)</f>
        <v>0.27</v>
      </c>
      <c r="N240" s="124">
        <f>VLOOKUP(K:K,'Genre Penetration'!A:C,3,0)*VLOOKUP($C240&amp;$E240,'Updated SES'!A:J,10,0)</f>
        <v>0.22000000000000003</v>
      </c>
      <c r="O240" s="124">
        <v>0.05</v>
      </c>
      <c r="P240" s="124" t="str">
        <f ca="1">IF(ISBLANK(J240),RANDBETWEEN(1,2)&amp;"%",IF(J240=1,RANDBETWEEN(35,40)&amp;"%",IF(J240=2,RANDBETWEEN(30,35)&amp;"%",IF(J240=3,RANDBETWEEN(25,30)&amp;"%",IF(J240=4,RANDBETWEEN(20,25)&amp;"%",IF(J240=5,RANDBETWEEN(15,20)&amp;"%",IF(J240=6,RANDBETWEEN(10,15)&amp;"%",IF(J240=7,RANDBETWEEN(8,10)&amp;"%",IF(J240=8,RANDBETWEEN(6,8)&amp;"%",IF(J240=9,RANDBETWEEN(4,6)&amp;"%",IF(J240=10,RANDBETWEEN(2,4)&amp;"%","")))))))))))</f>
        <v>6%</v>
      </c>
      <c r="Q240" s="123">
        <f ca="1">IFERROR(L240*(M240+N240)*O240*P240,RANDBETWEEN(1,2)%*L240*(M240+N240)*O240)</f>
        <v>2.4534300000000004E-3</v>
      </c>
      <c r="R240" s="125">
        <f>VLOOKUP(D:D,ranking!W:X,2,0)</f>
        <v>0.8</v>
      </c>
      <c r="S240" s="126">
        <f ca="1">R240*Q240</f>
        <v>1.9627440000000002E-3</v>
      </c>
      <c r="T240" s="123">
        <v>2.3122571924181554E-4</v>
      </c>
    </row>
    <row r="241" spans="1:20" x14ac:dyDescent="0.25">
      <c r="A241" s="98" t="s">
        <v>1057</v>
      </c>
      <c r="B241" s="98" t="s">
        <v>85</v>
      </c>
      <c r="C241" s="98" t="s">
        <v>406</v>
      </c>
      <c r="D241" s="46" t="s">
        <v>1013</v>
      </c>
      <c r="E241" s="98" t="s">
        <v>211</v>
      </c>
      <c r="F241" s="46" t="s">
        <v>213</v>
      </c>
      <c r="G241" s="98" t="s">
        <v>1786</v>
      </c>
      <c r="H241" s="119" t="s">
        <v>20</v>
      </c>
      <c r="I241" s="136">
        <v>45800</v>
      </c>
      <c r="J241" s="119">
        <v>7</v>
      </c>
      <c r="K241" s="98" t="s">
        <v>381</v>
      </c>
      <c r="L241" s="123">
        <f>VLOOKUP($C241&amp;$E241,'Updated SES'!A:N,14,0)</f>
        <v>1.669</v>
      </c>
      <c r="M241" s="124">
        <f>VLOOKUP($K241,'Genre Penetration'!A:B,2,0)*VLOOKUP($C241&amp;$E241,'Updated SES'!A:I,9,0)</f>
        <v>0.33</v>
      </c>
      <c r="N241" s="124">
        <f>VLOOKUP(K:K,'Genre Penetration'!A:C,3,0)*VLOOKUP($C241&amp;$E241,'Updated SES'!A:J,10,0)</f>
        <v>0.18000000000000002</v>
      </c>
      <c r="O241" s="124">
        <f>VLOOKUP($B241,'Language Penetration'!$B$1:$BE$14,MATCH('Compile data Working'!$H51,'Language Penetration'!$B$1:$BE$1,0),0)</f>
        <v>0.1</v>
      </c>
      <c r="P241" s="124" t="str">
        <f ca="1">IF(ISBLANK(J241),RANDBETWEEN(1,2)&amp;"%",IF(J241=1,RANDBETWEEN(35,40)&amp;"%",IF(J241=2,RANDBETWEEN(30,35)&amp;"%",IF(J241=3,RANDBETWEEN(25,30)&amp;"%",IF(J241=4,RANDBETWEEN(20,25)&amp;"%",IF(J241=5,RANDBETWEEN(15,20)&amp;"%",IF(J241=6,RANDBETWEEN(10,15)&amp;"%",IF(J241=7,RANDBETWEEN(8,10)&amp;"%",IF(J241=8,RANDBETWEEN(6,8)&amp;"%",IF(J241=9,RANDBETWEEN(4,6)&amp;"%",IF(J241=10,RANDBETWEEN(2,4)&amp;"%","")))))))))))</f>
        <v>8%</v>
      </c>
      <c r="Q241" s="123">
        <f ca="1">IFERROR(L241*(M241+N241)*O241*P241,RANDBETWEEN(1,2)%*L241*(M241+N241)*O241)</f>
        <v>6.8095200000000003E-3</v>
      </c>
      <c r="R241" s="125">
        <f>VLOOKUP(D:D,ranking!W:X,2,0)</f>
        <v>0.8</v>
      </c>
      <c r="S241" s="126">
        <f ca="1">R241*Q241</f>
        <v>5.4476160000000006E-3</v>
      </c>
      <c r="T241" s="123">
        <v>1.3814307060673267E-4</v>
      </c>
    </row>
    <row r="242" spans="1:20" x14ac:dyDescent="0.25">
      <c r="A242" s="98" t="s">
        <v>1057</v>
      </c>
      <c r="B242" s="98" t="s">
        <v>85</v>
      </c>
      <c r="C242" s="98" t="s">
        <v>406</v>
      </c>
      <c r="D242" s="98" t="s">
        <v>434</v>
      </c>
      <c r="E242" s="119" t="s">
        <v>211</v>
      </c>
      <c r="F242" s="46" t="s">
        <v>213</v>
      </c>
      <c r="G242" s="98" t="s">
        <v>1055</v>
      </c>
      <c r="H242" s="119" t="s">
        <v>20</v>
      </c>
      <c r="I242" s="136">
        <v>45905</v>
      </c>
      <c r="J242" s="119">
        <v>4</v>
      </c>
      <c r="K242" s="98" t="s">
        <v>168</v>
      </c>
      <c r="L242" s="123">
        <f>VLOOKUP($C242&amp;$E242,'Updated SES'!A:N,14,0)</f>
        <v>1.669</v>
      </c>
      <c r="M242" s="124">
        <f>VLOOKUP($K242,'Genre Penetration'!A:B,2,0)*VLOOKUP($C242&amp;$E242,'Updated SES'!A:I,9,0)</f>
        <v>0.38400000000000001</v>
      </c>
      <c r="N242" s="124">
        <f>VLOOKUP(K:K,'Genre Penetration'!A:C,3,0)*VLOOKUP($C242&amp;$E242,'Updated SES'!A:J,10,0)</f>
        <v>0.14399999999999999</v>
      </c>
      <c r="O242" s="124">
        <f>VLOOKUP($B242,'Language Penetration'!$B$1:$BE$14,MATCH('Compile data Working'!$H18,'Language Penetration'!$B$1:$BE$1,0),0)</f>
        <v>0.6</v>
      </c>
      <c r="P242" s="124" t="str">
        <f ca="1">IF(ISBLANK(J242),RANDBETWEEN(1,2)&amp;"%",IF(J242=1,RANDBETWEEN(35,40)&amp;"%",IF(J242=2,RANDBETWEEN(30,35)&amp;"%",IF(J242=3,RANDBETWEEN(25,30)&amp;"%",IF(J242=4,RANDBETWEEN(20,25)&amp;"%",IF(J242=5,RANDBETWEEN(15,20)&amp;"%",IF(J242=6,RANDBETWEEN(10,15)&amp;"%",IF(J242=7,RANDBETWEEN(8,10)&amp;"%",IF(J242=8,RANDBETWEEN(6,8)&amp;"%",IF(J242=9,RANDBETWEEN(4,6)&amp;"%",IF(J242=10,RANDBETWEEN(2,4)&amp;"%","")))))))))))</f>
        <v>25%</v>
      </c>
      <c r="Q242" s="123">
        <f ca="1">IFERROR(L242*(M242+N242)*O242*P242,RANDBETWEEN(1,2)%*L242*(M242+N242)*O242)</f>
        <v>0.13218479999999999</v>
      </c>
      <c r="R242" s="125">
        <f>VLOOKUP(D:D,ranking!W:X,2,0)</f>
        <v>0.7</v>
      </c>
      <c r="S242" s="126">
        <f ca="1">R242*Q242</f>
        <v>9.2529359999999991E-2</v>
      </c>
      <c r="T242" s="123">
        <v>1.0610201030032461E-4</v>
      </c>
    </row>
    <row r="243" spans="1:20" x14ac:dyDescent="0.25">
      <c r="A243" s="98" t="s">
        <v>1057</v>
      </c>
      <c r="B243" s="98" t="s">
        <v>85</v>
      </c>
      <c r="C243" s="98" t="s">
        <v>406</v>
      </c>
      <c r="D243" s="46" t="s">
        <v>1013</v>
      </c>
      <c r="E243" s="119" t="s">
        <v>211</v>
      </c>
      <c r="F243" s="46" t="s">
        <v>213</v>
      </c>
      <c r="G243" s="98" t="s">
        <v>1033</v>
      </c>
      <c r="H243" s="119" t="s">
        <v>20</v>
      </c>
      <c r="I243" s="136">
        <v>45702</v>
      </c>
      <c r="J243" s="119">
        <v>6</v>
      </c>
      <c r="K243" s="98" t="s">
        <v>168</v>
      </c>
      <c r="L243" s="123">
        <f>VLOOKUP($C243&amp;$E243,'Updated SES'!A:N,14,0)</f>
        <v>1.669</v>
      </c>
      <c r="M243" s="124">
        <f>VLOOKUP($K243,'Genre Penetration'!A:B,2,0)*VLOOKUP($C243&amp;$E243,'Updated SES'!A:I,9,0)</f>
        <v>0.38400000000000001</v>
      </c>
      <c r="N243" s="124">
        <f>VLOOKUP(K:K,'Genre Penetration'!A:C,3,0)*VLOOKUP($C243&amp;$E243,'Updated SES'!A:J,10,0)</f>
        <v>0.14399999999999999</v>
      </c>
      <c r="O243" s="124" t="e">
        <f>VLOOKUP($B243,'Language Penetration'!$B$1:$BE$14,MATCH('Compile data Working'!$H61,'Language Penetration'!$B$1:$BE$1,0),0)</f>
        <v>#N/A</v>
      </c>
      <c r="P243" s="124" t="str">
        <f ca="1">IF(ISBLANK(J243),RANDBETWEEN(1,2)&amp;"%",IF(J243=1,RANDBETWEEN(35,40)&amp;"%",IF(J243=2,RANDBETWEEN(30,35)&amp;"%",IF(J243=3,RANDBETWEEN(25,30)&amp;"%",IF(J243=4,RANDBETWEEN(20,25)&amp;"%",IF(J243=5,RANDBETWEEN(15,20)&amp;"%",IF(J243=6,RANDBETWEEN(10,15)&amp;"%",IF(J243=7,RANDBETWEEN(8,10)&amp;"%",IF(J243=8,RANDBETWEEN(6,8)&amp;"%",IF(J243=9,RANDBETWEEN(4,6)&amp;"%",IF(J243=10,RANDBETWEEN(2,4)&amp;"%","")))))))))))</f>
        <v>11%</v>
      </c>
      <c r="Q243" s="123" t="e">
        <f ca="1">IFERROR(L243*(M243+N243)*O243*P243,RANDBETWEEN(1,2)%*L243*(M243+N243)*O243)</f>
        <v>#N/A</v>
      </c>
      <c r="R243" s="125">
        <f>VLOOKUP(D:D,ranking!W:X,2,0)</f>
        <v>0.8</v>
      </c>
      <c r="S243" s="126" t="e">
        <f ca="1">R243*Q243</f>
        <v>#N/A</v>
      </c>
      <c r="T243" s="123">
        <v>7.4005881779334588E-5</v>
      </c>
    </row>
  </sheetData>
  <autoFilter ref="A4:T243" xr:uid="{A2D6C5F7-E04E-4CA0-8007-A188E93E8878}">
    <sortState xmlns:xlrd2="http://schemas.microsoft.com/office/spreadsheetml/2017/richdata2" ref="A5:T243">
      <sortCondition descending="1" ref="T4:T243"/>
    </sortState>
  </autoFilter>
  <mergeCells count="1">
    <mergeCell ref="M3:N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666CD-DA27-4C92-B350-F94AAE2BADBA}">
  <dimension ref="A1:B10"/>
  <sheetViews>
    <sheetView workbookViewId="0">
      <selection activeCell="B2" sqref="B2:B10"/>
    </sheetView>
  </sheetViews>
  <sheetFormatPr defaultRowHeight="15" x14ac:dyDescent="0.25"/>
  <sheetData>
    <row r="1" spans="1:2" x14ac:dyDescent="0.25">
      <c r="A1" t="s">
        <v>1775</v>
      </c>
      <c r="B1" t="s">
        <v>1775</v>
      </c>
    </row>
    <row r="2" spans="1:2" x14ac:dyDescent="0.25">
      <c r="A2" s="46" t="s">
        <v>1763</v>
      </c>
      <c r="B2" s="26">
        <v>9.5000000000000001E-2</v>
      </c>
    </row>
    <row r="3" spans="1:2" x14ac:dyDescent="0.25">
      <c r="A3" s="46" t="s">
        <v>1764</v>
      </c>
      <c r="B3" s="26">
        <v>0.26666666666666666</v>
      </c>
    </row>
    <row r="4" spans="1:2" x14ac:dyDescent="0.25">
      <c r="A4" s="46" t="s">
        <v>1757</v>
      </c>
      <c r="B4" s="26">
        <v>0.22999999999999998</v>
      </c>
    </row>
    <row r="5" spans="1:2" x14ac:dyDescent="0.25">
      <c r="A5" s="46" t="s">
        <v>1545</v>
      </c>
      <c r="B5" s="26" t="e">
        <v>#N/A</v>
      </c>
    </row>
    <row r="6" spans="1:2" x14ac:dyDescent="0.25">
      <c r="A6" s="46" t="s">
        <v>1765</v>
      </c>
      <c r="B6" s="26">
        <v>0.19000000000000003</v>
      </c>
    </row>
    <row r="7" spans="1:2" x14ac:dyDescent="0.25">
      <c r="A7" s="46" t="s">
        <v>147</v>
      </c>
      <c r="B7" s="26">
        <v>0.1</v>
      </c>
    </row>
    <row r="8" spans="1:2" x14ac:dyDescent="0.25">
      <c r="A8" s="46" t="s">
        <v>1766</v>
      </c>
      <c r="B8" s="26">
        <v>0.22399999999999998</v>
      </c>
    </row>
    <row r="9" spans="1:2" x14ac:dyDescent="0.25">
      <c r="A9" s="46" t="s">
        <v>1762</v>
      </c>
      <c r="B9" s="26">
        <v>0.375</v>
      </c>
    </row>
    <row r="10" spans="1:2" x14ac:dyDescent="0.25">
      <c r="A10" s="46" t="s">
        <v>1767</v>
      </c>
      <c r="B10" s="26">
        <v>0.19142857142857145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6DCEC-B2C7-4B5A-81E4-9457A9B588F6}">
  <dimension ref="A1:AB419"/>
  <sheetViews>
    <sheetView topLeftCell="H1" workbookViewId="0">
      <selection activeCell="W5" sqref="W5"/>
    </sheetView>
  </sheetViews>
  <sheetFormatPr defaultColWidth="8.85546875" defaultRowHeight="15" x14ac:dyDescent="0.25"/>
  <cols>
    <col min="1" max="1" width="19.85546875" bestFit="1" customWidth="1"/>
    <col min="2" max="2" width="36.42578125" bestFit="1" customWidth="1"/>
    <col min="3" max="3" width="15.42578125" bestFit="1" customWidth="1"/>
    <col min="4" max="4" width="5.28515625" bestFit="1" customWidth="1"/>
    <col min="5" max="5" width="15.42578125" bestFit="1" customWidth="1"/>
    <col min="6" max="6" width="5.28515625" bestFit="1" customWidth="1"/>
    <col min="7" max="7" width="13.28515625" bestFit="1" customWidth="1"/>
    <col min="8" max="8" width="10.140625" bestFit="1" customWidth="1"/>
    <col min="9" max="9" width="5.28515625" bestFit="1" customWidth="1"/>
    <col min="12" max="12" width="5.28515625" bestFit="1" customWidth="1"/>
    <col min="13" max="13" width="20.140625" bestFit="1" customWidth="1"/>
    <col min="23" max="23" width="21" bestFit="1" customWidth="1"/>
  </cols>
  <sheetData>
    <row r="1" spans="1:28" x14ac:dyDescent="0.25">
      <c r="A1" t="str">
        <f>B1&amp;D1</f>
        <v>OTT PLATFORMTop 10</v>
      </c>
      <c r="B1" t="s">
        <v>252</v>
      </c>
      <c r="C1" t="s">
        <v>430</v>
      </c>
      <c r="D1" t="s">
        <v>224</v>
      </c>
      <c r="E1" t="s">
        <v>210</v>
      </c>
      <c r="F1" t="s">
        <v>844</v>
      </c>
      <c r="G1" t="s">
        <v>209</v>
      </c>
      <c r="H1" t="s">
        <v>13</v>
      </c>
      <c r="I1" t="s">
        <v>313</v>
      </c>
      <c r="J1" t="s">
        <v>845</v>
      </c>
      <c r="L1" s="42" t="s">
        <v>253</v>
      </c>
      <c r="M1" s="43" t="s">
        <v>255</v>
      </c>
      <c r="O1" s="42" t="s">
        <v>253</v>
      </c>
      <c r="P1" s="43" t="s">
        <v>255</v>
      </c>
      <c r="S1" s="42" t="s">
        <v>253</v>
      </c>
      <c r="T1" s="43" t="s">
        <v>255</v>
      </c>
      <c r="AB1" s="58" t="s">
        <v>851</v>
      </c>
    </row>
    <row r="2" spans="1:28" x14ac:dyDescent="0.25">
      <c r="A2" t="str">
        <f t="shared" ref="A2:A65" si="0">B2&amp;D2</f>
        <v>Adda TimesAbhishapto</v>
      </c>
      <c r="B2" t="s">
        <v>44</v>
      </c>
      <c r="C2" t="s">
        <v>431</v>
      </c>
      <c r="D2" t="s">
        <v>511</v>
      </c>
      <c r="E2" t="s">
        <v>211</v>
      </c>
      <c r="F2" t="s">
        <v>457</v>
      </c>
      <c r="G2" t="s">
        <v>216</v>
      </c>
      <c r="H2" t="s">
        <v>33</v>
      </c>
      <c r="I2">
        <v>9</v>
      </c>
      <c r="J2">
        <v>9</v>
      </c>
      <c r="L2" s="44">
        <v>7</v>
      </c>
      <c r="M2" s="45" t="s">
        <v>339</v>
      </c>
      <c r="O2" s="44">
        <v>7</v>
      </c>
      <c r="P2" s="45" t="s">
        <v>339</v>
      </c>
      <c r="S2" s="44">
        <v>1</v>
      </c>
      <c r="T2" s="45">
        <v>0.9</v>
      </c>
      <c r="W2" s="47" t="s">
        <v>430</v>
      </c>
      <c r="X2" t="s">
        <v>11</v>
      </c>
      <c r="AB2" s="58" t="s">
        <v>852</v>
      </c>
    </row>
    <row r="3" spans="1:28" x14ac:dyDescent="0.25">
      <c r="A3" t="str">
        <f t="shared" si="0"/>
        <v>Adda TimesBasanta Ese Geche</v>
      </c>
      <c r="B3" t="s">
        <v>44</v>
      </c>
      <c r="C3" t="s">
        <v>431</v>
      </c>
      <c r="D3" t="s">
        <v>512</v>
      </c>
      <c r="E3" t="s">
        <v>211</v>
      </c>
      <c r="F3" t="s">
        <v>457</v>
      </c>
      <c r="G3" t="s">
        <v>216</v>
      </c>
      <c r="H3" t="s">
        <v>33</v>
      </c>
      <c r="I3">
        <v>2</v>
      </c>
      <c r="J3">
        <v>2</v>
      </c>
      <c r="L3" s="44">
        <v>6</v>
      </c>
      <c r="M3" s="45" t="s">
        <v>340</v>
      </c>
      <c r="O3" s="44">
        <v>6</v>
      </c>
      <c r="P3" s="45" t="s">
        <v>340</v>
      </c>
      <c r="S3" s="44">
        <v>2</v>
      </c>
      <c r="T3" s="45">
        <v>0.85</v>
      </c>
      <c r="W3" s="46" t="s">
        <v>436</v>
      </c>
      <c r="X3" s="26">
        <v>0.8</v>
      </c>
      <c r="AB3" s="58" t="s">
        <v>853</v>
      </c>
    </row>
    <row r="4" spans="1:28" x14ac:dyDescent="0.25">
      <c r="A4" t="str">
        <f t="shared" si="0"/>
        <v>Adda TimesCabaret</v>
      </c>
      <c r="B4" t="s">
        <v>44</v>
      </c>
      <c r="C4" t="s">
        <v>431</v>
      </c>
      <c r="D4" t="s">
        <v>513</v>
      </c>
      <c r="E4" t="s">
        <v>211</v>
      </c>
      <c r="F4" t="s">
        <v>457</v>
      </c>
      <c r="G4" t="s">
        <v>216</v>
      </c>
      <c r="H4" t="s">
        <v>33</v>
      </c>
      <c r="I4">
        <v>4</v>
      </c>
      <c r="J4">
        <v>4</v>
      </c>
      <c r="L4" s="44">
        <v>5</v>
      </c>
      <c r="M4" s="45" t="s">
        <v>341</v>
      </c>
      <c r="O4" s="44">
        <v>5</v>
      </c>
      <c r="P4" s="45" t="s">
        <v>341</v>
      </c>
      <c r="S4" s="44">
        <v>3</v>
      </c>
      <c r="T4" s="45">
        <v>0.8</v>
      </c>
      <c r="W4" s="46" t="s">
        <v>433</v>
      </c>
      <c r="X4" s="26">
        <v>0.6</v>
      </c>
      <c r="AB4" s="58" t="s">
        <v>854</v>
      </c>
    </row>
    <row r="5" spans="1:28" x14ac:dyDescent="0.25">
      <c r="A5" t="str">
        <f t="shared" si="0"/>
        <v>Adda TimesGhoshbabur-retirement-plan</v>
      </c>
      <c r="B5" t="s">
        <v>44</v>
      </c>
      <c r="C5" t="s">
        <v>431</v>
      </c>
      <c r="D5" t="s">
        <v>514</v>
      </c>
      <c r="E5" t="s">
        <v>211</v>
      </c>
      <c r="F5" t="s">
        <v>457</v>
      </c>
      <c r="G5" t="s">
        <v>216</v>
      </c>
      <c r="H5" t="s">
        <v>33</v>
      </c>
      <c r="I5">
        <v>7</v>
      </c>
      <c r="J5">
        <v>7</v>
      </c>
      <c r="L5" s="44">
        <v>4</v>
      </c>
      <c r="M5" s="45" t="s">
        <v>342</v>
      </c>
      <c r="O5" s="44">
        <v>4</v>
      </c>
      <c r="P5" s="45" t="s">
        <v>342</v>
      </c>
      <c r="S5" s="44">
        <v>4</v>
      </c>
      <c r="T5" s="45">
        <v>0.7</v>
      </c>
      <c r="W5" s="46" t="s">
        <v>437</v>
      </c>
      <c r="X5" s="26">
        <v>0.1</v>
      </c>
      <c r="AB5" s="58" t="s">
        <v>855</v>
      </c>
    </row>
    <row r="6" spans="1:28" x14ac:dyDescent="0.25">
      <c r="A6" t="str">
        <f t="shared" si="0"/>
        <v>Adda TimesKothamrita</v>
      </c>
      <c r="B6" t="s">
        <v>44</v>
      </c>
      <c r="C6" t="s">
        <v>431</v>
      </c>
      <c r="D6" t="s">
        <v>515</v>
      </c>
      <c r="E6" t="s">
        <v>211</v>
      </c>
      <c r="F6" t="s">
        <v>457</v>
      </c>
      <c r="G6" t="s">
        <v>184</v>
      </c>
      <c r="H6" t="s">
        <v>33</v>
      </c>
      <c r="I6">
        <v>10</v>
      </c>
      <c r="J6">
        <v>10</v>
      </c>
      <c r="L6" s="44">
        <v>3</v>
      </c>
      <c r="M6" s="45" t="s">
        <v>343</v>
      </c>
      <c r="O6" s="44">
        <v>3</v>
      </c>
      <c r="P6" s="45" t="s">
        <v>343</v>
      </c>
      <c r="S6" s="44">
        <v>5</v>
      </c>
      <c r="T6" s="45">
        <v>0.65</v>
      </c>
      <c r="W6" s="46" t="s">
        <v>432</v>
      </c>
      <c r="X6" s="26">
        <v>0.8</v>
      </c>
      <c r="AB6" s="58" t="s">
        <v>856</v>
      </c>
    </row>
    <row r="7" spans="1:28" x14ac:dyDescent="0.25">
      <c r="A7" t="str">
        <f t="shared" si="0"/>
        <v>Adda TimesNandini</v>
      </c>
      <c r="B7" t="s">
        <v>44</v>
      </c>
      <c r="C7" t="s">
        <v>431</v>
      </c>
      <c r="D7" t="s">
        <v>516</v>
      </c>
      <c r="E7" t="s">
        <v>211</v>
      </c>
      <c r="F7" t="s">
        <v>457</v>
      </c>
      <c r="G7" t="s">
        <v>216</v>
      </c>
      <c r="H7" t="s">
        <v>33</v>
      </c>
      <c r="I7">
        <v>8</v>
      </c>
      <c r="J7">
        <v>8</v>
      </c>
      <c r="L7" s="44">
        <v>2</v>
      </c>
      <c r="M7" s="45" t="s">
        <v>344</v>
      </c>
      <c r="O7" s="44">
        <v>2</v>
      </c>
      <c r="P7" s="45" t="s">
        <v>344</v>
      </c>
      <c r="S7" s="44">
        <v>6</v>
      </c>
      <c r="T7" s="45">
        <v>0.6</v>
      </c>
      <c r="W7" s="46" t="s">
        <v>431</v>
      </c>
      <c r="X7" s="26">
        <v>0.6</v>
      </c>
    </row>
    <row r="8" spans="1:28" x14ac:dyDescent="0.25">
      <c r="A8" t="str">
        <f t="shared" si="0"/>
        <v>Adda TimesPetni</v>
      </c>
      <c r="B8" t="s">
        <v>44</v>
      </c>
      <c r="C8" t="s">
        <v>431</v>
      </c>
      <c r="D8" t="s">
        <v>517</v>
      </c>
      <c r="E8" t="s">
        <v>211</v>
      </c>
      <c r="F8" t="s">
        <v>457</v>
      </c>
      <c r="G8" t="s">
        <v>216</v>
      </c>
      <c r="H8" t="s">
        <v>33</v>
      </c>
      <c r="I8">
        <v>5</v>
      </c>
      <c r="J8">
        <v>5</v>
      </c>
      <c r="L8" s="44">
        <v>1</v>
      </c>
      <c r="M8" s="45" t="s">
        <v>345</v>
      </c>
      <c r="O8" s="44">
        <v>1</v>
      </c>
      <c r="P8" s="45" t="s">
        <v>345</v>
      </c>
      <c r="S8" s="44">
        <v>7</v>
      </c>
      <c r="T8" s="45">
        <v>0.55000000000000004</v>
      </c>
      <c r="W8" s="46" t="s">
        <v>434</v>
      </c>
      <c r="X8" s="26">
        <v>0.7</v>
      </c>
    </row>
    <row r="9" spans="1:28" x14ac:dyDescent="0.25">
      <c r="A9" t="str">
        <f t="shared" si="0"/>
        <v>Adda TimesPreme Pora Baron</v>
      </c>
      <c r="B9" t="s">
        <v>44</v>
      </c>
      <c r="C9" t="s">
        <v>431</v>
      </c>
      <c r="D9" t="s">
        <v>518</v>
      </c>
      <c r="E9" t="s">
        <v>211</v>
      </c>
      <c r="F9" t="s">
        <v>457</v>
      </c>
      <c r="G9" t="s">
        <v>216</v>
      </c>
      <c r="H9" t="s">
        <v>33</v>
      </c>
      <c r="I9">
        <v>3</v>
      </c>
      <c r="J9">
        <v>3</v>
      </c>
      <c r="L9" s="44">
        <v>8</v>
      </c>
      <c r="M9" s="45" t="s">
        <v>346</v>
      </c>
      <c r="S9" s="44">
        <v>8</v>
      </c>
      <c r="T9" s="45">
        <v>0.5</v>
      </c>
      <c r="W9" s="46" t="s">
        <v>456</v>
      </c>
      <c r="X9" s="26">
        <v>0.3</v>
      </c>
    </row>
    <row r="10" spans="1:28" x14ac:dyDescent="0.25">
      <c r="A10" t="str">
        <f t="shared" si="0"/>
        <v>Adda TimesSIN - Whispers Of Guilt</v>
      </c>
      <c r="B10" t="s">
        <v>44</v>
      </c>
      <c r="C10" t="s">
        <v>431</v>
      </c>
      <c r="D10" t="s">
        <v>519</v>
      </c>
      <c r="E10" t="s">
        <v>211</v>
      </c>
      <c r="F10" t="s">
        <v>457</v>
      </c>
      <c r="G10" t="s">
        <v>124</v>
      </c>
      <c r="H10" t="s">
        <v>33</v>
      </c>
      <c r="I10">
        <v>6</v>
      </c>
      <c r="J10">
        <v>6</v>
      </c>
      <c r="L10" s="44">
        <v>9</v>
      </c>
      <c r="M10" s="45" t="s">
        <v>347</v>
      </c>
      <c r="S10" s="44">
        <v>9</v>
      </c>
      <c r="T10" s="45">
        <v>0.45</v>
      </c>
      <c r="W10" s="46" t="s">
        <v>859</v>
      </c>
      <c r="X10" s="26">
        <v>0.7</v>
      </c>
    </row>
    <row r="11" spans="1:28" x14ac:dyDescent="0.25">
      <c r="A11" t="str">
        <f t="shared" si="0"/>
        <v>Adda TimesThe First Rain</v>
      </c>
      <c r="B11" t="s">
        <v>44</v>
      </c>
      <c r="C11" t="s">
        <v>431</v>
      </c>
      <c r="D11" t="s">
        <v>520</v>
      </c>
      <c r="E11" t="s">
        <v>211</v>
      </c>
      <c r="F11" t="s">
        <v>457</v>
      </c>
      <c r="G11" t="s">
        <v>172</v>
      </c>
      <c r="H11" t="s">
        <v>33</v>
      </c>
      <c r="I11">
        <v>1</v>
      </c>
      <c r="J11">
        <v>1</v>
      </c>
      <c r="L11" s="44">
        <v>10</v>
      </c>
      <c r="M11" s="45" t="s">
        <v>348</v>
      </c>
      <c r="S11" s="44">
        <v>10</v>
      </c>
      <c r="T11" s="45">
        <v>0.4</v>
      </c>
    </row>
    <row r="12" spans="1:28" x14ac:dyDescent="0.25">
      <c r="A12" t="str">
        <f t="shared" si="0"/>
        <v>Aha Video11th Hour</v>
      </c>
      <c r="B12" t="s">
        <v>49</v>
      </c>
      <c r="C12" t="s">
        <v>431</v>
      </c>
      <c r="D12" t="s">
        <v>521</v>
      </c>
      <c r="E12" t="s">
        <v>211</v>
      </c>
      <c r="F12" t="s">
        <v>457</v>
      </c>
      <c r="G12" t="s">
        <v>173</v>
      </c>
      <c r="H12" t="s">
        <v>23</v>
      </c>
      <c r="I12">
        <v>8</v>
      </c>
      <c r="J12">
        <v>8</v>
      </c>
      <c r="L12" s="44"/>
      <c r="M12" s="41"/>
      <c r="S12" s="44">
        <v>11</v>
      </c>
      <c r="T12" s="41">
        <f>T11*90%</f>
        <v>0.36000000000000004</v>
      </c>
    </row>
    <row r="13" spans="1:28" x14ac:dyDescent="0.25">
      <c r="A13" t="str">
        <f t="shared" si="0"/>
        <v>Aha VideoAkash Vaani</v>
      </c>
      <c r="B13" t="s">
        <v>49</v>
      </c>
      <c r="C13" t="s">
        <v>431</v>
      </c>
      <c r="D13" t="s">
        <v>522</v>
      </c>
      <c r="E13" t="s">
        <v>211</v>
      </c>
      <c r="F13" t="s">
        <v>457</v>
      </c>
      <c r="G13" t="s">
        <v>474</v>
      </c>
      <c r="H13" t="s">
        <v>24</v>
      </c>
      <c r="I13">
        <v>5</v>
      </c>
      <c r="J13">
        <v>5</v>
      </c>
      <c r="L13" s="44"/>
      <c r="M13" s="41"/>
      <c r="S13" s="44">
        <v>12</v>
      </c>
      <c r="T13" s="41">
        <f t="shared" ref="T13:T76" si="1">T12*90%</f>
        <v>0.32400000000000007</v>
      </c>
    </row>
    <row r="14" spans="1:28" x14ac:dyDescent="0.25">
      <c r="A14" t="str">
        <f t="shared" si="0"/>
        <v>Aha VideoAmmuchi 2</v>
      </c>
      <c r="B14" t="s">
        <v>49</v>
      </c>
      <c r="C14" t="s">
        <v>431</v>
      </c>
      <c r="D14" t="s">
        <v>523</v>
      </c>
      <c r="E14" t="s">
        <v>211</v>
      </c>
      <c r="F14" t="s">
        <v>457</v>
      </c>
      <c r="G14" t="s">
        <v>124</v>
      </c>
      <c r="H14" t="s">
        <v>22</v>
      </c>
      <c r="I14">
        <v>6</v>
      </c>
      <c r="J14">
        <v>6</v>
      </c>
      <c r="L14" s="44"/>
      <c r="M14" s="41"/>
      <c r="S14" s="44">
        <v>13</v>
      </c>
      <c r="T14" s="41">
        <f t="shared" si="1"/>
        <v>0.29160000000000008</v>
      </c>
    </row>
    <row r="15" spans="1:28" x14ac:dyDescent="0.25">
      <c r="A15" t="str">
        <f t="shared" si="0"/>
        <v>Aha VideoAnya's Tutorial</v>
      </c>
      <c r="B15" t="s">
        <v>49</v>
      </c>
      <c r="C15" t="s">
        <v>431</v>
      </c>
      <c r="D15" t="s">
        <v>524</v>
      </c>
      <c r="E15" t="s">
        <v>211</v>
      </c>
      <c r="F15" t="s">
        <v>457</v>
      </c>
      <c r="G15" t="s">
        <v>216</v>
      </c>
      <c r="H15" t="s">
        <v>22</v>
      </c>
      <c r="I15">
        <v>10</v>
      </c>
      <c r="J15">
        <v>10</v>
      </c>
      <c r="L15" s="44"/>
      <c r="M15" s="41"/>
      <c r="S15" s="44">
        <v>14</v>
      </c>
      <c r="T15" s="41">
        <f t="shared" si="1"/>
        <v>0.26244000000000006</v>
      </c>
    </row>
    <row r="16" spans="1:28" x14ac:dyDescent="0.25">
      <c r="A16" t="str">
        <f t="shared" si="0"/>
        <v>Aha VideoEmoji</v>
      </c>
      <c r="B16" t="s">
        <v>49</v>
      </c>
      <c r="C16" t="s">
        <v>431</v>
      </c>
      <c r="D16" t="s">
        <v>525</v>
      </c>
      <c r="E16" t="s">
        <v>211</v>
      </c>
      <c r="F16" t="s">
        <v>457</v>
      </c>
      <c r="G16" t="s">
        <v>279</v>
      </c>
      <c r="H16" t="s">
        <v>22</v>
      </c>
      <c r="I16">
        <v>3</v>
      </c>
      <c r="J16">
        <v>3</v>
      </c>
      <c r="L16" s="44"/>
      <c r="M16" s="41"/>
      <c r="S16" s="44">
        <v>15</v>
      </c>
      <c r="T16" s="41">
        <f t="shared" si="1"/>
        <v>0.23619600000000007</v>
      </c>
    </row>
    <row r="17" spans="1:20" x14ac:dyDescent="0.25">
      <c r="A17" t="str">
        <f t="shared" si="0"/>
        <v>Aha VideoEP7 Youtubers</v>
      </c>
      <c r="B17" t="s">
        <v>49</v>
      </c>
      <c r="C17" t="s">
        <v>431</v>
      </c>
      <c r="D17" t="s">
        <v>526</v>
      </c>
      <c r="E17" t="s">
        <v>211</v>
      </c>
      <c r="F17" t="s">
        <v>457</v>
      </c>
      <c r="G17" t="s">
        <v>448</v>
      </c>
      <c r="H17" t="s">
        <v>23</v>
      </c>
      <c r="I17">
        <v>4</v>
      </c>
      <c r="J17">
        <v>4</v>
      </c>
      <c r="L17" s="44"/>
      <c r="M17" s="41"/>
      <c r="S17" s="44">
        <v>16</v>
      </c>
      <c r="T17" s="41">
        <f t="shared" si="1"/>
        <v>0.21257640000000008</v>
      </c>
    </row>
    <row r="18" spans="1:20" x14ac:dyDescent="0.25">
      <c r="A18" t="str">
        <f t="shared" si="0"/>
        <v>Aha VideoIrai</v>
      </c>
      <c r="B18" t="s">
        <v>49</v>
      </c>
      <c r="C18" t="s">
        <v>431</v>
      </c>
      <c r="D18" t="s">
        <v>527</v>
      </c>
      <c r="E18" t="s">
        <v>211</v>
      </c>
      <c r="F18" t="s">
        <v>457</v>
      </c>
      <c r="G18" t="s">
        <v>87</v>
      </c>
      <c r="H18" t="s">
        <v>22</v>
      </c>
      <c r="I18">
        <v>2</v>
      </c>
      <c r="J18">
        <v>2</v>
      </c>
      <c r="L18" s="44"/>
      <c r="M18" s="41"/>
      <c r="S18" s="44">
        <v>17</v>
      </c>
      <c r="T18" s="41">
        <f t="shared" si="1"/>
        <v>0.19131876000000009</v>
      </c>
    </row>
    <row r="19" spans="1:20" x14ac:dyDescent="0.25">
      <c r="A19" t="str">
        <f t="shared" si="0"/>
        <v>Aha VideoKuthukku Pathu</v>
      </c>
      <c r="B19" t="s">
        <v>49</v>
      </c>
      <c r="C19" t="s">
        <v>431</v>
      </c>
      <c r="D19" t="s">
        <v>528</v>
      </c>
      <c r="E19" t="s">
        <v>211</v>
      </c>
      <c r="F19" t="s">
        <v>457</v>
      </c>
      <c r="G19" t="s">
        <v>124</v>
      </c>
      <c r="H19" t="s">
        <v>22</v>
      </c>
      <c r="I19">
        <v>7</v>
      </c>
      <c r="J19">
        <v>7</v>
      </c>
      <c r="L19" s="44"/>
      <c r="M19" s="41"/>
      <c r="S19" s="44">
        <v>18</v>
      </c>
      <c r="T19" s="41">
        <f t="shared" si="1"/>
        <v>0.1721868840000001</v>
      </c>
    </row>
    <row r="20" spans="1:20" x14ac:dyDescent="0.25">
      <c r="A20" t="str">
        <f t="shared" si="0"/>
        <v>Aha VideoMad Company</v>
      </c>
      <c r="B20" t="s">
        <v>49</v>
      </c>
      <c r="C20" t="s">
        <v>431</v>
      </c>
      <c r="D20" t="s">
        <v>529</v>
      </c>
      <c r="E20" t="s">
        <v>211</v>
      </c>
      <c r="F20" t="s">
        <v>457</v>
      </c>
      <c r="G20" t="s">
        <v>138</v>
      </c>
      <c r="H20" t="s">
        <v>22</v>
      </c>
      <c r="I20">
        <v>9</v>
      </c>
      <c r="J20">
        <v>9</v>
      </c>
      <c r="L20" s="44"/>
      <c r="M20" s="41"/>
      <c r="S20" s="44">
        <v>19</v>
      </c>
      <c r="T20" s="41">
        <f t="shared" si="1"/>
        <v>0.15496819560000008</v>
      </c>
    </row>
    <row r="21" spans="1:20" x14ac:dyDescent="0.25">
      <c r="A21" t="str">
        <f t="shared" si="0"/>
        <v>Aha VideoPettaikaali</v>
      </c>
      <c r="B21" t="s">
        <v>49</v>
      </c>
      <c r="C21" t="s">
        <v>431</v>
      </c>
      <c r="D21" t="s">
        <v>530</v>
      </c>
      <c r="E21" t="s">
        <v>211</v>
      </c>
      <c r="F21" t="s">
        <v>457</v>
      </c>
      <c r="G21" t="s">
        <v>46</v>
      </c>
      <c r="H21" t="s">
        <v>22</v>
      </c>
      <c r="I21">
        <v>1</v>
      </c>
      <c r="J21">
        <v>1</v>
      </c>
      <c r="L21" s="44"/>
      <c r="M21" s="41"/>
      <c r="S21" s="44">
        <v>20</v>
      </c>
      <c r="T21" s="41">
        <f t="shared" si="1"/>
        <v>0.13947137604000007</v>
      </c>
    </row>
    <row r="22" spans="1:20" x14ac:dyDescent="0.25">
      <c r="A22" t="str">
        <f t="shared" si="0"/>
        <v>Aha VideoAyngaran</v>
      </c>
      <c r="B22" t="s">
        <v>49</v>
      </c>
      <c r="C22" t="s">
        <v>434</v>
      </c>
      <c r="D22" t="s">
        <v>531</v>
      </c>
      <c r="E22" t="s">
        <v>211</v>
      </c>
      <c r="F22" t="s">
        <v>458</v>
      </c>
      <c r="G22" t="s">
        <v>92</v>
      </c>
      <c r="H22" t="s">
        <v>22</v>
      </c>
      <c r="I22">
        <v>4</v>
      </c>
      <c r="J22">
        <v>4</v>
      </c>
      <c r="L22" s="44"/>
      <c r="M22" s="41"/>
      <c r="S22" s="44">
        <v>21</v>
      </c>
      <c r="T22" s="41">
        <f t="shared" si="1"/>
        <v>0.12552423843600005</v>
      </c>
    </row>
    <row r="23" spans="1:20" x14ac:dyDescent="0.25">
      <c r="A23" t="str">
        <f t="shared" si="0"/>
        <v>Aha VideoDiary</v>
      </c>
      <c r="B23" t="s">
        <v>49</v>
      </c>
      <c r="C23" t="s">
        <v>434</v>
      </c>
      <c r="D23" t="s">
        <v>532</v>
      </c>
      <c r="E23" t="s">
        <v>211</v>
      </c>
      <c r="F23" t="s">
        <v>458</v>
      </c>
      <c r="G23" t="s">
        <v>162</v>
      </c>
      <c r="H23" t="s">
        <v>22</v>
      </c>
      <c r="I23">
        <v>3</v>
      </c>
      <c r="J23">
        <v>3</v>
      </c>
      <c r="L23" s="44"/>
      <c r="M23" s="41"/>
      <c r="S23" s="44">
        <v>22</v>
      </c>
      <c r="T23" s="41">
        <f t="shared" si="1"/>
        <v>0.11297181459240005</v>
      </c>
    </row>
    <row r="24" spans="1:20" x14ac:dyDescent="0.25">
      <c r="A24" t="str">
        <f t="shared" si="0"/>
        <v>Aha VideoJiivi 2</v>
      </c>
      <c r="B24" t="s">
        <v>49</v>
      </c>
      <c r="C24" t="s">
        <v>434</v>
      </c>
      <c r="D24" t="s">
        <v>533</v>
      </c>
      <c r="E24" t="s">
        <v>211</v>
      </c>
      <c r="F24" t="s">
        <v>458</v>
      </c>
      <c r="G24" t="s">
        <v>173</v>
      </c>
      <c r="H24" t="s">
        <v>22</v>
      </c>
      <c r="I24">
        <v>10</v>
      </c>
      <c r="J24">
        <v>10</v>
      </c>
      <c r="L24" s="44"/>
      <c r="M24" s="41"/>
      <c r="S24" s="44">
        <v>23</v>
      </c>
      <c r="T24" s="41">
        <f t="shared" si="1"/>
        <v>0.10167463313316005</v>
      </c>
    </row>
    <row r="25" spans="1:20" x14ac:dyDescent="0.25">
      <c r="A25" t="str">
        <f t="shared" si="0"/>
        <v>Aha VideoKoogle Kuttappa</v>
      </c>
      <c r="B25" t="s">
        <v>49</v>
      </c>
      <c r="C25" t="s">
        <v>434</v>
      </c>
      <c r="D25" t="s">
        <v>534</v>
      </c>
      <c r="E25" t="s">
        <v>211</v>
      </c>
      <c r="F25" t="s">
        <v>458</v>
      </c>
      <c r="G25" t="s">
        <v>475</v>
      </c>
      <c r="H25" t="s">
        <v>22</v>
      </c>
      <c r="I25">
        <v>7</v>
      </c>
      <c r="J25">
        <v>7</v>
      </c>
      <c r="L25" s="44"/>
      <c r="M25" s="41"/>
      <c r="S25" s="44">
        <v>24</v>
      </c>
      <c r="T25" s="41">
        <f t="shared" si="1"/>
        <v>9.1507169819844053E-2</v>
      </c>
    </row>
    <row r="26" spans="1:20" x14ac:dyDescent="0.25">
      <c r="A26" t="str">
        <f t="shared" si="0"/>
        <v>Aha VideoMaamanithan</v>
      </c>
      <c r="B26" t="s">
        <v>49</v>
      </c>
      <c r="C26" t="s">
        <v>434</v>
      </c>
      <c r="D26" t="s">
        <v>535</v>
      </c>
      <c r="E26" t="s">
        <v>211</v>
      </c>
      <c r="F26" t="s">
        <v>458</v>
      </c>
      <c r="G26" t="s">
        <v>216</v>
      </c>
      <c r="H26" t="s">
        <v>22</v>
      </c>
      <c r="I26">
        <v>5</v>
      </c>
      <c r="J26">
        <v>5</v>
      </c>
      <c r="L26" s="44"/>
      <c r="M26" s="41"/>
      <c r="S26" s="44">
        <v>25</v>
      </c>
      <c r="T26" s="41">
        <f t="shared" si="1"/>
        <v>8.2356452837859653E-2</v>
      </c>
    </row>
    <row r="27" spans="1:20" x14ac:dyDescent="0.25">
      <c r="A27" t="str">
        <f t="shared" si="0"/>
        <v>Aha VideoManmatha Leelai</v>
      </c>
      <c r="B27" t="s">
        <v>49</v>
      </c>
      <c r="C27" t="s">
        <v>434</v>
      </c>
      <c r="D27" t="s">
        <v>536</v>
      </c>
      <c r="E27" t="s">
        <v>211</v>
      </c>
      <c r="F27" t="s">
        <v>458</v>
      </c>
      <c r="G27" t="s">
        <v>308</v>
      </c>
      <c r="H27" t="s">
        <v>24</v>
      </c>
      <c r="I27">
        <v>2</v>
      </c>
      <c r="J27">
        <v>2</v>
      </c>
      <c r="L27" s="44"/>
      <c r="M27" s="41"/>
      <c r="S27" s="44">
        <v>26</v>
      </c>
      <c r="T27" s="41">
        <f t="shared" si="1"/>
        <v>7.4120807554073687E-2</v>
      </c>
    </row>
    <row r="28" spans="1:20" x14ac:dyDescent="0.25">
      <c r="A28" t="str">
        <f t="shared" si="0"/>
        <v>Aha VideoSardar</v>
      </c>
      <c r="B28" t="s">
        <v>49</v>
      </c>
      <c r="C28" t="s">
        <v>434</v>
      </c>
      <c r="D28" t="s">
        <v>537</v>
      </c>
      <c r="E28" t="s">
        <v>211</v>
      </c>
      <c r="F28" t="s">
        <v>458</v>
      </c>
      <c r="G28" t="s">
        <v>97</v>
      </c>
      <c r="H28" t="s">
        <v>22</v>
      </c>
      <c r="I28">
        <v>1</v>
      </c>
      <c r="J28">
        <v>1</v>
      </c>
      <c r="L28" s="44"/>
      <c r="M28" s="41"/>
      <c r="S28" s="44">
        <v>27</v>
      </c>
      <c r="T28" s="41">
        <f t="shared" si="1"/>
        <v>6.6708726798666323E-2</v>
      </c>
    </row>
    <row r="29" spans="1:20" x14ac:dyDescent="0.25">
      <c r="A29" t="str">
        <f t="shared" si="0"/>
        <v>Aha VideoSelfie</v>
      </c>
      <c r="B29" t="s">
        <v>49</v>
      </c>
      <c r="C29" t="s">
        <v>434</v>
      </c>
      <c r="D29" t="s">
        <v>538</v>
      </c>
      <c r="E29" t="s">
        <v>211</v>
      </c>
      <c r="F29" t="s">
        <v>458</v>
      </c>
      <c r="G29" t="s">
        <v>92</v>
      </c>
      <c r="H29" t="s">
        <v>22</v>
      </c>
      <c r="I29">
        <v>8</v>
      </c>
      <c r="J29">
        <v>8</v>
      </c>
      <c r="L29" s="44"/>
      <c r="M29" s="41"/>
      <c r="S29" s="44">
        <v>28</v>
      </c>
      <c r="T29" s="41">
        <f t="shared" si="1"/>
        <v>6.0037854118799694E-2</v>
      </c>
    </row>
    <row r="30" spans="1:20" x14ac:dyDescent="0.25">
      <c r="A30" t="str">
        <f t="shared" si="0"/>
        <v>Aha VideoTrigger</v>
      </c>
      <c r="B30" t="s">
        <v>49</v>
      </c>
      <c r="C30" t="s">
        <v>434</v>
      </c>
      <c r="D30" t="s">
        <v>539</v>
      </c>
      <c r="E30" t="s">
        <v>211</v>
      </c>
      <c r="F30" t="s">
        <v>458</v>
      </c>
      <c r="G30" t="s">
        <v>92</v>
      </c>
      <c r="H30" t="s">
        <v>22</v>
      </c>
      <c r="I30">
        <v>9</v>
      </c>
      <c r="J30">
        <v>9</v>
      </c>
      <c r="L30" s="44"/>
      <c r="M30" s="41"/>
      <c r="S30" s="44">
        <v>29</v>
      </c>
      <c r="T30" s="41">
        <f t="shared" si="1"/>
        <v>5.4034068706919729E-2</v>
      </c>
    </row>
    <row r="31" spans="1:20" x14ac:dyDescent="0.25">
      <c r="A31" t="str">
        <f t="shared" si="0"/>
        <v>Aha VideoWriter</v>
      </c>
      <c r="B31" t="s">
        <v>49</v>
      </c>
      <c r="C31" t="s">
        <v>434</v>
      </c>
      <c r="D31" t="s">
        <v>540</v>
      </c>
      <c r="E31" t="s">
        <v>211</v>
      </c>
      <c r="F31" t="s">
        <v>458</v>
      </c>
      <c r="G31" t="s">
        <v>216</v>
      </c>
      <c r="H31" t="s">
        <v>24</v>
      </c>
      <c r="I31">
        <v>6</v>
      </c>
      <c r="J31">
        <v>6</v>
      </c>
      <c r="L31" s="44"/>
      <c r="M31" s="41"/>
      <c r="S31" s="44">
        <v>30</v>
      </c>
      <c r="T31" s="41">
        <f t="shared" si="1"/>
        <v>4.8630661836227759E-2</v>
      </c>
    </row>
    <row r="32" spans="1:20" x14ac:dyDescent="0.25">
      <c r="A32" t="str">
        <f t="shared" si="0"/>
        <v>Altt Rangeen Kahaniyan Punarjanam</v>
      </c>
      <c r="B32" t="s">
        <v>56</v>
      </c>
      <c r="C32" t="s">
        <v>431</v>
      </c>
      <c r="D32" t="s">
        <v>541</v>
      </c>
      <c r="E32" t="s">
        <v>211</v>
      </c>
      <c r="F32" t="s">
        <v>457</v>
      </c>
      <c r="G32" t="s">
        <v>174</v>
      </c>
      <c r="H32" t="s">
        <v>19</v>
      </c>
      <c r="I32">
        <v>3</v>
      </c>
      <c r="J32">
        <v>3</v>
      </c>
      <c r="L32" s="44"/>
      <c r="M32" s="41"/>
      <c r="S32" s="44">
        <v>31</v>
      </c>
      <c r="T32" s="41">
        <f t="shared" si="1"/>
        <v>4.3767595652604983E-2</v>
      </c>
    </row>
    <row r="33" spans="1:20" x14ac:dyDescent="0.25">
      <c r="A33" t="str">
        <f t="shared" si="0"/>
        <v>Altt Utha Patak Season 3</v>
      </c>
      <c r="B33" t="s">
        <v>56</v>
      </c>
      <c r="C33" t="s">
        <v>431</v>
      </c>
      <c r="D33" t="s">
        <v>542</v>
      </c>
      <c r="E33" t="s">
        <v>211</v>
      </c>
      <c r="F33" t="s">
        <v>457</v>
      </c>
      <c r="G33" t="s">
        <v>174</v>
      </c>
      <c r="H33" t="s">
        <v>19</v>
      </c>
      <c r="I33">
        <v>1</v>
      </c>
      <c r="J33">
        <v>1</v>
      </c>
      <c r="L33" s="44"/>
      <c r="M33" s="41"/>
      <c r="S33" s="44">
        <v>32</v>
      </c>
      <c r="T33" s="41">
        <f t="shared" si="1"/>
        <v>3.9390836087344484E-2</v>
      </c>
    </row>
    <row r="34" spans="1:20" x14ac:dyDescent="0.25">
      <c r="A34" t="str">
        <f t="shared" si="0"/>
        <v>AlttCrimes And Confessions Laal Bawaal</v>
      </c>
      <c r="B34" t="s">
        <v>56</v>
      </c>
      <c r="C34" t="s">
        <v>431</v>
      </c>
      <c r="D34" t="s">
        <v>543</v>
      </c>
      <c r="E34" t="s">
        <v>211</v>
      </c>
      <c r="F34" t="s">
        <v>457</v>
      </c>
      <c r="G34" t="s">
        <v>174</v>
      </c>
      <c r="H34" t="s">
        <v>19</v>
      </c>
      <c r="I34">
        <v>7</v>
      </c>
      <c r="J34">
        <v>7</v>
      </c>
      <c r="L34" s="44"/>
      <c r="M34" s="41"/>
      <c r="S34" s="44">
        <v>33</v>
      </c>
      <c r="T34" s="41">
        <f t="shared" si="1"/>
        <v>3.5451752478610037E-2</v>
      </c>
    </row>
    <row r="35" spans="1:20" x14ac:dyDescent="0.25">
      <c r="A35" t="str">
        <f t="shared" si="0"/>
        <v>AlttCrimes And Confessions S3 - Dilruba Exchange</v>
      </c>
      <c r="B35" t="s">
        <v>56</v>
      </c>
      <c r="C35" t="s">
        <v>431</v>
      </c>
      <c r="D35" t="s">
        <v>544</v>
      </c>
      <c r="E35" t="s">
        <v>211</v>
      </c>
      <c r="F35" t="s">
        <v>457</v>
      </c>
      <c r="G35" t="s">
        <v>174</v>
      </c>
      <c r="H35" t="s">
        <v>19</v>
      </c>
      <c r="I35">
        <v>8</v>
      </c>
      <c r="J35">
        <v>8</v>
      </c>
      <c r="L35" s="44"/>
      <c r="M35" s="41"/>
      <c r="S35" s="44">
        <v>34</v>
      </c>
      <c r="T35" s="41">
        <f t="shared" si="1"/>
        <v>3.1906577230749036E-2</v>
      </c>
    </row>
    <row r="36" spans="1:20" x14ac:dyDescent="0.25">
      <c r="A36" t="str">
        <f t="shared" si="0"/>
        <v>AlttCrimes And Confessions S3 - Don Ki Darling</v>
      </c>
      <c r="B36" t="s">
        <v>56</v>
      </c>
      <c r="C36" t="s">
        <v>431</v>
      </c>
      <c r="D36" t="s">
        <v>545</v>
      </c>
      <c r="E36" t="s">
        <v>211</v>
      </c>
      <c r="F36" t="s">
        <v>457</v>
      </c>
      <c r="G36" t="s">
        <v>174</v>
      </c>
      <c r="H36" t="s">
        <v>19</v>
      </c>
      <c r="I36">
        <v>6</v>
      </c>
      <c r="J36">
        <v>6</v>
      </c>
      <c r="L36" s="44"/>
      <c r="M36" s="41"/>
      <c r="S36" s="44">
        <v>35</v>
      </c>
      <c r="T36" s="41">
        <f t="shared" si="1"/>
        <v>2.8715919507674135E-2</v>
      </c>
    </row>
    <row r="37" spans="1:20" x14ac:dyDescent="0.25">
      <c r="A37" t="str">
        <f t="shared" si="0"/>
        <v>AlttCrimes And Confessions S3 - Ishq Kills</v>
      </c>
      <c r="B37" t="s">
        <v>56</v>
      </c>
      <c r="C37" t="s">
        <v>431</v>
      </c>
      <c r="D37" t="s">
        <v>546</v>
      </c>
      <c r="E37" t="s">
        <v>211</v>
      </c>
      <c r="F37" t="s">
        <v>457</v>
      </c>
      <c r="G37" t="s">
        <v>174</v>
      </c>
      <c r="H37" t="s">
        <v>19</v>
      </c>
      <c r="I37">
        <v>9</v>
      </c>
      <c r="J37">
        <v>9</v>
      </c>
      <c r="L37" s="44"/>
      <c r="M37" s="41"/>
      <c r="S37" s="44">
        <v>36</v>
      </c>
      <c r="T37" s="41">
        <f t="shared" si="1"/>
        <v>2.5844327556906722E-2</v>
      </c>
    </row>
    <row r="38" spans="1:20" x14ac:dyDescent="0.25">
      <c r="A38" t="str">
        <f t="shared" si="0"/>
        <v>AlttCrimes And Confessions S3- Missing Majnu</v>
      </c>
      <c r="B38" t="s">
        <v>56</v>
      </c>
      <c r="C38" t="s">
        <v>431</v>
      </c>
      <c r="D38" t="s">
        <v>547</v>
      </c>
      <c r="E38" t="s">
        <v>211</v>
      </c>
      <c r="F38" t="s">
        <v>457</v>
      </c>
      <c r="G38" t="s">
        <v>174</v>
      </c>
      <c r="H38" t="s">
        <v>19</v>
      </c>
      <c r="I38">
        <v>5</v>
      </c>
      <c r="J38">
        <v>5</v>
      </c>
      <c r="L38" s="44"/>
      <c r="M38" s="41"/>
      <c r="S38" s="44">
        <v>37</v>
      </c>
      <c r="T38" s="41">
        <f t="shared" si="1"/>
        <v>2.3259894801216052E-2</v>
      </c>
    </row>
    <row r="39" spans="1:20" x14ac:dyDescent="0.25">
      <c r="A39" t="str">
        <f t="shared" si="0"/>
        <v>AlttRangeen Kahaniyan Tan Tripti Season 2</v>
      </c>
      <c r="B39" t="s">
        <v>56</v>
      </c>
      <c r="C39" t="s">
        <v>431</v>
      </c>
      <c r="D39" t="s">
        <v>548</v>
      </c>
      <c r="E39" t="s">
        <v>211</v>
      </c>
      <c r="F39" t="s">
        <v>457</v>
      </c>
      <c r="G39" t="s">
        <v>174</v>
      </c>
      <c r="H39" t="s">
        <v>19</v>
      </c>
      <c r="I39">
        <v>4</v>
      </c>
      <c r="J39">
        <v>4</v>
      </c>
      <c r="L39" s="44"/>
      <c r="M39" s="41"/>
      <c r="S39" s="44">
        <v>38</v>
      </c>
      <c r="T39" s="41">
        <f t="shared" si="1"/>
        <v>2.0933905321094445E-2</v>
      </c>
    </row>
    <row r="40" spans="1:20" x14ac:dyDescent="0.25">
      <c r="A40" t="str">
        <f t="shared" si="0"/>
        <v>AlttRangeen Kahaniyan Vashikaran</v>
      </c>
      <c r="B40" t="s">
        <v>56</v>
      </c>
      <c r="C40" t="s">
        <v>431</v>
      </c>
      <c r="D40" t="s">
        <v>549</v>
      </c>
      <c r="E40" t="s">
        <v>211</v>
      </c>
      <c r="F40" t="s">
        <v>457</v>
      </c>
      <c r="G40" t="s">
        <v>174</v>
      </c>
      <c r="H40" t="s">
        <v>19</v>
      </c>
      <c r="I40">
        <v>2</v>
      </c>
      <c r="J40">
        <v>2</v>
      </c>
      <c r="L40" s="44"/>
      <c r="M40" s="41"/>
      <c r="S40" s="44">
        <v>39</v>
      </c>
      <c r="T40" s="41">
        <f t="shared" si="1"/>
        <v>1.8840514788985002E-2</v>
      </c>
    </row>
    <row r="41" spans="1:20" x14ac:dyDescent="0.25">
      <c r="A41" t="str">
        <f t="shared" si="0"/>
        <v>Amazon Mini TvGirlfriend</v>
      </c>
      <c r="B41" t="s">
        <v>454</v>
      </c>
      <c r="C41" t="s">
        <v>433</v>
      </c>
      <c r="D41" t="s">
        <v>550</v>
      </c>
      <c r="E41" t="s">
        <v>219</v>
      </c>
      <c r="F41" t="s">
        <v>457</v>
      </c>
      <c r="G41" t="s">
        <v>194</v>
      </c>
      <c r="H41" t="s">
        <v>40</v>
      </c>
      <c r="I41">
        <v>3</v>
      </c>
      <c r="J41">
        <v>3</v>
      </c>
      <c r="L41" s="44"/>
      <c r="M41" s="41"/>
      <c r="S41" s="44">
        <v>40</v>
      </c>
      <c r="T41" s="41">
        <f t="shared" si="1"/>
        <v>1.6956463310086503E-2</v>
      </c>
    </row>
    <row r="42" spans="1:20" x14ac:dyDescent="0.25">
      <c r="A42" t="str">
        <f t="shared" si="0"/>
        <v>Amazon Mini TvGutar Gu S2</v>
      </c>
      <c r="B42" t="s">
        <v>454</v>
      </c>
      <c r="C42" t="s">
        <v>433</v>
      </c>
      <c r="D42" t="s">
        <v>551</v>
      </c>
      <c r="E42" t="s">
        <v>219</v>
      </c>
      <c r="F42" t="s">
        <v>457</v>
      </c>
      <c r="G42" t="s">
        <v>194</v>
      </c>
      <c r="H42" t="s">
        <v>40</v>
      </c>
      <c r="I42">
        <v>4</v>
      </c>
      <c r="J42">
        <v>4</v>
      </c>
      <c r="L42" s="44"/>
      <c r="M42" s="41"/>
      <c r="S42" s="44">
        <v>41</v>
      </c>
      <c r="T42" s="41">
        <f t="shared" si="1"/>
        <v>1.5260816979077853E-2</v>
      </c>
    </row>
    <row r="43" spans="1:20" x14ac:dyDescent="0.25">
      <c r="A43" t="str">
        <f t="shared" si="0"/>
        <v>Amazon Mini TvHighway Love S2</v>
      </c>
      <c r="B43" t="s">
        <v>454</v>
      </c>
      <c r="C43" t="s">
        <v>433</v>
      </c>
      <c r="D43" t="s">
        <v>552</v>
      </c>
      <c r="E43" t="s">
        <v>219</v>
      </c>
      <c r="F43" t="s">
        <v>457</v>
      </c>
      <c r="G43" t="s">
        <v>179</v>
      </c>
      <c r="H43" t="s">
        <v>40</v>
      </c>
      <c r="I43">
        <v>5</v>
      </c>
      <c r="J43">
        <v>5</v>
      </c>
      <c r="L43" s="44"/>
      <c r="M43" s="41"/>
      <c r="S43" s="44">
        <v>42</v>
      </c>
      <c r="T43" s="41">
        <f t="shared" si="1"/>
        <v>1.3734735281170068E-2</v>
      </c>
    </row>
    <row r="44" spans="1:20" x14ac:dyDescent="0.25">
      <c r="A44" t="str">
        <f t="shared" si="0"/>
        <v>Amazon Mini TvI Belonged to Your World</v>
      </c>
      <c r="B44" t="s">
        <v>454</v>
      </c>
      <c r="C44" t="s">
        <v>433</v>
      </c>
      <c r="D44" t="s">
        <v>553</v>
      </c>
      <c r="E44" t="s">
        <v>219</v>
      </c>
      <c r="F44" t="s">
        <v>457</v>
      </c>
      <c r="G44" t="s">
        <v>194</v>
      </c>
      <c r="H44" t="s">
        <v>40</v>
      </c>
      <c r="I44">
        <v>7</v>
      </c>
      <c r="J44">
        <v>7</v>
      </c>
      <c r="L44" s="44"/>
      <c r="M44" s="41"/>
      <c r="S44" s="44">
        <v>43</v>
      </c>
      <c r="T44" s="41">
        <f t="shared" si="1"/>
        <v>1.2361261753053061E-2</v>
      </c>
    </row>
    <row r="45" spans="1:20" x14ac:dyDescent="0.25">
      <c r="A45" t="str">
        <f t="shared" si="0"/>
        <v>Amazon Mini TvOur Secret</v>
      </c>
      <c r="B45" t="s">
        <v>454</v>
      </c>
      <c r="C45" t="s">
        <v>433</v>
      </c>
      <c r="D45" t="s">
        <v>554</v>
      </c>
      <c r="E45" t="s">
        <v>219</v>
      </c>
      <c r="F45" t="s">
        <v>457</v>
      </c>
      <c r="G45" t="s">
        <v>194</v>
      </c>
      <c r="H45" t="s">
        <v>40</v>
      </c>
      <c r="I45">
        <v>2</v>
      </c>
      <c r="J45">
        <v>2</v>
      </c>
      <c r="L45" s="44"/>
      <c r="M45" s="41"/>
      <c r="S45" s="44">
        <v>44</v>
      </c>
      <c r="T45" s="41">
        <f t="shared" si="1"/>
        <v>1.1125135577747755E-2</v>
      </c>
    </row>
    <row r="46" spans="1:20" x14ac:dyDescent="0.25">
      <c r="A46" t="str">
        <f t="shared" si="0"/>
        <v>Amazon Mini TvPlayground S4</v>
      </c>
      <c r="B46" t="s">
        <v>454</v>
      </c>
      <c r="C46" t="s">
        <v>433</v>
      </c>
      <c r="D46" t="s">
        <v>555</v>
      </c>
      <c r="E46" t="s">
        <v>219</v>
      </c>
      <c r="F46" t="s">
        <v>457</v>
      </c>
      <c r="G46" t="s">
        <v>216</v>
      </c>
      <c r="H46" t="s">
        <v>19</v>
      </c>
      <c r="I46">
        <v>1</v>
      </c>
      <c r="J46">
        <v>1</v>
      </c>
      <c r="L46" s="44"/>
      <c r="M46" s="41"/>
      <c r="S46" s="44">
        <v>45</v>
      </c>
      <c r="T46" s="41">
        <f t="shared" si="1"/>
        <v>1.001262201997298E-2</v>
      </c>
    </row>
    <row r="47" spans="1:20" x14ac:dyDescent="0.25">
      <c r="A47" t="str">
        <f t="shared" si="0"/>
        <v>Amazon Mini TvSisterhood</v>
      </c>
      <c r="B47" t="s">
        <v>454</v>
      </c>
      <c r="C47" t="s">
        <v>433</v>
      </c>
      <c r="D47" t="s">
        <v>556</v>
      </c>
      <c r="E47" t="s">
        <v>219</v>
      </c>
      <c r="F47" t="s">
        <v>457</v>
      </c>
      <c r="G47" t="s">
        <v>138</v>
      </c>
      <c r="H47" t="s">
        <v>19</v>
      </c>
      <c r="I47">
        <v>10</v>
      </c>
      <c r="J47">
        <v>10</v>
      </c>
      <c r="L47" s="44"/>
      <c r="M47" s="41"/>
      <c r="S47" s="44">
        <v>46</v>
      </c>
      <c r="T47" s="41">
        <f t="shared" si="1"/>
        <v>9.011359817975682E-3</v>
      </c>
    </row>
    <row r="48" spans="1:20" x14ac:dyDescent="0.25">
      <c r="A48" t="str">
        <f t="shared" si="0"/>
        <v>Amazon Mini TvSwitch On</v>
      </c>
      <c r="B48" t="s">
        <v>454</v>
      </c>
      <c r="C48" t="s">
        <v>433</v>
      </c>
      <c r="D48" t="s">
        <v>557</v>
      </c>
      <c r="E48" t="s">
        <v>219</v>
      </c>
      <c r="F48" t="s">
        <v>457</v>
      </c>
      <c r="G48" t="s">
        <v>194</v>
      </c>
      <c r="H48" t="s">
        <v>40</v>
      </c>
      <c r="I48">
        <v>6</v>
      </c>
      <c r="J48">
        <v>6</v>
      </c>
      <c r="L48" s="44"/>
      <c r="M48" s="41"/>
      <c r="S48" s="44">
        <v>47</v>
      </c>
      <c r="T48" s="41">
        <f t="shared" si="1"/>
        <v>8.1102238361781143E-3</v>
      </c>
    </row>
    <row r="49" spans="1:20" x14ac:dyDescent="0.25">
      <c r="A49" t="str">
        <f t="shared" si="0"/>
        <v>Amazon Mini TvYeh Meri Family</v>
      </c>
      <c r="B49" t="s">
        <v>454</v>
      </c>
      <c r="C49" t="s">
        <v>433</v>
      </c>
      <c r="D49" t="s">
        <v>558</v>
      </c>
      <c r="E49" t="s">
        <v>219</v>
      </c>
      <c r="F49" t="s">
        <v>457</v>
      </c>
      <c r="G49" t="s">
        <v>138</v>
      </c>
      <c r="H49" t="s">
        <v>19</v>
      </c>
      <c r="I49">
        <v>8</v>
      </c>
      <c r="J49">
        <v>8</v>
      </c>
      <c r="L49" s="44"/>
      <c r="M49" s="41"/>
      <c r="S49" s="44">
        <v>48</v>
      </c>
      <c r="T49" s="41">
        <f t="shared" si="1"/>
        <v>7.2992014525603034E-3</v>
      </c>
    </row>
    <row r="50" spans="1:20" x14ac:dyDescent="0.25">
      <c r="A50" t="str">
        <f t="shared" si="0"/>
        <v>Amazon Mini TvP2</v>
      </c>
      <c r="B50" t="s">
        <v>454</v>
      </c>
      <c r="C50" t="s">
        <v>434</v>
      </c>
      <c r="D50" t="s">
        <v>559</v>
      </c>
      <c r="E50" t="s">
        <v>219</v>
      </c>
      <c r="F50" t="s">
        <v>458</v>
      </c>
      <c r="G50" t="s">
        <v>167</v>
      </c>
      <c r="H50" t="s">
        <v>40</v>
      </c>
      <c r="I50">
        <v>9</v>
      </c>
      <c r="J50">
        <v>9</v>
      </c>
      <c r="L50" s="44"/>
      <c r="M50" s="41"/>
      <c r="S50" s="44">
        <v>49</v>
      </c>
      <c r="T50" s="41">
        <f t="shared" si="1"/>
        <v>6.5692813073042729E-3</v>
      </c>
    </row>
    <row r="51" spans="1:20" x14ac:dyDescent="0.25">
      <c r="A51" t="str">
        <f t="shared" si="0"/>
        <v>Amazon Prime VideoCall Me Bae</v>
      </c>
      <c r="B51" t="s">
        <v>64</v>
      </c>
      <c r="C51" t="s">
        <v>431</v>
      </c>
      <c r="D51" t="s">
        <v>560</v>
      </c>
      <c r="E51" t="s">
        <v>211</v>
      </c>
      <c r="F51" t="s">
        <v>457</v>
      </c>
      <c r="G51" t="s">
        <v>216</v>
      </c>
      <c r="H51" t="s">
        <v>246</v>
      </c>
      <c r="I51">
        <v>7</v>
      </c>
      <c r="J51">
        <v>7</v>
      </c>
      <c r="L51" s="44"/>
      <c r="M51" s="41"/>
      <c r="S51" s="44">
        <v>50</v>
      </c>
      <c r="T51" s="41">
        <f t="shared" si="1"/>
        <v>5.9123531765738454E-3</v>
      </c>
    </row>
    <row r="52" spans="1:20" x14ac:dyDescent="0.25">
      <c r="A52" t="str">
        <f t="shared" si="0"/>
        <v>Amazon Prime VideoCitadel</v>
      </c>
      <c r="B52" t="s">
        <v>64</v>
      </c>
      <c r="C52" t="s">
        <v>431</v>
      </c>
      <c r="D52" t="s">
        <v>561</v>
      </c>
      <c r="E52" t="s">
        <v>211</v>
      </c>
      <c r="F52" t="s">
        <v>457</v>
      </c>
      <c r="G52" t="s">
        <v>476</v>
      </c>
      <c r="H52" t="s">
        <v>459</v>
      </c>
      <c r="I52">
        <v>4</v>
      </c>
      <c r="J52">
        <v>4</v>
      </c>
      <c r="L52" s="44"/>
      <c r="M52" s="41"/>
      <c r="S52" s="44">
        <v>51</v>
      </c>
      <c r="T52" s="41">
        <f t="shared" si="1"/>
        <v>5.3211178589164607E-3</v>
      </c>
    </row>
    <row r="53" spans="1:20" x14ac:dyDescent="0.25">
      <c r="A53" t="str">
        <f t="shared" si="0"/>
        <v>Amazon Prime VideoCitadel: Honey Bunny</v>
      </c>
      <c r="B53" t="s">
        <v>64</v>
      </c>
      <c r="C53" t="s">
        <v>431</v>
      </c>
      <c r="D53" t="s">
        <v>386</v>
      </c>
      <c r="E53" t="s">
        <v>211</v>
      </c>
      <c r="F53" t="s">
        <v>457</v>
      </c>
      <c r="G53" t="s">
        <v>97</v>
      </c>
      <c r="H53" t="s">
        <v>453</v>
      </c>
      <c r="I53">
        <v>1</v>
      </c>
      <c r="J53">
        <v>1</v>
      </c>
      <c r="L53" s="44"/>
      <c r="M53" s="41"/>
      <c r="S53" s="44">
        <v>52</v>
      </c>
      <c r="T53" s="41">
        <f t="shared" si="1"/>
        <v>4.7890060730248147E-3</v>
      </c>
    </row>
    <row r="54" spans="1:20" x14ac:dyDescent="0.25">
      <c r="A54" t="str">
        <f t="shared" si="0"/>
        <v>Amazon Prime VideoCross</v>
      </c>
      <c r="B54" t="s">
        <v>64</v>
      </c>
      <c r="C54" t="s">
        <v>431</v>
      </c>
      <c r="D54" t="s">
        <v>411</v>
      </c>
      <c r="E54" t="s">
        <v>211</v>
      </c>
      <c r="F54" t="s">
        <v>457</v>
      </c>
      <c r="G54" t="s">
        <v>477</v>
      </c>
      <c r="H54" t="s">
        <v>281</v>
      </c>
      <c r="I54">
        <v>3.8</v>
      </c>
      <c r="J54">
        <v>4</v>
      </c>
      <c r="L54" s="44"/>
      <c r="M54" s="41"/>
      <c r="S54" s="44">
        <v>53</v>
      </c>
      <c r="T54" s="41">
        <f t="shared" si="1"/>
        <v>4.3101054657223329E-3</v>
      </c>
    </row>
    <row r="55" spans="1:20" x14ac:dyDescent="0.25">
      <c r="A55" t="str">
        <f t="shared" si="0"/>
        <v>Amazon Prime VideoFarzi</v>
      </c>
      <c r="B55" t="s">
        <v>64</v>
      </c>
      <c r="C55" t="s">
        <v>431</v>
      </c>
      <c r="D55" t="s">
        <v>562</v>
      </c>
      <c r="E55" t="s">
        <v>211</v>
      </c>
      <c r="F55" t="s">
        <v>457</v>
      </c>
      <c r="G55" t="s">
        <v>202</v>
      </c>
      <c r="H55" t="s">
        <v>19</v>
      </c>
      <c r="I55">
        <v>9.5</v>
      </c>
      <c r="J55">
        <v>10</v>
      </c>
      <c r="L55" s="44"/>
      <c r="M55" s="41"/>
      <c r="S55" s="44">
        <v>54</v>
      </c>
      <c r="T55" s="41">
        <f t="shared" si="1"/>
        <v>3.8790949191500998E-3</v>
      </c>
    </row>
    <row r="56" spans="1:20" x14ac:dyDescent="0.25">
      <c r="A56" t="str">
        <f t="shared" si="0"/>
        <v>Amazon Prime VideoFrom</v>
      </c>
      <c r="B56" t="s">
        <v>64</v>
      </c>
      <c r="C56" t="s">
        <v>431</v>
      </c>
      <c r="D56" t="s">
        <v>365</v>
      </c>
      <c r="E56" t="s">
        <v>211</v>
      </c>
      <c r="F56" t="s">
        <v>457</v>
      </c>
      <c r="G56" t="s">
        <v>190</v>
      </c>
      <c r="H56" t="s">
        <v>20</v>
      </c>
      <c r="I56">
        <v>8</v>
      </c>
      <c r="J56">
        <v>8</v>
      </c>
      <c r="L56" s="44"/>
      <c r="M56" s="41"/>
      <c r="S56" s="44">
        <v>55</v>
      </c>
      <c r="T56" s="41">
        <f t="shared" si="1"/>
        <v>3.4911854272350897E-3</v>
      </c>
    </row>
    <row r="57" spans="1:20" x14ac:dyDescent="0.25">
      <c r="A57" t="str">
        <f t="shared" si="0"/>
        <v>Amazon Prime VideoMirzapur S3</v>
      </c>
      <c r="B57" t="s">
        <v>64</v>
      </c>
      <c r="C57" t="s">
        <v>431</v>
      </c>
      <c r="D57" t="s">
        <v>563</v>
      </c>
      <c r="E57" t="s">
        <v>211</v>
      </c>
      <c r="F57" t="s">
        <v>457</v>
      </c>
      <c r="G57" t="s">
        <v>478</v>
      </c>
      <c r="H57" t="s">
        <v>246</v>
      </c>
      <c r="I57">
        <v>6</v>
      </c>
      <c r="J57">
        <v>6</v>
      </c>
      <c r="L57" s="44"/>
      <c r="M57" s="41"/>
      <c r="S57" s="44">
        <v>57</v>
      </c>
      <c r="T57" s="41">
        <f t="shared" si="1"/>
        <v>3.1420668845115809E-3</v>
      </c>
    </row>
    <row r="58" spans="1:20" x14ac:dyDescent="0.25">
      <c r="A58" t="str">
        <f t="shared" si="0"/>
        <v>Amazon Prime VideoPanchayat S3</v>
      </c>
      <c r="B58" t="s">
        <v>64</v>
      </c>
      <c r="C58" t="s">
        <v>431</v>
      </c>
      <c r="D58" t="s">
        <v>564</v>
      </c>
      <c r="E58" t="s">
        <v>211</v>
      </c>
      <c r="F58" t="s">
        <v>457</v>
      </c>
      <c r="G58" t="s">
        <v>138</v>
      </c>
      <c r="H58" t="s">
        <v>19</v>
      </c>
      <c r="I58">
        <v>5</v>
      </c>
      <c r="J58">
        <v>5</v>
      </c>
      <c r="L58" s="44"/>
      <c r="M58" s="41"/>
      <c r="S58" s="44">
        <v>58</v>
      </c>
      <c r="T58" s="41">
        <f t="shared" si="1"/>
        <v>2.8278601960604229E-3</v>
      </c>
    </row>
    <row r="59" spans="1:20" x14ac:dyDescent="0.25">
      <c r="A59" t="str">
        <f t="shared" si="0"/>
        <v>Amazon Prime VideoSnakes &amp; Ladders</v>
      </c>
      <c r="B59" t="s">
        <v>64</v>
      </c>
      <c r="C59" t="s">
        <v>431</v>
      </c>
      <c r="D59" t="s">
        <v>565</v>
      </c>
      <c r="E59" t="s">
        <v>211</v>
      </c>
      <c r="F59" t="s">
        <v>457</v>
      </c>
      <c r="G59" t="s">
        <v>216</v>
      </c>
      <c r="H59" t="s">
        <v>22</v>
      </c>
      <c r="I59">
        <v>9.5</v>
      </c>
      <c r="J59">
        <v>10</v>
      </c>
      <c r="L59" s="44"/>
      <c r="M59" s="41"/>
      <c r="S59" s="44">
        <v>59</v>
      </c>
      <c r="T59" s="41">
        <f t="shared" si="1"/>
        <v>2.5450741764543807E-3</v>
      </c>
    </row>
    <row r="60" spans="1:20" x14ac:dyDescent="0.25">
      <c r="A60" t="str">
        <f t="shared" si="0"/>
        <v>Amazon Prime VideoThe Pradeeps of Pittsburgh</v>
      </c>
      <c r="B60" t="s">
        <v>64</v>
      </c>
      <c r="C60" t="s">
        <v>431</v>
      </c>
      <c r="D60" t="s">
        <v>566</v>
      </c>
      <c r="E60" t="s">
        <v>211</v>
      </c>
      <c r="F60" t="s">
        <v>457</v>
      </c>
      <c r="G60" t="s">
        <v>138</v>
      </c>
      <c r="H60" t="s">
        <v>20</v>
      </c>
      <c r="I60">
        <v>3</v>
      </c>
      <c r="J60">
        <v>3</v>
      </c>
      <c r="L60" s="44"/>
      <c r="M60" s="41"/>
      <c r="S60" s="44">
        <v>60</v>
      </c>
      <c r="T60" s="41">
        <f t="shared" si="1"/>
        <v>2.2905667588089427E-3</v>
      </c>
    </row>
    <row r="61" spans="1:20" x14ac:dyDescent="0.25">
      <c r="A61" t="str">
        <f t="shared" si="0"/>
        <v>Amazon Prime VideoA Quiet Place: Day One</v>
      </c>
      <c r="B61" t="s">
        <v>64</v>
      </c>
      <c r="C61" t="s">
        <v>434</v>
      </c>
      <c r="D61" t="s">
        <v>442</v>
      </c>
      <c r="E61" t="s">
        <v>211</v>
      </c>
      <c r="F61" t="s">
        <v>458</v>
      </c>
      <c r="G61" t="s">
        <v>450</v>
      </c>
      <c r="H61" t="s">
        <v>21</v>
      </c>
      <c r="I61">
        <v>4</v>
      </c>
      <c r="J61">
        <v>4</v>
      </c>
      <c r="L61" s="44"/>
      <c r="M61" s="41"/>
      <c r="S61" s="44">
        <v>61</v>
      </c>
      <c r="T61" s="41">
        <f t="shared" si="1"/>
        <v>2.0615100829280484E-3</v>
      </c>
    </row>
    <row r="62" spans="1:20" x14ac:dyDescent="0.25">
      <c r="A62" t="str">
        <f t="shared" si="0"/>
        <v>Amazon Prime VideoAthomugam</v>
      </c>
      <c r="B62" t="s">
        <v>64</v>
      </c>
      <c r="C62" t="s">
        <v>434</v>
      </c>
      <c r="D62" t="s">
        <v>567</v>
      </c>
      <c r="E62" t="s">
        <v>233</v>
      </c>
      <c r="F62" t="s">
        <v>458</v>
      </c>
      <c r="G62" t="s">
        <v>217</v>
      </c>
      <c r="H62" t="s">
        <v>22</v>
      </c>
      <c r="I62">
        <v>10</v>
      </c>
      <c r="J62">
        <v>10</v>
      </c>
      <c r="L62" s="44"/>
      <c r="M62" s="41"/>
      <c r="S62" s="44">
        <v>62</v>
      </c>
      <c r="T62" s="41">
        <f t="shared" si="1"/>
        <v>1.8553590746352437E-3</v>
      </c>
    </row>
    <row r="63" spans="1:20" x14ac:dyDescent="0.25">
      <c r="A63" t="str">
        <f t="shared" si="0"/>
        <v>Amazon Prime VideoBlack</v>
      </c>
      <c r="B63" t="s">
        <v>64</v>
      </c>
      <c r="C63" t="s">
        <v>434</v>
      </c>
      <c r="D63" t="s">
        <v>351</v>
      </c>
      <c r="E63" t="s">
        <v>211</v>
      </c>
      <c r="F63" t="s">
        <v>458</v>
      </c>
      <c r="G63" t="s">
        <v>168</v>
      </c>
      <c r="H63" t="s">
        <v>22</v>
      </c>
      <c r="I63">
        <v>7.25</v>
      </c>
      <c r="J63">
        <v>7</v>
      </c>
      <c r="L63" s="44"/>
      <c r="M63" s="41"/>
      <c r="S63" s="44">
        <v>63</v>
      </c>
      <c r="T63" s="41">
        <f t="shared" si="1"/>
        <v>1.6698231671717194E-3</v>
      </c>
    </row>
    <row r="64" spans="1:20" x14ac:dyDescent="0.25">
      <c r="A64" t="str">
        <f t="shared" si="0"/>
        <v>Amazon Prime VideoBlink Twice</v>
      </c>
      <c r="B64" t="s">
        <v>64</v>
      </c>
      <c r="C64" t="s">
        <v>434</v>
      </c>
      <c r="D64" t="s">
        <v>568</v>
      </c>
      <c r="E64" t="s">
        <v>233</v>
      </c>
      <c r="F64" t="s">
        <v>458</v>
      </c>
      <c r="G64" t="s">
        <v>324</v>
      </c>
      <c r="H64" t="s">
        <v>28</v>
      </c>
      <c r="I64">
        <v>9</v>
      </c>
      <c r="J64">
        <v>9</v>
      </c>
      <c r="L64" s="44"/>
      <c r="M64" s="41"/>
      <c r="S64" s="44">
        <v>64</v>
      </c>
      <c r="T64" s="41">
        <f t="shared" si="1"/>
        <v>1.5028408504545474E-3</v>
      </c>
    </row>
    <row r="65" spans="1:20" x14ac:dyDescent="0.25">
      <c r="A65" t="str">
        <f t="shared" si="0"/>
        <v>Amazon Prime VideoDangal</v>
      </c>
      <c r="B65" t="s">
        <v>64</v>
      </c>
      <c r="C65" t="s">
        <v>434</v>
      </c>
      <c r="D65" t="s">
        <v>569</v>
      </c>
      <c r="E65" t="s">
        <v>233</v>
      </c>
      <c r="F65" t="s">
        <v>458</v>
      </c>
      <c r="G65" t="s">
        <v>479</v>
      </c>
      <c r="H65" t="s">
        <v>19</v>
      </c>
      <c r="I65">
        <v>6</v>
      </c>
      <c r="J65">
        <v>6</v>
      </c>
      <c r="L65" s="44"/>
      <c r="M65" s="41"/>
      <c r="S65" s="44">
        <v>66</v>
      </c>
      <c r="T65" s="41">
        <f t="shared" si="1"/>
        <v>1.3525567654090926E-3</v>
      </c>
    </row>
    <row r="66" spans="1:20" x14ac:dyDescent="0.25">
      <c r="A66" t="str">
        <f t="shared" ref="A66:A129" si="2">B66&amp;D66</f>
        <v>Amazon Prime VideoDespicable Me4</v>
      </c>
      <c r="B66" t="s">
        <v>64</v>
      </c>
      <c r="C66" t="s">
        <v>434</v>
      </c>
      <c r="D66" t="s">
        <v>570</v>
      </c>
      <c r="E66" t="s">
        <v>233</v>
      </c>
      <c r="F66" t="s">
        <v>458</v>
      </c>
      <c r="G66" t="s">
        <v>398</v>
      </c>
      <c r="H66" t="s">
        <v>21</v>
      </c>
      <c r="I66">
        <v>5</v>
      </c>
      <c r="J66">
        <v>5</v>
      </c>
      <c r="L66" s="44"/>
      <c r="M66" s="41"/>
      <c r="S66" s="44">
        <v>67</v>
      </c>
      <c r="T66" s="41">
        <f t="shared" si="1"/>
        <v>1.2173010888681835E-3</v>
      </c>
    </row>
    <row r="67" spans="1:20" x14ac:dyDescent="0.25">
      <c r="A67" t="str">
        <f t="shared" si="2"/>
        <v>Amazon Prime VideoGolam</v>
      </c>
      <c r="B67" t="s">
        <v>64</v>
      </c>
      <c r="C67" t="s">
        <v>434</v>
      </c>
      <c r="D67" t="s">
        <v>364</v>
      </c>
      <c r="E67" t="s">
        <v>211</v>
      </c>
      <c r="F67" t="s">
        <v>458</v>
      </c>
      <c r="G67" t="s">
        <v>178</v>
      </c>
      <c r="H67" t="s">
        <v>26</v>
      </c>
      <c r="I67">
        <v>8</v>
      </c>
      <c r="J67">
        <v>8</v>
      </c>
      <c r="L67" s="44"/>
      <c r="M67" s="41"/>
      <c r="S67" s="44">
        <v>68</v>
      </c>
      <c r="T67" s="41">
        <f t="shared" si="1"/>
        <v>1.0955709799813651E-3</v>
      </c>
    </row>
    <row r="68" spans="1:20" x14ac:dyDescent="0.25">
      <c r="A68" t="str">
        <f t="shared" si="2"/>
        <v>Amazon Prime VideoGumasthan</v>
      </c>
      <c r="B68" t="s">
        <v>64</v>
      </c>
      <c r="C68" t="s">
        <v>434</v>
      </c>
      <c r="D68" t="s">
        <v>393</v>
      </c>
      <c r="E68" t="s">
        <v>211</v>
      </c>
      <c r="F68" t="s">
        <v>458</v>
      </c>
      <c r="G68" t="s">
        <v>176</v>
      </c>
      <c r="H68" t="s">
        <v>26</v>
      </c>
      <c r="I68">
        <v>10</v>
      </c>
      <c r="J68">
        <v>10</v>
      </c>
      <c r="L68" s="44"/>
      <c r="M68" s="41"/>
      <c r="S68" s="44">
        <v>69</v>
      </c>
      <c r="T68" s="41">
        <f t="shared" si="1"/>
        <v>9.8601388198322863E-4</v>
      </c>
    </row>
    <row r="69" spans="1:20" x14ac:dyDescent="0.25">
      <c r="A69" t="str">
        <f t="shared" si="2"/>
        <v>Amazon Prime VideoHarry Potter and the Philosopher's Stone</v>
      </c>
      <c r="B69" t="s">
        <v>64</v>
      </c>
      <c r="C69" t="s">
        <v>434</v>
      </c>
      <c r="D69" t="s">
        <v>571</v>
      </c>
      <c r="E69" t="s">
        <v>233</v>
      </c>
      <c r="F69" t="s">
        <v>458</v>
      </c>
      <c r="G69" t="s">
        <v>480</v>
      </c>
      <c r="H69" t="s">
        <v>21</v>
      </c>
      <c r="I69">
        <v>4</v>
      </c>
      <c r="J69">
        <v>4</v>
      </c>
      <c r="L69" s="44"/>
      <c r="M69" s="41"/>
      <c r="S69" s="44">
        <v>71</v>
      </c>
      <c r="T69" s="41">
        <f t="shared" si="1"/>
        <v>8.8741249378490583E-4</v>
      </c>
    </row>
    <row r="70" spans="1:20" x14ac:dyDescent="0.25">
      <c r="A70" t="str">
        <f t="shared" si="2"/>
        <v>Amazon Prime VideoHitler</v>
      </c>
      <c r="B70" t="s">
        <v>64</v>
      </c>
      <c r="C70" t="s">
        <v>434</v>
      </c>
      <c r="D70" t="s">
        <v>349</v>
      </c>
      <c r="E70" t="s">
        <v>211</v>
      </c>
      <c r="F70" t="s">
        <v>458</v>
      </c>
      <c r="G70" t="s">
        <v>46</v>
      </c>
      <c r="H70" t="s">
        <v>27</v>
      </c>
      <c r="I70">
        <v>8.1999999999999993</v>
      </c>
      <c r="J70">
        <v>8</v>
      </c>
      <c r="L70" s="44"/>
      <c r="M70" s="41"/>
      <c r="S70" s="44">
        <v>73</v>
      </c>
      <c r="T70" s="41">
        <f t="shared" si="1"/>
        <v>7.9867124440641528E-4</v>
      </c>
    </row>
    <row r="71" spans="1:20" x14ac:dyDescent="0.25">
      <c r="A71" t="str">
        <f t="shared" si="2"/>
        <v>Amazon Prime VideoJoker: Folie à Deux</v>
      </c>
      <c r="B71" t="s">
        <v>64</v>
      </c>
      <c r="C71" t="s">
        <v>434</v>
      </c>
      <c r="D71" t="s">
        <v>415</v>
      </c>
      <c r="E71" t="s">
        <v>233</v>
      </c>
      <c r="F71" t="s">
        <v>458</v>
      </c>
      <c r="G71" t="s">
        <v>202</v>
      </c>
      <c r="H71" t="s">
        <v>20</v>
      </c>
      <c r="I71">
        <v>2</v>
      </c>
      <c r="J71">
        <v>2</v>
      </c>
      <c r="L71" s="44"/>
      <c r="M71" s="41"/>
      <c r="S71" s="44">
        <v>77</v>
      </c>
      <c r="T71" s="41">
        <f t="shared" si="1"/>
        <v>7.1880411996577372E-4</v>
      </c>
    </row>
    <row r="72" spans="1:20" x14ac:dyDescent="0.25">
      <c r="A72" t="str">
        <f t="shared" si="2"/>
        <v>Amazon Prime VideoJustice League</v>
      </c>
      <c r="B72" t="s">
        <v>64</v>
      </c>
      <c r="C72" t="s">
        <v>434</v>
      </c>
      <c r="D72" t="s">
        <v>572</v>
      </c>
      <c r="E72" t="s">
        <v>233</v>
      </c>
      <c r="F72" t="s">
        <v>458</v>
      </c>
      <c r="G72" t="s">
        <v>66</v>
      </c>
      <c r="H72" t="s">
        <v>28</v>
      </c>
      <c r="I72">
        <v>8</v>
      </c>
      <c r="J72">
        <v>8</v>
      </c>
      <c r="L72" s="44"/>
      <c r="M72" s="41"/>
      <c r="S72" s="44">
        <v>78</v>
      </c>
      <c r="T72" s="41">
        <f t="shared" si="1"/>
        <v>6.4692370796919638E-4</v>
      </c>
    </row>
    <row r="73" spans="1:20" x14ac:dyDescent="0.25">
      <c r="A73" t="str">
        <f t="shared" si="2"/>
        <v>Amazon Prime VideoKurukk</v>
      </c>
      <c r="B73" t="s">
        <v>64</v>
      </c>
      <c r="C73" t="s">
        <v>434</v>
      </c>
      <c r="D73" t="s">
        <v>416</v>
      </c>
      <c r="E73" t="s">
        <v>233</v>
      </c>
      <c r="F73" t="s">
        <v>458</v>
      </c>
      <c r="G73" t="s">
        <v>422</v>
      </c>
      <c r="H73" t="s">
        <v>26</v>
      </c>
      <c r="I73">
        <v>1</v>
      </c>
      <c r="J73">
        <v>1</v>
      </c>
      <c r="L73" s="44"/>
      <c r="M73" s="41"/>
      <c r="S73" s="44">
        <v>79</v>
      </c>
      <c r="T73" s="41">
        <f t="shared" si="1"/>
        <v>5.8223133717227676E-4</v>
      </c>
    </row>
    <row r="74" spans="1:20" x14ac:dyDescent="0.25">
      <c r="A74" t="str">
        <f t="shared" si="2"/>
        <v>Amazon Prime VideoMaa Nanna Super Hero</v>
      </c>
      <c r="B74" t="s">
        <v>64</v>
      </c>
      <c r="C74" t="s">
        <v>434</v>
      </c>
      <c r="D74" t="s">
        <v>410</v>
      </c>
      <c r="E74" t="s">
        <v>211</v>
      </c>
      <c r="F74" t="s">
        <v>458</v>
      </c>
      <c r="G74" t="s">
        <v>216</v>
      </c>
      <c r="H74" t="s">
        <v>23</v>
      </c>
      <c r="I74">
        <v>6</v>
      </c>
      <c r="J74">
        <v>6</v>
      </c>
      <c r="L74" s="44"/>
      <c r="M74" s="41"/>
      <c r="S74" s="44">
        <v>80</v>
      </c>
      <c r="T74" s="41">
        <f t="shared" si="1"/>
        <v>5.240082034550491E-4</v>
      </c>
    </row>
    <row r="75" spans="1:20" x14ac:dyDescent="0.25">
      <c r="A75" t="str">
        <f t="shared" si="2"/>
        <v>Amazon Prime VideoMartin</v>
      </c>
      <c r="B75" t="s">
        <v>64</v>
      </c>
      <c r="C75" t="s">
        <v>434</v>
      </c>
      <c r="D75" t="s">
        <v>441</v>
      </c>
      <c r="E75" t="s">
        <v>211</v>
      </c>
      <c r="F75" t="s">
        <v>458</v>
      </c>
      <c r="G75" t="s">
        <v>97</v>
      </c>
      <c r="H75" t="s">
        <v>27</v>
      </c>
      <c r="I75">
        <v>4.666666666666667</v>
      </c>
      <c r="J75">
        <v>5</v>
      </c>
      <c r="L75" s="44"/>
      <c r="M75" s="41"/>
      <c r="S75" s="44">
        <v>81</v>
      </c>
      <c r="T75" s="41">
        <f t="shared" si="1"/>
        <v>4.7160738310954422E-4</v>
      </c>
    </row>
    <row r="76" spans="1:20" x14ac:dyDescent="0.25">
      <c r="A76" t="str">
        <f t="shared" si="2"/>
        <v>Amazon Prime VideoNavra Maza Navsacha 2</v>
      </c>
      <c r="B76" t="s">
        <v>64</v>
      </c>
      <c r="C76" t="s">
        <v>434</v>
      </c>
      <c r="D76" t="s">
        <v>425</v>
      </c>
      <c r="E76" t="s">
        <v>211</v>
      </c>
      <c r="F76" t="s">
        <v>458</v>
      </c>
      <c r="G76" t="s">
        <v>138</v>
      </c>
      <c r="H76" t="s">
        <v>29</v>
      </c>
      <c r="I76">
        <v>7.75</v>
      </c>
      <c r="J76">
        <v>8</v>
      </c>
      <c r="L76" s="44"/>
      <c r="M76" s="41"/>
      <c r="S76" s="44">
        <v>83</v>
      </c>
      <c r="T76" s="41">
        <f t="shared" si="1"/>
        <v>4.2444664479858983E-4</v>
      </c>
    </row>
    <row r="77" spans="1:20" x14ac:dyDescent="0.25">
      <c r="A77" t="str">
        <f t="shared" si="2"/>
        <v>Amazon Prime VideoSattam En Kaiyil For Justice</v>
      </c>
      <c r="B77" t="s">
        <v>64</v>
      </c>
      <c r="C77" t="s">
        <v>434</v>
      </c>
      <c r="D77" t="s">
        <v>573</v>
      </c>
      <c r="E77" t="s">
        <v>211</v>
      </c>
      <c r="F77" t="s">
        <v>458</v>
      </c>
      <c r="G77" t="s">
        <v>168</v>
      </c>
      <c r="H77" t="s">
        <v>22</v>
      </c>
      <c r="I77">
        <v>10</v>
      </c>
      <c r="J77">
        <v>10</v>
      </c>
      <c r="L77" s="44"/>
      <c r="M77" s="41"/>
      <c r="S77" s="44">
        <v>84</v>
      </c>
      <c r="T77" s="41">
        <f t="shared" ref="T77:T92" si="3">T76*90%</f>
        <v>3.8200198031873085E-4</v>
      </c>
    </row>
    <row r="78" spans="1:20" x14ac:dyDescent="0.25">
      <c r="A78" t="str">
        <f t="shared" si="2"/>
        <v>Amazon Prime VideoStree 2</v>
      </c>
      <c r="B78" t="s">
        <v>64</v>
      </c>
      <c r="C78" t="s">
        <v>434</v>
      </c>
      <c r="D78" t="s">
        <v>221</v>
      </c>
      <c r="E78" t="s">
        <v>211</v>
      </c>
      <c r="F78" t="s">
        <v>458</v>
      </c>
      <c r="G78" t="s">
        <v>149</v>
      </c>
      <c r="H78" t="s">
        <v>19</v>
      </c>
      <c r="I78">
        <v>5</v>
      </c>
      <c r="J78">
        <v>5</v>
      </c>
      <c r="L78" s="44"/>
      <c r="M78" s="41"/>
      <c r="S78" s="44">
        <v>85</v>
      </c>
      <c r="T78" s="41">
        <f t="shared" si="3"/>
        <v>3.4380178228685777E-4</v>
      </c>
    </row>
    <row r="79" spans="1:20" x14ac:dyDescent="0.25">
      <c r="A79" t="str">
        <f t="shared" si="2"/>
        <v>Amazon Prime VideoTransformers One</v>
      </c>
      <c r="B79" t="s">
        <v>64</v>
      </c>
      <c r="C79" t="s">
        <v>434</v>
      </c>
      <c r="D79" t="s">
        <v>574</v>
      </c>
      <c r="E79" t="s">
        <v>233</v>
      </c>
      <c r="F79" t="s">
        <v>458</v>
      </c>
      <c r="G79" t="s">
        <v>243</v>
      </c>
      <c r="H79" t="s">
        <v>21</v>
      </c>
      <c r="I79">
        <v>3</v>
      </c>
      <c r="J79">
        <v>3</v>
      </c>
      <c r="L79" s="44"/>
      <c r="M79" s="41"/>
      <c r="S79" s="44">
        <v>86</v>
      </c>
      <c r="T79" s="41">
        <f t="shared" si="3"/>
        <v>3.0942160405817202E-4</v>
      </c>
    </row>
    <row r="80" spans="1:20" x14ac:dyDescent="0.25">
      <c r="A80" t="str">
        <f t="shared" si="2"/>
        <v>Amazon Prime VideoTwisters</v>
      </c>
      <c r="B80" t="s">
        <v>64</v>
      </c>
      <c r="C80" t="s">
        <v>434</v>
      </c>
      <c r="D80" t="s">
        <v>575</v>
      </c>
      <c r="E80" t="s">
        <v>233</v>
      </c>
      <c r="F80" t="s">
        <v>458</v>
      </c>
      <c r="G80" t="s">
        <v>293</v>
      </c>
      <c r="H80" t="s">
        <v>21</v>
      </c>
      <c r="I80">
        <v>7</v>
      </c>
      <c r="J80">
        <v>7</v>
      </c>
      <c r="L80" s="44"/>
      <c r="M80" s="41"/>
      <c r="S80" s="44">
        <v>87</v>
      </c>
      <c r="T80" s="41">
        <f t="shared" si="3"/>
        <v>2.784794436523548E-4</v>
      </c>
    </row>
    <row r="81" spans="1:20" x14ac:dyDescent="0.25">
      <c r="A81" t="str">
        <f t="shared" si="2"/>
        <v>Amazon Prime VideoVettaiyan</v>
      </c>
      <c r="B81" t="s">
        <v>64</v>
      </c>
      <c r="C81" t="s">
        <v>434</v>
      </c>
      <c r="D81" t="s">
        <v>387</v>
      </c>
      <c r="E81" t="s">
        <v>211</v>
      </c>
      <c r="F81" t="s">
        <v>458</v>
      </c>
      <c r="G81" t="s">
        <v>87</v>
      </c>
      <c r="H81" t="s">
        <v>453</v>
      </c>
      <c r="I81">
        <v>1.6</v>
      </c>
      <c r="J81">
        <v>2</v>
      </c>
      <c r="L81" s="44"/>
      <c r="M81" s="41"/>
      <c r="S81" s="44">
        <v>89</v>
      </c>
      <c r="T81" s="41">
        <f t="shared" si="3"/>
        <v>2.5063149928711932E-4</v>
      </c>
    </row>
    <row r="82" spans="1:20" x14ac:dyDescent="0.25">
      <c r="A82" t="str">
        <f t="shared" si="2"/>
        <v>Amazon Prime VideoViswam</v>
      </c>
      <c r="B82" t="s">
        <v>64</v>
      </c>
      <c r="C82" t="s">
        <v>434</v>
      </c>
      <c r="D82" t="s">
        <v>353</v>
      </c>
      <c r="E82" t="s">
        <v>211</v>
      </c>
      <c r="F82" t="s">
        <v>458</v>
      </c>
      <c r="G82" t="s">
        <v>46</v>
      </c>
      <c r="H82" t="s">
        <v>23</v>
      </c>
      <c r="I82">
        <v>9</v>
      </c>
      <c r="J82">
        <v>9</v>
      </c>
      <c r="L82" s="44"/>
      <c r="M82" s="41"/>
      <c r="S82" s="44">
        <v>90</v>
      </c>
      <c r="T82" s="41">
        <f t="shared" si="3"/>
        <v>2.255683493584074E-4</v>
      </c>
    </row>
    <row r="83" spans="1:20" x14ac:dyDescent="0.25">
      <c r="A83" t="str">
        <f t="shared" si="2"/>
        <v>Amazon Prime VideoYudhra</v>
      </c>
      <c r="B83" t="s">
        <v>64</v>
      </c>
      <c r="C83" t="s">
        <v>434</v>
      </c>
      <c r="D83" t="s">
        <v>418</v>
      </c>
      <c r="E83" t="s">
        <v>211</v>
      </c>
      <c r="F83" t="s">
        <v>458</v>
      </c>
      <c r="G83" t="s">
        <v>97</v>
      </c>
      <c r="H83" t="s">
        <v>19</v>
      </c>
      <c r="I83">
        <v>2.6</v>
      </c>
      <c r="J83">
        <v>3</v>
      </c>
      <c r="L83" s="44"/>
      <c r="M83" s="41"/>
      <c r="S83" s="44">
        <v>91</v>
      </c>
      <c r="T83" s="41">
        <f t="shared" si="3"/>
        <v>2.0301151442256668E-4</v>
      </c>
    </row>
    <row r="84" spans="1:20" x14ac:dyDescent="0.25">
      <c r="A84" t="str">
        <f t="shared" si="2"/>
        <v>Apple TvArgylle</v>
      </c>
      <c r="B84" t="s">
        <v>406</v>
      </c>
      <c r="C84" t="s">
        <v>432</v>
      </c>
      <c r="D84" t="s">
        <v>576</v>
      </c>
      <c r="E84" t="s">
        <v>211</v>
      </c>
      <c r="F84" t="s">
        <v>458</v>
      </c>
      <c r="G84" t="s">
        <v>80</v>
      </c>
      <c r="H84" t="s">
        <v>20</v>
      </c>
      <c r="I84">
        <v>7</v>
      </c>
      <c r="J84">
        <v>7</v>
      </c>
      <c r="L84" s="44"/>
      <c r="M84" s="41"/>
      <c r="S84" s="44">
        <v>92</v>
      </c>
      <c r="T84" s="41">
        <f t="shared" si="3"/>
        <v>1.8271036298031002E-4</v>
      </c>
    </row>
    <row r="85" spans="1:20" x14ac:dyDescent="0.25">
      <c r="A85" t="str">
        <f t="shared" si="2"/>
        <v>Apple TvGhosted</v>
      </c>
      <c r="B85" t="s">
        <v>406</v>
      </c>
      <c r="C85" t="s">
        <v>432</v>
      </c>
      <c r="D85" t="s">
        <v>577</v>
      </c>
      <c r="E85" t="s">
        <v>211</v>
      </c>
      <c r="F85" t="s">
        <v>458</v>
      </c>
      <c r="G85" t="s">
        <v>52</v>
      </c>
      <c r="H85" t="s">
        <v>20</v>
      </c>
      <c r="I85">
        <v>2</v>
      </c>
      <c r="J85">
        <v>2</v>
      </c>
      <c r="L85" s="44"/>
      <c r="M85" s="41"/>
      <c r="S85" s="44">
        <v>93</v>
      </c>
      <c r="T85" s="41">
        <f t="shared" si="3"/>
        <v>1.6443932668227902E-4</v>
      </c>
    </row>
    <row r="86" spans="1:20" x14ac:dyDescent="0.25">
      <c r="A86" t="str">
        <f t="shared" si="2"/>
        <v>Apple TvGreyhound</v>
      </c>
      <c r="B86" t="s">
        <v>406</v>
      </c>
      <c r="C86" t="s">
        <v>432</v>
      </c>
      <c r="D86" t="s">
        <v>578</v>
      </c>
      <c r="E86" t="s">
        <v>211</v>
      </c>
      <c r="F86" t="s">
        <v>458</v>
      </c>
      <c r="G86" t="s">
        <v>92</v>
      </c>
      <c r="H86" t="s">
        <v>20</v>
      </c>
      <c r="I86">
        <v>6</v>
      </c>
      <c r="J86">
        <v>6</v>
      </c>
      <c r="L86" s="44"/>
      <c r="M86" s="41"/>
      <c r="S86" s="44">
        <v>94</v>
      </c>
      <c r="T86" s="41">
        <f t="shared" si="3"/>
        <v>1.4799539401405112E-4</v>
      </c>
    </row>
    <row r="87" spans="1:20" x14ac:dyDescent="0.25">
      <c r="A87" t="str">
        <f t="shared" si="2"/>
        <v>Apple TvNapoleon</v>
      </c>
      <c r="B87" t="s">
        <v>406</v>
      </c>
      <c r="C87" t="s">
        <v>432</v>
      </c>
      <c r="D87" t="s">
        <v>579</v>
      </c>
      <c r="E87" t="s">
        <v>211</v>
      </c>
      <c r="F87" t="s">
        <v>458</v>
      </c>
      <c r="G87" t="s">
        <v>62</v>
      </c>
      <c r="H87" t="s">
        <v>20</v>
      </c>
      <c r="I87">
        <v>10</v>
      </c>
      <c r="J87">
        <v>10</v>
      </c>
      <c r="L87" s="44"/>
      <c r="M87" s="41"/>
      <c r="S87" s="44">
        <v>95</v>
      </c>
      <c r="T87" s="41">
        <f t="shared" si="3"/>
        <v>1.3319585461264602E-4</v>
      </c>
    </row>
    <row r="88" spans="1:20" x14ac:dyDescent="0.25">
      <c r="A88" t="str">
        <f t="shared" si="2"/>
        <v>Apple TvNapoleon The Director's Cut</v>
      </c>
      <c r="B88" t="s">
        <v>406</v>
      </c>
      <c r="C88" t="s">
        <v>432</v>
      </c>
      <c r="D88" t="s">
        <v>580</v>
      </c>
      <c r="E88" t="s">
        <v>211</v>
      </c>
      <c r="F88" t="s">
        <v>458</v>
      </c>
      <c r="G88" t="s">
        <v>62</v>
      </c>
      <c r="H88" t="s">
        <v>20</v>
      </c>
      <c r="I88">
        <v>9</v>
      </c>
      <c r="J88">
        <v>9</v>
      </c>
      <c r="L88" s="44"/>
      <c r="M88" s="41"/>
      <c r="S88" s="44">
        <v>96</v>
      </c>
      <c r="T88" s="41">
        <f t="shared" si="3"/>
        <v>1.1987626915138141E-4</v>
      </c>
    </row>
    <row r="89" spans="1:20" x14ac:dyDescent="0.25">
      <c r="A89" t="str">
        <f t="shared" si="2"/>
        <v>Apple TvThe Family Plan</v>
      </c>
      <c r="B89" t="s">
        <v>406</v>
      </c>
      <c r="C89" t="s">
        <v>432</v>
      </c>
      <c r="D89" t="s">
        <v>581</v>
      </c>
      <c r="E89" t="s">
        <v>211</v>
      </c>
      <c r="F89" t="s">
        <v>458</v>
      </c>
      <c r="G89" t="s">
        <v>262</v>
      </c>
      <c r="H89" t="s">
        <v>20</v>
      </c>
      <c r="I89">
        <v>5</v>
      </c>
      <c r="J89">
        <v>5</v>
      </c>
      <c r="L89" s="44"/>
      <c r="M89" s="41"/>
      <c r="S89" s="44">
        <v>97</v>
      </c>
      <c r="T89" s="41">
        <f t="shared" si="3"/>
        <v>1.0788864223624328E-4</v>
      </c>
    </row>
    <row r="90" spans="1:20" x14ac:dyDescent="0.25">
      <c r="A90" t="str">
        <f t="shared" si="2"/>
        <v>Apple TvThe Instigators</v>
      </c>
      <c r="B90" t="s">
        <v>406</v>
      </c>
      <c r="C90" t="s">
        <v>432</v>
      </c>
      <c r="D90" t="s">
        <v>582</v>
      </c>
      <c r="E90" t="s">
        <v>211</v>
      </c>
      <c r="F90" t="s">
        <v>458</v>
      </c>
      <c r="G90" t="s">
        <v>74</v>
      </c>
      <c r="H90" t="s">
        <v>20</v>
      </c>
      <c r="I90">
        <v>3</v>
      </c>
      <c r="J90">
        <v>3</v>
      </c>
      <c r="L90" s="44"/>
      <c r="M90" s="41"/>
      <c r="S90" s="44">
        <v>98</v>
      </c>
      <c r="T90" s="41">
        <f t="shared" si="3"/>
        <v>9.7099778012618956E-5</v>
      </c>
    </row>
    <row r="91" spans="1:20" x14ac:dyDescent="0.25">
      <c r="A91" t="str">
        <f t="shared" si="2"/>
        <v>Apple TvBad Sisters</v>
      </c>
      <c r="B91" t="s">
        <v>406</v>
      </c>
      <c r="C91" t="s">
        <v>431</v>
      </c>
      <c r="D91" t="s">
        <v>583</v>
      </c>
      <c r="E91" t="s">
        <v>211</v>
      </c>
      <c r="F91" t="s">
        <v>457</v>
      </c>
      <c r="G91" t="s">
        <v>481</v>
      </c>
      <c r="H91" t="s">
        <v>20</v>
      </c>
      <c r="I91">
        <v>2</v>
      </c>
      <c r="J91">
        <v>2</v>
      </c>
      <c r="L91" s="44"/>
      <c r="M91" s="41"/>
      <c r="S91" s="44">
        <v>99</v>
      </c>
      <c r="T91" s="41">
        <f t="shared" si="3"/>
        <v>8.7389800211357056E-5</v>
      </c>
    </row>
    <row r="92" spans="1:20" x14ac:dyDescent="0.25">
      <c r="A92" t="str">
        <f t="shared" si="2"/>
        <v>Apple TvBefore</v>
      </c>
      <c r="B92" t="s">
        <v>406</v>
      </c>
      <c r="C92" t="s">
        <v>431</v>
      </c>
      <c r="D92" t="s">
        <v>584</v>
      </c>
      <c r="E92" t="s">
        <v>211</v>
      </c>
      <c r="F92" t="s">
        <v>457</v>
      </c>
      <c r="G92" t="s">
        <v>173</v>
      </c>
      <c r="H92" t="s">
        <v>20</v>
      </c>
      <c r="I92">
        <v>9</v>
      </c>
      <c r="J92">
        <v>9</v>
      </c>
      <c r="L92" s="44"/>
      <c r="M92" s="41"/>
      <c r="S92" s="44">
        <v>100</v>
      </c>
      <c r="T92" s="41">
        <f t="shared" si="3"/>
        <v>7.8650820190221351E-5</v>
      </c>
    </row>
    <row r="93" spans="1:20" x14ac:dyDescent="0.25">
      <c r="A93" t="str">
        <f t="shared" si="2"/>
        <v>Apple TvDisclaimer</v>
      </c>
      <c r="B93" t="s">
        <v>406</v>
      </c>
      <c r="C93" t="s">
        <v>431</v>
      </c>
      <c r="D93" t="s">
        <v>585</v>
      </c>
      <c r="E93" t="s">
        <v>211</v>
      </c>
      <c r="F93" t="s">
        <v>457</v>
      </c>
      <c r="G93" t="s">
        <v>286</v>
      </c>
      <c r="H93" t="s">
        <v>20</v>
      </c>
      <c r="I93">
        <v>5</v>
      </c>
      <c r="J93">
        <v>5</v>
      </c>
    </row>
    <row r="94" spans="1:20" x14ac:dyDescent="0.25">
      <c r="A94" t="str">
        <f t="shared" si="2"/>
        <v>Apple TvPresumed Innocent</v>
      </c>
      <c r="B94" t="s">
        <v>406</v>
      </c>
      <c r="C94" t="s">
        <v>431</v>
      </c>
      <c r="D94" t="s">
        <v>586</v>
      </c>
      <c r="E94" t="s">
        <v>211</v>
      </c>
      <c r="F94" t="s">
        <v>457</v>
      </c>
      <c r="G94" t="s">
        <v>182</v>
      </c>
      <c r="H94" t="s">
        <v>20</v>
      </c>
      <c r="I94">
        <v>7</v>
      </c>
      <c r="J94">
        <v>7</v>
      </c>
    </row>
    <row r="95" spans="1:20" x14ac:dyDescent="0.25">
      <c r="A95" t="str">
        <f t="shared" si="2"/>
        <v>Apple TvSee</v>
      </c>
      <c r="B95" t="s">
        <v>406</v>
      </c>
      <c r="C95" t="s">
        <v>431</v>
      </c>
      <c r="D95" t="s">
        <v>587</v>
      </c>
      <c r="E95" t="s">
        <v>211</v>
      </c>
      <c r="F95" t="s">
        <v>457</v>
      </c>
      <c r="G95" t="s">
        <v>482</v>
      </c>
      <c r="H95" t="s">
        <v>20</v>
      </c>
      <c r="I95">
        <v>8</v>
      </c>
      <c r="J95">
        <v>8</v>
      </c>
    </row>
    <row r="96" spans="1:20" x14ac:dyDescent="0.25">
      <c r="A96" t="str">
        <f t="shared" si="2"/>
        <v>Apple TvSeverance</v>
      </c>
      <c r="B96" t="s">
        <v>406</v>
      </c>
      <c r="C96" t="s">
        <v>431</v>
      </c>
      <c r="D96" t="s">
        <v>588</v>
      </c>
      <c r="E96" t="s">
        <v>211</v>
      </c>
      <c r="F96" t="s">
        <v>457</v>
      </c>
      <c r="G96" t="s">
        <v>286</v>
      </c>
      <c r="H96" t="s">
        <v>20</v>
      </c>
      <c r="I96">
        <v>10</v>
      </c>
      <c r="J96">
        <v>10</v>
      </c>
    </row>
    <row r="97" spans="1:10" x14ac:dyDescent="0.25">
      <c r="A97" t="str">
        <f t="shared" si="2"/>
        <v>Apple TvShrinking</v>
      </c>
      <c r="B97" t="s">
        <v>406</v>
      </c>
      <c r="C97" t="s">
        <v>431</v>
      </c>
      <c r="D97" t="s">
        <v>589</v>
      </c>
      <c r="E97" t="s">
        <v>211</v>
      </c>
      <c r="F97" t="s">
        <v>457</v>
      </c>
      <c r="G97" t="s">
        <v>138</v>
      </c>
      <c r="H97" t="s">
        <v>20</v>
      </c>
      <c r="I97">
        <v>3</v>
      </c>
      <c r="J97">
        <v>3</v>
      </c>
    </row>
    <row r="98" spans="1:10" x14ac:dyDescent="0.25">
      <c r="A98" t="str">
        <f t="shared" si="2"/>
        <v>Apple TvSilo</v>
      </c>
      <c r="B98" t="s">
        <v>406</v>
      </c>
      <c r="C98" t="s">
        <v>431</v>
      </c>
      <c r="D98" t="s">
        <v>590</v>
      </c>
      <c r="E98" t="s">
        <v>211</v>
      </c>
      <c r="F98" t="s">
        <v>457</v>
      </c>
      <c r="G98" t="s">
        <v>423</v>
      </c>
      <c r="H98" t="s">
        <v>20</v>
      </c>
      <c r="I98">
        <v>1</v>
      </c>
      <c r="J98">
        <v>1</v>
      </c>
    </row>
    <row r="99" spans="1:10" x14ac:dyDescent="0.25">
      <c r="A99" t="str">
        <f t="shared" si="2"/>
        <v>Apple TvSlow Horses</v>
      </c>
      <c r="B99" t="s">
        <v>406</v>
      </c>
      <c r="C99" t="s">
        <v>431</v>
      </c>
      <c r="D99" t="s">
        <v>591</v>
      </c>
      <c r="E99" t="s">
        <v>211</v>
      </c>
      <c r="F99" t="s">
        <v>457</v>
      </c>
      <c r="G99" t="s">
        <v>173</v>
      </c>
      <c r="H99" t="s">
        <v>20</v>
      </c>
      <c r="I99">
        <v>6</v>
      </c>
      <c r="J99">
        <v>6</v>
      </c>
    </row>
    <row r="100" spans="1:10" x14ac:dyDescent="0.25">
      <c r="A100" t="str">
        <f t="shared" si="2"/>
        <v>Apple TvTed Lasso</v>
      </c>
      <c r="B100" t="s">
        <v>406</v>
      </c>
      <c r="C100" t="s">
        <v>431</v>
      </c>
      <c r="D100" t="s">
        <v>592</v>
      </c>
      <c r="E100" t="s">
        <v>211</v>
      </c>
      <c r="F100" t="s">
        <v>457</v>
      </c>
      <c r="G100" t="s">
        <v>401</v>
      </c>
      <c r="H100" t="s">
        <v>20</v>
      </c>
      <c r="I100">
        <v>4</v>
      </c>
      <c r="J100">
        <v>4</v>
      </c>
    </row>
    <row r="101" spans="1:10" x14ac:dyDescent="0.25">
      <c r="A101" t="str">
        <f t="shared" si="2"/>
        <v>Apple TvKillers of the Flower Moon</v>
      </c>
      <c r="B101" t="s">
        <v>406</v>
      </c>
      <c r="C101" t="s">
        <v>434</v>
      </c>
      <c r="D101" t="s">
        <v>593</v>
      </c>
      <c r="E101" t="s">
        <v>211</v>
      </c>
      <c r="F101" t="s">
        <v>458</v>
      </c>
      <c r="G101" t="s">
        <v>182</v>
      </c>
      <c r="H101" t="s">
        <v>20</v>
      </c>
      <c r="I101">
        <v>8</v>
      </c>
      <c r="J101">
        <v>8</v>
      </c>
    </row>
    <row r="102" spans="1:10" x14ac:dyDescent="0.25">
      <c r="A102" t="str">
        <f t="shared" si="2"/>
        <v>Apple TvLuck</v>
      </c>
      <c r="B102" t="s">
        <v>406</v>
      </c>
      <c r="C102" t="s">
        <v>434</v>
      </c>
      <c r="D102" t="s">
        <v>594</v>
      </c>
      <c r="E102" t="s">
        <v>211</v>
      </c>
      <c r="F102" t="s">
        <v>458</v>
      </c>
      <c r="G102" t="s">
        <v>452</v>
      </c>
      <c r="H102" t="s">
        <v>20</v>
      </c>
      <c r="I102">
        <v>4</v>
      </c>
      <c r="J102">
        <v>4</v>
      </c>
    </row>
    <row r="103" spans="1:10" x14ac:dyDescent="0.25">
      <c r="A103" t="str">
        <f t="shared" si="2"/>
        <v>Apple TvWolfs</v>
      </c>
      <c r="B103" t="s">
        <v>406</v>
      </c>
      <c r="C103" t="s">
        <v>434</v>
      </c>
      <c r="D103" t="s">
        <v>595</v>
      </c>
      <c r="E103" t="s">
        <v>211</v>
      </c>
      <c r="F103" t="s">
        <v>458</v>
      </c>
      <c r="G103" t="s">
        <v>176</v>
      </c>
      <c r="H103" t="s">
        <v>20</v>
      </c>
      <c r="I103">
        <v>1</v>
      </c>
      <c r="J103">
        <v>1</v>
      </c>
    </row>
    <row r="104" spans="1:10" x14ac:dyDescent="0.25">
      <c r="A104" t="str">
        <f t="shared" si="2"/>
        <v>Chaupal TvJatt &amp; Jullit 3</v>
      </c>
      <c r="B104" t="s">
        <v>71</v>
      </c>
      <c r="C104" t="s">
        <v>432</v>
      </c>
      <c r="D104" t="s">
        <v>596</v>
      </c>
      <c r="E104" t="s">
        <v>211</v>
      </c>
      <c r="F104" t="s">
        <v>458</v>
      </c>
      <c r="G104" t="s">
        <v>154</v>
      </c>
      <c r="H104" t="s">
        <v>32</v>
      </c>
      <c r="I104">
        <v>3</v>
      </c>
      <c r="J104">
        <v>3</v>
      </c>
    </row>
    <row r="105" spans="1:10" x14ac:dyDescent="0.25">
      <c r="A105" t="str">
        <f t="shared" si="2"/>
        <v>Chaupal TvShayar</v>
      </c>
      <c r="B105" t="s">
        <v>71</v>
      </c>
      <c r="C105" t="s">
        <v>432</v>
      </c>
      <c r="D105" t="s">
        <v>597</v>
      </c>
      <c r="E105" t="s">
        <v>211</v>
      </c>
      <c r="F105" t="s">
        <v>458</v>
      </c>
      <c r="G105" t="s">
        <v>216</v>
      </c>
      <c r="H105" t="s">
        <v>32</v>
      </c>
      <c r="I105">
        <v>7</v>
      </c>
      <c r="J105">
        <v>7</v>
      </c>
    </row>
    <row r="106" spans="1:10" x14ac:dyDescent="0.25">
      <c r="A106" t="str">
        <f t="shared" si="2"/>
        <v>Chaupal TvSarpanchi</v>
      </c>
      <c r="B106" t="s">
        <v>71</v>
      </c>
      <c r="C106" t="s">
        <v>431</v>
      </c>
      <c r="D106" t="s">
        <v>598</v>
      </c>
      <c r="E106" t="s">
        <v>211</v>
      </c>
      <c r="F106" t="s">
        <v>457</v>
      </c>
      <c r="G106" t="s">
        <v>216</v>
      </c>
      <c r="H106" t="s">
        <v>32</v>
      </c>
      <c r="I106">
        <v>5</v>
      </c>
      <c r="J106">
        <v>5</v>
      </c>
    </row>
    <row r="107" spans="1:10" x14ac:dyDescent="0.25">
      <c r="A107" t="str">
        <f t="shared" si="2"/>
        <v>Chaupal TvBlackia 2</v>
      </c>
      <c r="B107" t="s">
        <v>71</v>
      </c>
      <c r="C107" t="s">
        <v>434</v>
      </c>
      <c r="D107" t="s">
        <v>599</v>
      </c>
      <c r="E107" t="s">
        <v>211</v>
      </c>
      <c r="F107" t="s">
        <v>458</v>
      </c>
      <c r="G107" t="s">
        <v>170</v>
      </c>
      <c r="H107" t="s">
        <v>32</v>
      </c>
      <c r="I107">
        <v>10</v>
      </c>
      <c r="J107">
        <v>10</v>
      </c>
    </row>
    <row r="108" spans="1:10" x14ac:dyDescent="0.25">
      <c r="A108" t="str">
        <f t="shared" si="2"/>
        <v>Chaupal TvJatt Nuu Chudail Takri</v>
      </c>
      <c r="B108" t="s">
        <v>71</v>
      </c>
      <c r="C108" t="s">
        <v>434</v>
      </c>
      <c r="D108" t="s">
        <v>600</v>
      </c>
      <c r="E108" t="s">
        <v>211</v>
      </c>
      <c r="F108" t="s">
        <v>458</v>
      </c>
      <c r="G108" t="s">
        <v>124</v>
      </c>
      <c r="H108" t="s">
        <v>32</v>
      </c>
      <c r="I108">
        <v>9</v>
      </c>
      <c r="J108">
        <v>9</v>
      </c>
    </row>
    <row r="109" spans="1:10" x14ac:dyDescent="0.25">
      <c r="A109" t="str">
        <f t="shared" si="2"/>
        <v>Chaupal TvJe Jatt Vigarh Gya</v>
      </c>
      <c r="B109" t="s">
        <v>71</v>
      </c>
      <c r="C109" t="s">
        <v>434</v>
      </c>
      <c r="D109" t="s">
        <v>601</v>
      </c>
      <c r="E109" t="s">
        <v>211</v>
      </c>
      <c r="F109" t="s">
        <v>458</v>
      </c>
      <c r="G109" t="s">
        <v>216</v>
      </c>
      <c r="H109" t="s">
        <v>32</v>
      </c>
      <c r="I109">
        <v>1</v>
      </c>
      <c r="J109">
        <v>1</v>
      </c>
    </row>
    <row r="110" spans="1:10" x14ac:dyDescent="0.25">
      <c r="A110" t="str">
        <f t="shared" si="2"/>
        <v>Chaupal TvKudi Haryane Val Di</v>
      </c>
      <c r="B110" t="s">
        <v>71</v>
      </c>
      <c r="C110" t="s">
        <v>434</v>
      </c>
      <c r="D110" t="s">
        <v>602</v>
      </c>
      <c r="E110" t="s">
        <v>211</v>
      </c>
      <c r="F110" t="s">
        <v>458</v>
      </c>
      <c r="G110" t="s">
        <v>138</v>
      </c>
      <c r="H110" t="s">
        <v>32</v>
      </c>
      <c r="I110">
        <v>6</v>
      </c>
      <c r="J110">
        <v>6</v>
      </c>
    </row>
    <row r="111" spans="1:10" x14ac:dyDescent="0.25">
      <c r="A111" t="str">
        <f t="shared" si="2"/>
        <v>Chaupal TvRode College</v>
      </c>
      <c r="B111" t="s">
        <v>71</v>
      </c>
      <c r="C111" t="s">
        <v>434</v>
      </c>
      <c r="D111" t="s">
        <v>603</v>
      </c>
      <c r="E111" t="s">
        <v>211</v>
      </c>
      <c r="F111" t="s">
        <v>458</v>
      </c>
      <c r="G111" t="s">
        <v>92</v>
      </c>
      <c r="H111" t="s">
        <v>32</v>
      </c>
      <c r="I111">
        <v>8</v>
      </c>
      <c r="J111">
        <v>8</v>
      </c>
    </row>
    <row r="112" spans="1:10" x14ac:dyDescent="0.25">
      <c r="A112" t="str">
        <f t="shared" si="2"/>
        <v>Chaupal TvRose Rosy Te Gulab</v>
      </c>
      <c r="B112" t="s">
        <v>71</v>
      </c>
      <c r="C112" t="s">
        <v>434</v>
      </c>
      <c r="D112" t="s">
        <v>604</v>
      </c>
      <c r="E112" t="s">
        <v>211</v>
      </c>
      <c r="F112" t="s">
        <v>458</v>
      </c>
      <c r="G112" t="s">
        <v>279</v>
      </c>
      <c r="H112" t="s">
        <v>32</v>
      </c>
      <c r="I112">
        <v>4</v>
      </c>
      <c r="J112">
        <v>4</v>
      </c>
    </row>
    <row r="113" spans="1:10" x14ac:dyDescent="0.25">
      <c r="A113" t="str">
        <f t="shared" si="2"/>
        <v>Chaupal TvShinda Shinda No Papa</v>
      </c>
      <c r="B113" t="s">
        <v>71</v>
      </c>
      <c r="C113" t="s">
        <v>434</v>
      </c>
      <c r="D113" t="s">
        <v>605</v>
      </c>
      <c r="E113" t="s">
        <v>211</v>
      </c>
      <c r="F113" t="s">
        <v>458</v>
      </c>
      <c r="G113" t="s">
        <v>124</v>
      </c>
      <c r="H113" t="s">
        <v>32</v>
      </c>
      <c r="I113">
        <v>2</v>
      </c>
      <c r="J113">
        <v>2</v>
      </c>
    </row>
    <row r="114" spans="1:10" x14ac:dyDescent="0.25">
      <c r="A114" t="str">
        <f t="shared" si="2"/>
        <v>CrunchyrollBlack Clover</v>
      </c>
      <c r="B114" t="s">
        <v>76</v>
      </c>
      <c r="C114" t="s">
        <v>431</v>
      </c>
      <c r="D114" t="s">
        <v>606</v>
      </c>
      <c r="E114" t="s">
        <v>211</v>
      </c>
      <c r="F114" t="s">
        <v>457</v>
      </c>
      <c r="G114" t="s">
        <v>295</v>
      </c>
      <c r="H114" t="s">
        <v>20</v>
      </c>
      <c r="I114">
        <v>8</v>
      </c>
      <c r="J114">
        <v>8</v>
      </c>
    </row>
    <row r="115" spans="1:10" x14ac:dyDescent="0.25">
      <c r="A115" t="str">
        <f t="shared" si="2"/>
        <v>CrunchyrollChainsaw Man</v>
      </c>
      <c r="B115" t="s">
        <v>76</v>
      </c>
      <c r="C115" t="s">
        <v>431</v>
      </c>
      <c r="D115" t="s">
        <v>607</v>
      </c>
      <c r="E115" t="s">
        <v>211</v>
      </c>
      <c r="F115" t="s">
        <v>457</v>
      </c>
      <c r="G115" t="s">
        <v>295</v>
      </c>
      <c r="H115" t="s">
        <v>21</v>
      </c>
      <c r="I115">
        <v>7</v>
      </c>
      <c r="J115">
        <v>7</v>
      </c>
    </row>
    <row r="116" spans="1:10" x14ac:dyDescent="0.25">
      <c r="A116" t="str">
        <f t="shared" si="2"/>
        <v>CrunchyrollFairy Tail</v>
      </c>
      <c r="B116" t="s">
        <v>76</v>
      </c>
      <c r="C116" t="s">
        <v>431</v>
      </c>
      <c r="D116" t="s">
        <v>608</v>
      </c>
      <c r="E116" t="s">
        <v>211</v>
      </c>
      <c r="F116" t="s">
        <v>457</v>
      </c>
      <c r="G116" t="s">
        <v>452</v>
      </c>
      <c r="H116" t="s">
        <v>460</v>
      </c>
      <c r="I116">
        <v>1</v>
      </c>
      <c r="J116">
        <v>1</v>
      </c>
    </row>
    <row r="117" spans="1:10" x14ac:dyDescent="0.25">
      <c r="A117" t="str">
        <f t="shared" si="2"/>
        <v>CrunchyrollFrieren: Beyond Journey's End</v>
      </c>
      <c r="B117" t="s">
        <v>76</v>
      </c>
      <c r="C117" t="s">
        <v>431</v>
      </c>
      <c r="D117" t="s">
        <v>609</v>
      </c>
      <c r="E117" t="s">
        <v>211</v>
      </c>
      <c r="F117" t="s">
        <v>457</v>
      </c>
      <c r="G117" t="s">
        <v>483</v>
      </c>
      <c r="H117" t="s">
        <v>40</v>
      </c>
      <c r="I117">
        <v>4</v>
      </c>
      <c r="J117">
        <v>4</v>
      </c>
    </row>
    <row r="118" spans="1:10" x14ac:dyDescent="0.25">
      <c r="A118" t="str">
        <f t="shared" si="2"/>
        <v>CrunchyrollJojo's Bizarre Adventure</v>
      </c>
      <c r="B118" t="s">
        <v>76</v>
      </c>
      <c r="C118" t="s">
        <v>431</v>
      </c>
      <c r="D118" t="s">
        <v>610</v>
      </c>
      <c r="E118" t="s">
        <v>211</v>
      </c>
      <c r="F118" t="s">
        <v>457</v>
      </c>
      <c r="G118" t="s">
        <v>116</v>
      </c>
      <c r="H118" t="s">
        <v>460</v>
      </c>
      <c r="I118">
        <v>3</v>
      </c>
      <c r="J118">
        <v>3</v>
      </c>
    </row>
    <row r="119" spans="1:10" x14ac:dyDescent="0.25">
      <c r="A119" t="str">
        <f t="shared" si="2"/>
        <v>CrunchyrollJujutsu Kaisen</v>
      </c>
      <c r="B119" t="s">
        <v>76</v>
      </c>
      <c r="C119" t="s">
        <v>431</v>
      </c>
      <c r="D119" t="s">
        <v>611</v>
      </c>
      <c r="E119" t="s">
        <v>211</v>
      </c>
      <c r="F119" t="s">
        <v>457</v>
      </c>
      <c r="G119" t="s">
        <v>295</v>
      </c>
      <c r="H119" t="s">
        <v>28</v>
      </c>
      <c r="I119">
        <v>9</v>
      </c>
      <c r="J119">
        <v>9</v>
      </c>
    </row>
    <row r="120" spans="1:10" x14ac:dyDescent="0.25">
      <c r="A120" t="str">
        <f t="shared" si="2"/>
        <v>CrunchyrollMashle: Magic And Muscles</v>
      </c>
      <c r="B120" t="s">
        <v>76</v>
      </c>
      <c r="C120" t="s">
        <v>431</v>
      </c>
      <c r="D120" t="s">
        <v>612</v>
      </c>
      <c r="E120" t="s">
        <v>211</v>
      </c>
      <c r="F120" t="s">
        <v>457</v>
      </c>
      <c r="G120" t="s">
        <v>452</v>
      </c>
      <c r="H120" t="s">
        <v>40</v>
      </c>
      <c r="I120">
        <v>5</v>
      </c>
      <c r="J120">
        <v>5</v>
      </c>
    </row>
    <row r="121" spans="1:10" x14ac:dyDescent="0.25">
      <c r="A121" t="str">
        <f t="shared" si="2"/>
        <v>CrunchyrollNaruto Shippuden</v>
      </c>
      <c r="B121" t="s">
        <v>76</v>
      </c>
      <c r="C121" t="s">
        <v>431</v>
      </c>
      <c r="D121" t="s">
        <v>613</v>
      </c>
      <c r="E121" t="s">
        <v>211</v>
      </c>
      <c r="F121" t="s">
        <v>457</v>
      </c>
      <c r="G121" t="s">
        <v>484</v>
      </c>
      <c r="H121" t="s">
        <v>460</v>
      </c>
      <c r="I121">
        <v>10</v>
      </c>
      <c r="J121">
        <v>10</v>
      </c>
    </row>
    <row r="122" spans="1:10" x14ac:dyDescent="0.25">
      <c r="A122" t="str">
        <f t="shared" si="2"/>
        <v>CrunchyrollSolo Leveling</v>
      </c>
      <c r="B122" t="s">
        <v>76</v>
      </c>
      <c r="C122" t="s">
        <v>431</v>
      </c>
      <c r="D122" t="s">
        <v>614</v>
      </c>
      <c r="E122" t="s">
        <v>211</v>
      </c>
      <c r="F122" t="s">
        <v>457</v>
      </c>
      <c r="G122" t="s">
        <v>295</v>
      </c>
      <c r="H122" t="s">
        <v>40</v>
      </c>
      <c r="I122">
        <v>2</v>
      </c>
      <c r="J122">
        <v>2</v>
      </c>
    </row>
    <row r="123" spans="1:10" x14ac:dyDescent="0.25">
      <c r="A123" t="str">
        <f t="shared" si="2"/>
        <v>CrunchyrollSword Art Online</v>
      </c>
      <c r="B123" t="s">
        <v>76</v>
      </c>
      <c r="C123" t="s">
        <v>431</v>
      </c>
      <c r="D123" t="s">
        <v>615</v>
      </c>
      <c r="E123" t="s">
        <v>211</v>
      </c>
      <c r="F123" t="s">
        <v>457</v>
      </c>
      <c r="G123" t="s">
        <v>485</v>
      </c>
      <c r="H123" t="s">
        <v>20</v>
      </c>
      <c r="I123">
        <v>6</v>
      </c>
      <c r="J123">
        <v>6</v>
      </c>
    </row>
    <row r="124" spans="1:10" x14ac:dyDescent="0.25">
      <c r="A124" t="str">
        <f t="shared" si="2"/>
        <v>Dangal PlayBaazi Ishq KI</v>
      </c>
      <c r="B124" t="s">
        <v>82</v>
      </c>
      <c r="C124" t="s">
        <v>431</v>
      </c>
      <c r="D124" t="s">
        <v>616</v>
      </c>
      <c r="E124" t="s">
        <v>211</v>
      </c>
      <c r="F124" t="s">
        <v>457</v>
      </c>
      <c r="G124" t="s">
        <v>486</v>
      </c>
      <c r="H124" t="s">
        <v>461</v>
      </c>
      <c r="I124">
        <v>6</v>
      </c>
      <c r="J124">
        <v>6</v>
      </c>
    </row>
    <row r="125" spans="1:10" x14ac:dyDescent="0.25">
      <c r="A125" t="str">
        <f t="shared" si="2"/>
        <v>Dangal PlayBraj Ke Gopal</v>
      </c>
      <c r="B125" t="s">
        <v>82</v>
      </c>
      <c r="C125" t="s">
        <v>431</v>
      </c>
      <c r="D125" t="s">
        <v>617</v>
      </c>
      <c r="E125" t="s">
        <v>211</v>
      </c>
      <c r="F125" t="s">
        <v>457</v>
      </c>
      <c r="G125" t="s">
        <v>245</v>
      </c>
      <c r="H125" t="s">
        <v>19</v>
      </c>
      <c r="I125">
        <v>3</v>
      </c>
      <c r="J125">
        <v>3</v>
      </c>
    </row>
    <row r="126" spans="1:10" x14ac:dyDescent="0.25">
      <c r="A126" t="str">
        <f t="shared" si="2"/>
        <v>Dangal PlayMann Atisundar</v>
      </c>
      <c r="B126" t="s">
        <v>82</v>
      </c>
      <c r="C126" t="s">
        <v>431</v>
      </c>
      <c r="D126" t="s">
        <v>618</v>
      </c>
      <c r="E126" t="s">
        <v>211</v>
      </c>
      <c r="F126" t="s">
        <v>457</v>
      </c>
      <c r="G126" t="s">
        <v>216</v>
      </c>
      <c r="H126" t="s">
        <v>19</v>
      </c>
      <c r="I126">
        <v>4</v>
      </c>
      <c r="J126">
        <v>4</v>
      </c>
    </row>
    <row r="127" spans="1:10" x14ac:dyDescent="0.25">
      <c r="A127" t="str">
        <f t="shared" si="2"/>
        <v>Dangal PlayMann Sundar</v>
      </c>
      <c r="B127" t="s">
        <v>82</v>
      </c>
      <c r="C127" t="s">
        <v>431</v>
      </c>
      <c r="D127" t="s">
        <v>619</v>
      </c>
      <c r="E127" t="s">
        <v>211</v>
      </c>
      <c r="F127" t="s">
        <v>457</v>
      </c>
      <c r="G127" t="s">
        <v>216</v>
      </c>
      <c r="H127" t="s">
        <v>19</v>
      </c>
      <c r="I127">
        <v>8</v>
      </c>
      <c r="J127">
        <v>8</v>
      </c>
    </row>
    <row r="128" spans="1:10" x14ac:dyDescent="0.25">
      <c r="A128" t="str">
        <f t="shared" si="2"/>
        <v>Dangal PlayNath</v>
      </c>
      <c r="B128" t="s">
        <v>82</v>
      </c>
      <c r="C128" t="s">
        <v>431</v>
      </c>
      <c r="D128" t="s">
        <v>620</v>
      </c>
      <c r="E128" t="s">
        <v>211</v>
      </c>
      <c r="F128" t="s">
        <v>457</v>
      </c>
      <c r="G128" t="s">
        <v>216</v>
      </c>
      <c r="H128" t="s">
        <v>19</v>
      </c>
      <c r="I128">
        <v>1</v>
      </c>
      <c r="J128">
        <v>1</v>
      </c>
    </row>
    <row r="129" spans="1:10" x14ac:dyDescent="0.25">
      <c r="A129" t="str">
        <f t="shared" si="2"/>
        <v>Dangal PlayEk Din Ki Saas</v>
      </c>
      <c r="B129" t="s">
        <v>82</v>
      </c>
      <c r="C129" t="s">
        <v>434</v>
      </c>
      <c r="D129" t="s">
        <v>621</v>
      </c>
      <c r="E129" t="s">
        <v>211</v>
      </c>
      <c r="F129" t="s">
        <v>458</v>
      </c>
      <c r="G129" t="s">
        <v>487</v>
      </c>
      <c r="H129" t="s">
        <v>461</v>
      </c>
      <c r="I129">
        <v>2</v>
      </c>
      <c r="J129">
        <v>2</v>
      </c>
    </row>
    <row r="130" spans="1:10" x14ac:dyDescent="0.25">
      <c r="A130" t="str">
        <f t="shared" ref="A130:A193" si="4">B130&amp;D130</f>
        <v>Dangal PlayJai Vat Savitri Mayyiya</v>
      </c>
      <c r="B130" t="s">
        <v>82</v>
      </c>
      <c r="C130" t="s">
        <v>434</v>
      </c>
      <c r="D130" t="s">
        <v>622</v>
      </c>
      <c r="E130" t="s">
        <v>211</v>
      </c>
      <c r="F130" t="s">
        <v>458</v>
      </c>
      <c r="G130" t="s">
        <v>488</v>
      </c>
      <c r="H130" t="s">
        <v>461</v>
      </c>
      <c r="I130">
        <v>10</v>
      </c>
      <c r="J130">
        <v>10</v>
      </c>
    </row>
    <row r="131" spans="1:10" x14ac:dyDescent="0.25">
      <c r="A131" t="str">
        <f t="shared" si="4"/>
        <v>Dangal PlayLaadla 2</v>
      </c>
      <c r="B131" t="s">
        <v>82</v>
      </c>
      <c r="C131" t="s">
        <v>434</v>
      </c>
      <c r="D131" t="s">
        <v>623</v>
      </c>
      <c r="E131" t="s">
        <v>211</v>
      </c>
      <c r="F131" t="s">
        <v>458</v>
      </c>
      <c r="G131" t="s">
        <v>489</v>
      </c>
      <c r="H131" t="s">
        <v>461</v>
      </c>
      <c r="I131">
        <v>5</v>
      </c>
      <c r="J131">
        <v>5</v>
      </c>
    </row>
    <row r="132" spans="1:10" x14ac:dyDescent="0.25">
      <c r="A132" t="str">
        <f t="shared" si="4"/>
        <v>Dangal PlayNirahua Hindustani</v>
      </c>
      <c r="B132" t="s">
        <v>82</v>
      </c>
      <c r="C132" t="s">
        <v>434</v>
      </c>
      <c r="D132" t="s">
        <v>624</v>
      </c>
      <c r="E132" t="s">
        <v>211</v>
      </c>
      <c r="F132" t="s">
        <v>458</v>
      </c>
      <c r="G132" t="s">
        <v>490</v>
      </c>
      <c r="H132" t="s">
        <v>461</v>
      </c>
      <c r="I132">
        <v>9</v>
      </c>
      <c r="J132">
        <v>9</v>
      </c>
    </row>
    <row r="133" spans="1:10" x14ac:dyDescent="0.25">
      <c r="A133" t="str">
        <f t="shared" si="4"/>
        <v>Dangal PlayPaheli</v>
      </c>
      <c r="B133" t="s">
        <v>82</v>
      </c>
      <c r="C133" t="s">
        <v>434</v>
      </c>
      <c r="D133" t="s">
        <v>625</v>
      </c>
      <c r="E133" t="s">
        <v>211</v>
      </c>
      <c r="F133" t="s">
        <v>458</v>
      </c>
      <c r="G133" t="s">
        <v>486</v>
      </c>
      <c r="H133" t="s">
        <v>461</v>
      </c>
      <c r="I133">
        <v>7</v>
      </c>
      <c r="J133">
        <v>7</v>
      </c>
    </row>
    <row r="134" spans="1:10" x14ac:dyDescent="0.25">
      <c r="A134" t="str">
        <f t="shared" si="4"/>
        <v>Discovery+Abraham Lincoln</v>
      </c>
      <c r="B134" t="s">
        <v>89</v>
      </c>
      <c r="C134" t="s">
        <v>431</v>
      </c>
      <c r="D134" t="s">
        <v>626</v>
      </c>
      <c r="E134" t="s">
        <v>211</v>
      </c>
      <c r="F134" t="s">
        <v>457</v>
      </c>
      <c r="G134" t="s">
        <v>491</v>
      </c>
      <c r="H134" t="s">
        <v>28</v>
      </c>
      <c r="I134">
        <v>2</v>
      </c>
      <c r="J134">
        <v>2</v>
      </c>
    </row>
    <row r="135" spans="1:10" x14ac:dyDescent="0.25">
      <c r="A135" t="str">
        <f t="shared" si="4"/>
        <v>Discovery+Dynasties</v>
      </c>
      <c r="B135" t="s">
        <v>89</v>
      </c>
      <c r="C135" t="s">
        <v>431</v>
      </c>
      <c r="D135" t="s">
        <v>627</v>
      </c>
      <c r="E135" t="s">
        <v>211</v>
      </c>
      <c r="F135" t="s">
        <v>457</v>
      </c>
      <c r="G135" t="s">
        <v>492</v>
      </c>
      <c r="H135" t="s">
        <v>28</v>
      </c>
      <c r="I135">
        <v>3</v>
      </c>
      <c r="J135">
        <v>3</v>
      </c>
    </row>
    <row r="136" spans="1:10" x14ac:dyDescent="0.25">
      <c r="A136" t="str">
        <f t="shared" si="4"/>
        <v>Discovery+Gold: A Journey With Idris Elba</v>
      </c>
      <c r="B136" t="s">
        <v>89</v>
      </c>
      <c r="C136" t="s">
        <v>431</v>
      </c>
      <c r="D136" t="s">
        <v>628</v>
      </c>
      <c r="E136" t="s">
        <v>211</v>
      </c>
      <c r="F136" t="s">
        <v>457</v>
      </c>
      <c r="G136" t="s">
        <v>106</v>
      </c>
      <c r="H136" t="s">
        <v>20</v>
      </c>
      <c r="I136">
        <v>6</v>
      </c>
      <c r="J136">
        <v>6</v>
      </c>
    </row>
    <row r="137" spans="1:10" x14ac:dyDescent="0.25">
      <c r="A137" t="str">
        <f t="shared" si="4"/>
        <v>Discovery+ISIS: Origins Of Violence</v>
      </c>
      <c r="B137" t="s">
        <v>89</v>
      </c>
      <c r="C137" t="s">
        <v>431</v>
      </c>
      <c r="D137" t="s">
        <v>629</v>
      </c>
      <c r="E137" t="s">
        <v>211</v>
      </c>
      <c r="F137" t="s">
        <v>457</v>
      </c>
      <c r="G137" t="s">
        <v>178</v>
      </c>
      <c r="H137" t="s">
        <v>21</v>
      </c>
      <c r="I137">
        <v>8</v>
      </c>
      <c r="J137">
        <v>8</v>
      </c>
    </row>
    <row r="138" spans="1:10" x14ac:dyDescent="0.25">
      <c r="A138" t="str">
        <f t="shared" si="4"/>
        <v>Discovery+Kahi Suni: Legends That Live</v>
      </c>
      <c r="B138" t="s">
        <v>89</v>
      </c>
      <c r="C138" t="s">
        <v>431</v>
      </c>
      <c r="D138" t="s">
        <v>630</v>
      </c>
      <c r="E138" t="s">
        <v>211</v>
      </c>
      <c r="F138" t="s">
        <v>457</v>
      </c>
      <c r="G138" t="s">
        <v>177</v>
      </c>
      <c r="H138" t="s">
        <v>21</v>
      </c>
      <c r="I138">
        <v>10</v>
      </c>
      <c r="J138">
        <v>10</v>
      </c>
    </row>
    <row r="139" spans="1:10" x14ac:dyDescent="0.25">
      <c r="A139" t="str">
        <f t="shared" si="4"/>
        <v>Discovery+Mystery Hunter</v>
      </c>
      <c r="B139" t="s">
        <v>89</v>
      </c>
      <c r="C139" t="s">
        <v>431</v>
      </c>
      <c r="D139" t="s">
        <v>631</v>
      </c>
      <c r="E139" t="s">
        <v>211</v>
      </c>
      <c r="F139" t="s">
        <v>457</v>
      </c>
      <c r="G139" t="s">
        <v>491</v>
      </c>
      <c r="H139" t="s">
        <v>39</v>
      </c>
      <c r="I139">
        <v>1</v>
      </c>
      <c r="J139">
        <v>1</v>
      </c>
    </row>
    <row r="140" spans="1:10" x14ac:dyDescent="0.25">
      <c r="A140" t="str">
        <f t="shared" si="4"/>
        <v>Discovery+Reality Ranis of the Jungle</v>
      </c>
      <c r="B140" t="s">
        <v>89</v>
      </c>
      <c r="C140" t="s">
        <v>431</v>
      </c>
      <c r="D140" t="s">
        <v>632</v>
      </c>
      <c r="E140" t="s">
        <v>211</v>
      </c>
      <c r="F140" t="s">
        <v>457</v>
      </c>
      <c r="G140" t="s">
        <v>106</v>
      </c>
      <c r="H140" t="s">
        <v>39</v>
      </c>
      <c r="I140">
        <v>9</v>
      </c>
      <c r="J140">
        <v>9</v>
      </c>
    </row>
    <row r="141" spans="1:10" x14ac:dyDescent="0.25">
      <c r="A141" t="str">
        <f t="shared" si="4"/>
        <v>Discovery+Star Vs. Food Survival</v>
      </c>
      <c r="B141" t="s">
        <v>89</v>
      </c>
      <c r="C141" t="s">
        <v>431</v>
      </c>
      <c r="D141" t="s">
        <v>633</v>
      </c>
      <c r="E141" t="s">
        <v>211</v>
      </c>
      <c r="F141" t="s">
        <v>457</v>
      </c>
      <c r="G141" t="s">
        <v>106</v>
      </c>
      <c r="H141" t="s">
        <v>39</v>
      </c>
      <c r="I141">
        <v>4</v>
      </c>
      <c r="J141">
        <v>4</v>
      </c>
    </row>
    <row r="142" spans="1:10" x14ac:dyDescent="0.25">
      <c r="A142" t="str">
        <f t="shared" si="4"/>
        <v>Discovery+The Birth of Empire: The East India Company</v>
      </c>
      <c r="B142" t="s">
        <v>89</v>
      </c>
      <c r="C142" t="s">
        <v>431</v>
      </c>
      <c r="D142" t="s">
        <v>634</v>
      </c>
      <c r="E142" t="s">
        <v>211</v>
      </c>
      <c r="F142" t="s">
        <v>457</v>
      </c>
      <c r="G142" t="s">
        <v>491</v>
      </c>
      <c r="H142" t="s">
        <v>28</v>
      </c>
      <c r="I142">
        <v>5</v>
      </c>
      <c r="J142">
        <v>5</v>
      </c>
    </row>
    <row r="143" spans="1:10" x14ac:dyDescent="0.25">
      <c r="A143" t="str">
        <f t="shared" si="4"/>
        <v>Discovery+The Ganges With Sue Perkins</v>
      </c>
      <c r="B143" t="s">
        <v>89</v>
      </c>
      <c r="C143" t="s">
        <v>431</v>
      </c>
      <c r="D143" t="s">
        <v>635</v>
      </c>
      <c r="E143" t="s">
        <v>211</v>
      </c>
      <c r="F143" t="s">
        <v>457</v>
      </c>
      <c r="G143" t="s">
        <v>493</v>
      </c>
      <c r="H143" t="s">
        <v>28</v>
      </c>
      <c r="I143">
        <v>7</v>
      </c>
      <c r="J143">
        <v>7</v>
      </c>
    </row>
    <row r="144" spans="1:10" x14ac:dyDescent="0.25">
      <c r="A144" t="str">
        <f t="shared" si="4"/>
        <v>Disney + HotstarReeta Sanyal</v>
      </c>
      <c r="B144" t="s">
        <v>91</v>
      </c>
      <c r="C144" t="s">
        <v>433</v>
      </c>
      <c r="D144" t="s">
        <v>282</v>
      </c>
      <c r="E144" t="s">
        <v>219</v>
      </c>
      <c r="F144" t="s">
        <v>457</v>
      </c>
      <c r="G144" t="s">
        <v>103</v>
      </c>
      <c r="H144" t="s">
        <v>19</v>
      </c>
      <c r="I144">
        <v>7.666666666666667</v>
      </c>
      <c r="J144">
        <v>8</v>
      </c>
    </row>
    <row r="145" spans="1:10" x14ac:dyDescent="0.25">
      <c r="A145" t="str">
        <f t="shared" si="4"/>
        <v>Disney + HotstarDoraemon</v>
      </c>
      <c r="B145" t="s">
        <v>91</v>
      </c>
      <c r="C145" t="s">
        <v>431</v>
      </c>
      <c r="D145" t="s">
        <v>636</v>
      </c>
      <c r="E145" t="s">
        <v>211</v>
      </c>
      <c r="F145" t="s">
        <v>457</v>
      </c>
      <c r="G145" t="s">
        <v>494</v>
      </c>
      <c r="H145" t="s">
        <v>40</v>
      </c>
      <c r="I145">
        <v>8</v>
      </c>
      <c r="J145">
        <v>8</v>
      </c>
    </row>
    <row r="146" spans="1:10" x14ac:dyDescent="0.25">
      <c r="A146" t="str">
        <f t="shared" si="4"/>
        <v>Disney + HotstarThe Legend of Hanuman S5</v>
      </c>
      <c r="B146" t="s">
        <v>91</v>
      </c>
      <c r="C146" t="s">
        <v>431</v>
      </c>
      <c r="D146" t="s">
        <v>317</v>
      </c>
      <c r="E146" t="s">
        <v>211</v>
      </c>
      <c r="F146" t="s">
        <v>457</v>
      </c>
      <c r="G146" t="s">
        <v>332</v>
      </c>
      <c r="H146" t="s">
        <v>462</v>
      </c>
      <c r="I146">
        <v>6.8</v>
      </c>
      <c r="J146">
        <v>7</v>
      </c>
    </row>
    <row r="147" spans="1:10" x14ac:dyDescent="0.25">
      <c r="A147" t="str">
        <f t="shared" si="4"/>
        <v>Disney + HotstarThe Mystery of Moksha Island</v>
      </c>
      <c r="B147" t="s">
        <v>91</v>
      </c>
      <c r="C147" t="s">
        <v>431</v>
      </c>
      <c r="D147" t="s">
        <v>428</v>
      </c>
      <c r="E147" t="s">
        <v>211</v>
      </c>
      <c r="F147" t="s">
        <v>457</v>
      </c>
      <c r="G147" t="s">
        <v>168</v>
      </c>
      <c r="H147" t="s">
        <v>38</v>
      </c>
      <c r="I147">
        <v>6</v>
      </c>
      <c r="J147">
        <v>6</v>
      </c>
    </row>
    <row r="148" spans="1:10" x14ac:dyDescent="0.25">
      <c r="A148" t="str">
        <f t="shared" si="4"/>
        <v>Disney + HotstarThukra Ke Mera Pyaar</v>
      </c>
      <c r="B148" t="s">
        <v>91</v>
      </c>
      <c r="C148" t="s">
        <v>431</v>
      </c>
      <c r="D148" t="s">
        <v>444</v>
      </c>
      <c r="E148" t="s">
        <v>211</v>
      </c>
      <c r="F148" t="s">
        <v>457</v>
      </c>
      <c r="G148" t="s">
        <v>279</v>
      </c>
      <c r="H148" t="s">
        <v>19</v>
      </c>
      <c r="I148">
        <v>9</v>
      </c>
      <c r="J148">
        <v>9</v>
      </c>
    </row>
    <row r="149" spans="1:10" x14ac:dyDescent="0.25">
      <c r="A149" t="str">
        <f t="shared" si="4"/>
        <v>Disney + HotstarAavesham</v>
      </c>
      <c r="B149" t="s">
        <v>91</v>
      </c>
      <c r="C149" t="s">
        <v>434</v>
      </c>
      <c r="D149" t="s">
        <v>637</v>
      </c>
      <c r="E149" t="s">
        <v>211</v>
      </c>
      <c r="F149" t="s">
        <v>458</v>
      </c>
      <c r="G149" t="s">
        <v>262</v>
      </c>
      <c r="H149" t="s">
        <v>463</v>
      </c>
      <c r="I149">
        <v>9.5</v>
      </c>
      <c r="J149">
        <v>10</v>
      </c>
    </row>
    <row r="150" spans="1:10" x14ac:dyDescent="0.25">
      <c r="A150" t="str">
        <f t="shared" si="4"/>
        <v>Disney + HotstarAjayante Randam Moshanam</v>
      </c>
      <c r="B150" t="s">
        <v>91</v>
      </c>
      <c r="C150" t="s">
        <v>434</v>
      </c>
      <c r="D150" t="s">
        <v>390</v>
      </c>
      <c r="E150" t="s">
        <v>211</v>
      </c>
      <c r="F150" t="s">
        <v>458</v>
      </c>
      <c r="G150" t="s">
        <v>52</v>
      </c>
      <c r="H150" t="s">
        <v>453</v>
      </c>
      <c r="I150">
        <v>3.2</v>
      </c>
      <c r="J150">
        <v>3</v>
      </c>
    </row>
    <row r="151" spans="1:10" x14ac:dyDescent="0.25">
      <c r="A151" t="str">
        <f t="shared" si="4"/>
        <v>Disney + HotstarAlien: Romulus</v>
      </c>
      <c r="B151" t="s">
        <v>91</v>
      </c>
      <c r="C151" t="s">
        <v>434</v>
      </c>
      <c r="D151" t="s">
        <v>443</v>
      </c>
      <c r="E151" t="s">
        <v>211</v>
      </c>
      <c r="F151" t="s">
        <v>458</v>
      </c>
      <c r="G151" t="s">
        <v>450</v>
      </c>
      <c r="H151" t="s">
        <v>28</v>
      </c>
      <c r="I151">
        <v>1</v>
      </c>
      <c r="J151">
        <v>1</v>
      </c>
    </row>
    <row r="152" spans="1:10" x14ac:dyDescent="0.25">
      <c r="A152" t="str">
        <f t="shared" si="4"/>
        <v>Disney + HotstarBhool Bhulaiyaa</v>
      </c>
      <c r="B152" t="s">
        <v>91</v>
      </c>
      <c r="C152" t="s">
        <v>434</v>
      </c>
      <c r="D152" t="s">
        <v>359</v>
      </c>
      <c r="E152" t="s">
        <v>219</v>
      </c>
      <c r="F152" t="s">
        <v>458</v>
      </c>
      <c r="G152" t="s">
        <v>380</v>
      </c>
      <c r="H152" t="s">
        <v>19</v>
      </c>
      <c r="I152">
        <v>6.333333333333333</v>
      </c>
      <c r="J152">
        <v>6</v>
      </c>
    </row>
    <row r="153" spans="1:10" x14ac:dyDescent="0.25">
      <c r="A153" t="str">
        <f t="shared" si="4"/>
        <v>Disney + HotstarDeadpool &amp; Wolverine</v>
      </c>
      <c r="B153" t="s">
        <v>91</v>
      </c>
      <c r="C153" t="s">
        <v>434</v>
      </c>
      <c r="D153" t="s">
        <v>409</v>
      </c>
      <c r="E153" t="s">
        <v>211</v>
      </c>
      <c r="F153" t="s">
        <v>458</v>
      </c>
      <c r="G153" t="s">
        <v>52</v>
      </c>
      <c r="H153" t="s">
        <v>28</v>
      </c>
      <c r="I153">
        <v>3</v>
      </c>
      <c r="J153">
        <v>3</v>
      </c>
    </row>
    <row r="154" spans="1:10" x14ac:dyDescent="0.25">
      <c r="A154" t="str">
        <f t="shared" si="4"/>
        <v>Disney + HotstarDo Aur Do Pyaar</v>
      </c>
      <c r="B154" t="s">
        <v>91</v>
      </c>
      <c r="C154" t="s">
        <v>434</v>
      </c>
      <c r="D154" t="s">
        <v>638</v>
      </c>
      <c r="E154" t="s">
        <v>211</v>
      </c>
      <c r="F154" t="s">
        <v>458</v>
      </c>
      <c r="G154" t="s">
        <v>194</v>
      </c>
      <c r="H154" t="s">
        <v>19</v>
      </c>
      <c r="I154">
        <v>10</v>
      </c>
      <c r="J154">
        <v>10</v>
      </c>
    </row>
    <row r="155" spans="1:10" x14ac:dyDescent="0.25">
      <c r="A155" t="str">
        <f t="shared" si="4"/>
        <v>Disney + HotstarHum Do Hamare Do</v>
      </c>
      <c r="B155" t="s">
        <v>91</v>
      </c>
      <c r="C155" t="s">
        <v>434</v>
      </c>
      <c r="D155" t="s">
        <v>426</v>
      </c>
      <c r="E155" t="s">
        <v>211</v>
      </c>
      <c r="F155" t="s">
        <v>458</v>
      </c>
      <c r="G155" t="s">
        <v>200</v>
      </c>
      <c r="H155" t="s">
        <v>19</v>
      </c>
      <c r="I155">
        <v>4.666666666666667</v>
      </c>
      <c r="J155">
        <v>5</v>
      </c>
    </row>
    <row r="156" spans="1:10" x14ac:dyDescent="0.25">
      <c r="A156" t="str">
        <f t="shared" si="4"/>
        <v>Disney + HotstarKill</v>
      </c>
      <c r="B156" t="s">
        <v>91</v>
      </c>
      <c r="C156" t="s">
        <v>434</v>
      </c>
      <c r="D156" t="s">
        <v>214</v>
      </c>
      <c r="E156" t="s">
        <v>211</v>
      </c>
      <c r="F156" t="s">
        <v>458</v>
      </c>
      <c r="G156" t="s">
        <v>90</v>
      </c>
      <c r="H156" t="s">
        <v>19</v>
      </c>
      <c r="I156">
        <v>7.333333333333333</v>
      </c>
      <c r="J156">
        <v>7</v>
      </c>
    </row>
    <row r="157" spans="1:10" x14ac:dyDescent="0.25">
      <c r="A157" t="str">
        <f t="shared" si="4"/>
        <v>Disney + HotstarKishkindha Kandam</v>
      </c>
      <c r="B157" t="s">
        <v>91</v>
      </c>
      <c r="C157" t="s">
        <v>434</v>
      </c>
      <c r="D157" t="s">
        <v>440</v>
      </c>
      <c r="E157" t="s">
        <v>211</v>
      </c>
      <c r="F157" t="s">
        <v>458</v>
      </c>
      <c r="G157" t="s">
        <v>286</v>
      </c>
      <c r="H157" t="s">
        <v>453</v>
      </c>
      <c r="I157">
        <v>2</v>
      </c>
      <c r="J157">
        <v>2</v>
      </c>
    </row>
    <row r="158" spans="1:10" x14ac:dyDescent="0.25">
      <c r="A158" t="str">
        <f t="shared" si="4"/>
        <v>Disney + HotstarMunjya</v>
      </c>
      <c r="B158" t="s">
        <v>91</v>
      </c>
      <c r="C158" t="s">
        <v>434</v>
      </c>
      <c r="D158" t="s">
        <v>639</v>
      </c>
      <c r="E158" t="s">
        <v>211</v>
      </c>
      <c r="F158" t="s">
        <v>458</v>
      </c>
      <c r="G158" t="s">
        <v>495</v>
      </c>
      <c r="H158" t="s">
        <v>40</v>
      </c>
      <c r="I158">
        <v>7</v>
      </c>
      <c r="J158">
        <v>7</v>
      </c>
    </row>
    <row r="159" spans="1:10" x14ac:dyDescent="0.25">
      <c r="A159" t="str">
        <f t="shared" si="4"/>
        <v>Disney + HotstarSalaar</v>
      </c>
      <c r="B159" t="s">
        <v>91</v>
      </c>
      <c r="C159" t="s">
        <v>434</v>
      </c>
      <c r="D159" t="s">
        <v>640</v>
      </c>
      <c r="E159" t="s">
        <v>211</v>
      </c>
      <c r="F159" t="s">
        <v>458</v>
      </c>
      <c r="G159" t="s">
        <v>103</v>
      </c>
      <c r="H159" t="s">
        <v>19</v>
      </c>
      <c r="I159">
        <v>8.5</v>
      </c>
      <c r="J159">
        <v>9</v>
      </c>
    </row>
    <row r="160" spans="1:10" x14ac:dyDescent="0.25">
      <c r="A160" t="str">
        <f t="shared" si="4"/>
        <v>Disney + HotstarSarfira</v>
      </c>
      <c r="B160" t="s">
        <v>91</v>
      </c>
      <c r="C160" t="s">
        <v>434</v>
      </c>
      <c r="D160" t="s">
        <v>271</v>
      </c>
      <c r="E160" t="s">
        <v>211</v>
      </c>
      <c r="F160" t="s">
        <v>458</v>
      </c>
      <c r="G160" t="s">
        <v>216</v>
      </c>
      <c r="H160" t="s">
        <v>19</v>
      </c>
      <c r="I160">
        <v>3.6</v>
      </c>
      <c r="J160">
        <v>4</v>
      </c>
    </row>
    <row r="161" spans="1:10" x14ac:dyDescent="0.25">
      <c r="A161" t="str">
        <f t="shared" si="4"/>
        <v>Disney + HotstarSingham Returns</v>
      </c>
      <c r="B161" t="s">
        <v>91</v>
      </c>
      <c r="C161" t="s">
        <v>434</v>
      </c>
      <c r="D161" t="s">
        <v>404</v>
      </c>
      <c r="E161" t="s">
        <v>219</v>
      </c>
      <c r="F161" t="s">
        <v>458</v>
      </c>
      <c r="G161" t="s">
        <v>87</v>
      </c>
      <c r="H161" t="s">
        <v>19</v>
      </c>
      <c r="I161">
        <v>6</v>
      </c>
      <c r="J161">
        <v>6</v>
      </c>
    </row>
    <row r="162" spans="1:10" x14ac:dyDescent="0.25">
      <c r="A162" t="str">
        <f t="shared" si="4"/>
        <v>Disney + HotstarAashiqana</v>
      </c>
      <c r="B162" t="s">
        <v>91</v>
      </c>
      <c r="C162" t="s">
        <v>456</v>
      </c>
      <c r="D162" t="s">
        <v>641</v>
      </c>
      <c r="E162" t="s">
        <v>219</v>
      </c>
      <c r="F162" t="s">
        <v>218</v>
      </c>
      <c r="G162" t="s">
        <v>216</v>
      </c>
      <c r="H162" t="s">
        <v>19</v>
      </c>
      <c r="I162">
        <v>6</v>
      </c>
      <c r="J162">
        <v>6</v>
      </c>
    </row>
    <row r="163" spans="1:10" x14ac:dyDescent="0.25">
      <c r="A163" t="str">
        <f t="shared" si="4"/>
        <v>Disney + HotstarAdvocate Anjali Awasthi</v>
      </c>
      <c r="B163" t="s">
        <v>91</v>
      </c>
      <c r="C163" t="s">
        <v>456</v>
      </c>
      <c r="D163" t="s">
        <v>642</v>
      </c>
      <c r="E163" t="s">
        <v>219</v>
      </c>
      <c r="F163" t="s">
        <v>218</v>
      </c>
      <c r="G163" t="s">
        <v>216</v>
      </c>
      <c r="H163" t="s">
        <v>19</v>
      </c>
      <c r="I163">
        <v>10</v>
      </c>
      <c r="J163">
        <v>10</v>
      </c>
    </row>
    <row r="164" spans="1:10" x14ac:dyDescent="0.25">
      <c r="A164" t="str">
        <f t="shared" si="4"/>
        <v>Disney + HotstarAnupamaa</v>
      </c>
      <c r="B164" t="s">
        <v>91</v>
      </c>
      <c r="C164" t="s">
        <v>456</v>
      </c>
      <c r="D164" t="s">
        <v>643</v>
      </c>
      <c r="E164" t="s">
        <v>219</v>
      </c>
      <c r="F164" t="s">
        <v>218</v>
      </c>
      <c r="G164" t="s">
        <v>216</v>
      </c>
      <c r="H164" t="s">
        <v>19</v>
      </c>
      <c r="I164">
        <v>3</v>
      </c>
      <c r="J164">
        <v>3</v>
      </c>
    </row>
    <row r="165" spans="1:10" x14ac:dyDescent="0.25">
      <c r="A165" t="str">
        <f t="shared" si="4"/>
        <v>Disney + HotstarDil Ko Tumse Pyar Hua</v>
      </c>
      <c r="B165" t="s">
        <v>91</v>
      </c>
      <c r="C165" t="s">
        <v>456</v>
      </c>
      <c r="D165" t="s">
        <v>644</v>
      </c>
      <c r="E165" t="s">
        <v>219</v>
      </c>
      <c r="F165" t="s">
        <v>218</v>
      </c>
      <c r="G165" t="s">
        <v>216</v>
      </c>
      <c r="H165" t="s">
        <v>19</v>
      </c>
      <c r="I165">
        <v>9</v>
      </c>
      <c r="J165">
        <v>9</v>
      </c>
    </row>
    <row r="166" spans="1:10" x14ac:dyDescent="0.25">
      <c r="A166" t="str">
        <f t="shared" si="4"/>
        <v>Disney + HotstarGhum Hai Kisikey Pyaar Meiin</v>
      </c>
      <c r="B166" t="s">
        <v>91</v>
      </c>
      <c r="C166" t="s">
        <v>456</v>
      </c>
      <c r="D166" t="s">
        <v>645</v>
      </c>
      <c r="E166" t="s">
        <v>219</v>
      </c>
      <c r="F166" t="s">
        <v>218</v>
      </c>
      <c r="G166" t="s">
        <v>216</v>
      </c>
      <c r="H166" t="s">
        <v>19</v>
      </c>
      <c r="I166">
        <v>4</v>
      </c>
      <c r="J166">
        <v>4</v>
      </c>
    </row>
    <row r="167" spans="1:10" x14ac:dyDescent="0.25">
      <c r="A167" t="str">
        <f t="shared" si="4"/>
        <v>Disney + HotstarJhanak</v>
      </c>
      <c r="B167" t="s">
        <v>91</v>
      </c>
      <c r="C167" t="s">
        <v>456</v>
      </c>
      <c r="D167" t="s">
        <v>427</v>
      </c>
      <c r="E167" t="s">
        <v>219</v>
      </c>
      <c r="F167" t="s">
        <v>218</v>
      </c>
      <c r="G167" t="s">
        <v>216</v>
      </c>
      <c r="H167" t="s">
        <v>19</v>
      </c>
      <c r="I167">
        <v>2</v>
      </c>
      <c r="J167">
        <v>2</v>
      </c>
    </row>
    <row r="168" spans="1:10" x14ac:dyDescent="0.25">
      <c r="A168" t="str">
        <f t="shared" si="4"/>
        <v>Disney + HotstarMaati Se Bandhi Dor</v>
      </c>
      <c r="B168" t="s">
        <v>91</v>
      </c>
      <c r="C168" t="s">
        <v>456</v>
      </c>
      <c r="D168" t="s">
        <v>646</v>
      </c>
      <c r="E168" t="s">
        <v>219</v>
      </c>
      <c r="F168" t="s">
        <v>218</v>
      </c>
      <c r="G168" t="s">
        <v>216</v>
      </c>
      <c r="H168" t="s">
        <v>19</v>
      </c>
      <c r="I168">
        <v>8</v>
      </c>
      <c r="J168">
        <v>8</v>
      </c>
    </row>
    <row r="169" spans="1:10" x14ac:dyDescent="0.25">
      <c r="A169" t="str">
        <f t="shared" si="4"/>
        <v>Disney + HotstarMahabhart</v>
      </c>
      <c r="B169" t="s">
        <v>91</v>
      </c>
      <c r="C169" t="s">
        <v>456</v>
      </c>
      <c r="D169" t="s">
        <v>647</v>
      </c>
      <c r="E169" t="s">
        <v>219</v>
      </c>
      <c r="F169" t="s">
        <v>218</v>
      </c>
      <c r="G169" t="s">
        <v>216</v>
      </c>
      <c r="H169" t="s">
        <v>19</v>
      </c>
      <c r="I169">
        <v>1</v>
      </c>
      <c r="J169">
        <v>1</v>
      </c>
    </row>
    <row r="170" spans="1:10" x14ac:dyDescent="0.25">
      <c r="A170" t="str">
        <f t="shared" si="4"/>
        <v>Disney + HotstarUdne ki aasha</v>
      </c>
      <c r="B170" t="s">
        <v>91</v>
      </c>
      <c r="C170" t="s">
        <v>456</v>
      </c>
      <c r="D170" t="s">
        <v>648</v>
      </c>
      <c r="E170" t="s">
        <v>219</v>
      </c>
      <c r="F170" t="s">
        <v>218</v>
      </c>
      <c r="G170" t="s">
        <v>216</v>
      </c>
      <c r="H170" t="s">
        <v>19</v>
      </c>
      <c r="I170">
        <v>7</v>
      </c>
      <c r="J170">
        <v>7</v>
      </c>
    </row>
    <row r="171" spans="1:10" x14ac:dyDescent="0.25">
      <c r="A171" t="str">
        <f t="shared" si="4"/>
        <v>Disney + HotstarYeh rishta kya kehlata hai</v>
      </c>
      <c r="B171" t="s">
        <v>91</v>
      </c>
      <c r="C171" t="s">
        <v>456</v>
      </c>
      <c r="D171" t="s">
        <v>649</v>
      </c>
      <c r="E171" t="s">
        <v>219</v>
      </c>
      <c r="F171" t="s">
        <v>218</v>
      </c>
      <c r="G171" t="s">
        <v>216</v>
      </c>
      <c r="H171" t="s">
        <v>19</v>
      </c>
      <c r="I171">
        <v>5</v>
      </c>
      <c r="J171">
        <v>5</v>
      </c>
    </row>
    <row r="172" spans="1:10" x14ac:dyDescent="0.25">
      <c r="A172" t="str">
        <f t="shared" si="4"/>
        <v>Epic OnGangs of Wasseypur – 1</v>
      </c>
      <c r="B172" t="s">
        <v>94</v>
      </c>
      <c r="C172" t="s">
        <v>432</v>
      </c>
      <c r="D172" t="s">
        <v>650</v>
      </c>
      <c r="E172" t="s">
        <v>211</v>
      </c>
      <c r="F172" t="s">
        <v>458</v>
      </c>
      <c r="G172" t="s">
        <v>84</v>
      </c>
      <c r="H172" t="s">
        <v>19</v>
      </c>
      <c r="I172">
        <v>6</v>
      </c>
      <c r="J172">
        <v>6</v>
      </c>
    </row>
    <row r="173" spans="1:10" x14ac:dyDescent="0.25">
      <c r="A173" t="str">
        <f t="shared" si="4"/>
        <v>Epic OnGangs of Wasseypur – 2</v>
      </c>
      <c r="B173" t="s">
        <v>94</v>
      </c>
      <c r="C173" t="s">
        <v>432</v>
      </c>
      <c r="D173" t="s">
        <v>651</v>
      </c>
      <c r="E173" t="s">
        <v>211</v>
      </c>
      <c r="F173" t="s">
        <v>458</v>
      </c>
      <c r="G173" t="s">
        <v>84</v>
      </c>
      <c r="H173" t="s">
        <v>19</v>
      </c>
      <c r="I173">
        <v>1</v>
      </c>
      <c r="J173">
        <v>1</v>
      </c>
    </row>
    <row r="174" spans="1:10" x14ac:dyDescent="0.25">
      <c r="A174" t="str">
        <f t="shared" si="4"/>
        <v>Epic OnDahej Dasi</v>
      </c>
      <c r="B174" t="s">
        <v>94</v>
      </c>
      <c r="C174" t="s">
        <v>431</v>
      </c>
      <c r="D174" t="s">
        <v>652</v>
      </c>
      <c r="E174" t="s">
        <v>211</v>
      </c>
      <c r="F174" t="s">
        <v>457</v>
      </c>
      <c r="G174" t="s">
        <v>216</v>
      </c>
      <c r="H174" t="s">
        <v>19</v>
      </c>
      <c r="I174">
        <v>2</v>
      </c>
      <c r="J174">
        <v>2</v>
      </c>
    </row>
    <row r="175" spans="1:10" x14ac:dyDescent="0.25">
      <c r="A175" t="str">
        <f t="shared" si="4"/>
        <v>Epic OnDharmakshetra</v>
      </c>
      <c r="B175" t="s">
        <v>94</v>
      </c>
      <c r="C175" t="s">
        <v>431</v>
      </c>
      <c r="D175" t="s">
        <v>653</v>
      </c>
      <c r="E175" t="s">
        <v>211</v>
      </c>
      <c r="F175" t="s">
        <v>457</v>
      </c>
      <c r="G175" t="s">
        <v>496</v>
      </c>
      <c r="H175" t="s">
        <v>19</v>
      </c>
      <c r="I175">
        <v>8</v>
      </c>
      <c r="J175">
        <v>8</v>
      </c>
    </row>
    <row r="176" spans="1:10" x14ac:dyDescent="0.25">
      <c r="A176" t="str">
        <f t="shared" si="4"/>
        <v>Epic OnDhartiputra Nandini</v>
      </c>
      <c r="B176" t="s">
        <v>94</v>
      </c>
      <c r="C176" t="s">
        <v>431</v>
      </c>
      <c r="D176" t="s">
        <v>654</v>
      </c>
      <c r="E176" t="s">
        <v>211</v>
      </c>
      <c r="F176" t="s">
        <v>457</v>
      </c>
      <c r="G176" t="s">
        <v>216</v>
      </c>
      <c r="H176" t="s">
        <v>19</v>
      </c>
      <c r="I176">
        <v>3</v>
      </c>
      <c r="J176">
        <v>3</v>
      </c>
    </row>
    <row r="177" spans="1:10" x14ac:dyDescent="0.25">
      <c r="A177" t="str">
        <f t="shared" si="4"/>
        <v>Epic OnStories By Rabindranath Tagore</v>
      </c>
      <c r="B177" t="s">
        <v>94</v>
      </c>
      <c r="C177" t="s">
        <v>431</v>
      </c>
      <c r="D177" t="s">
        <v>655</v>
      </c>
      <c r="E177" t="s">
        <v>211</v>
      </c>
      <c r="F177" t="s">
        <v>457</v>
      </c>
      <c r="G177" t="s">
        <v>496</v>
      </c>
      <c r="H177" t="s">
        <v>19</v>
      </c>
      <c r="I177">
        <v>7</v>
      </c>
      <c r="J177">
        <v>7</v>
      </c>
    </row>
    <row r="178" spans="1:10" x14ac:dyDescent="0.25">
      <c r="A178" t="str">
        <f t="shared" si="4"/>
        <v>Epic OnTyohaar Ki Thaali</v>
      </c>
      <c r="B178" t="s">
        <v>94</v>
      </c>
      <c r="C178" t="s">
        <v>431</v>
      </c>
      <c r="D178" t="s">
        <v>656</v>
      </c>
      <c r="E178" t="s">
        <v>211</v>
      </c>
      <c r="F178" t="s">
        <v>457</v>
      </c>
      <c r="G178" t="s">
        <v>497</v>
      </c>
      <c r="H178" t="s">
        <v>19</v>
      </c>
      <c r="I178">
        <v>10</v>
      </c>
      <c r="J178">
        <v>10</v>
      </c>
    </row>
    <row r="179" spans="1:10" x14ac:dyDescent="0.25">
      <c r="A179" t="str">
        <f t="shared" si="4"/>
        <v>Epic OnBhagam Bhag</v>
      </c>
      <c r="B179" t="s">
        <v>94</v>
      </c>
      <c r="C179" t="s">
        <v>434</v>
      </c>
      <c r="D179" t="s">
        <v>657</v>
      </c>
      <c r="E179" t="s">
        <v>211</v>
      </c>
      <c r="F179" t="s">
        <v>458</v>
      </c>
      <c r="G179" t="s">
        <v>449</v>
      </c>
      <c r="H179" t="s">
        <v>19</v>
      </c>
      <c r="I179">
        <v>9</v>
      </c>
      <c r="J179">
        <v>9</v>
      </c>
    </row>
    <row r="180" spans="1:10" x14ac:dyDescent="0.25">
      <c r="A180" t="str">
        <f t="shared" si="4"/>
        <v>Epic OnPiku</v>
      </c>
      <c r="B180" t="s">
        <v>94</v>
      </c>
      <c r="C180" t="s">
        <v>434</v>
      </c>
      <c r="D180" t="s">
        <v>658</v>
      </c>
      <c r="E180" t="s">
        <v>211</v>
      </c>
      <c r="F180" t="s">
        <v>458</v>
      </c>
      <c r="G180" t="s">
        <v>216</v>
      </c>
      <c r="H180" t="s">
        <v>19</v>
      </c>
      <c r="I180">
        <v>4</v>
      </c>
      <c r="J180">
        <v>4</v>
      </c>
    </row>
    <row r="181" spans="1:10" x14ac:dyDescent="0.25">
      <c r="A181" t="str">
        <f t="shared" si="4"/>
        <v>Epic OnTe3N</v>
      </c>
      <c r="B181" t="s">
        <v>94</v>
      </c>
      <c r="C181" t="s">
        <v>434</v>
      </c>
      <c r="D181" t="s">
        <v>659</v>
      </c>
      <c r="E181" t="s">
        <v>211</v>
      </c>
      <c r="F181" t="s">
        <v>458</v>
      </c>
      <c r="G181" t="s">
        <v>286</v>
      </c>
      <c r="H181" t="s">
        <v>19</v>
      </c>
      <c r="I181">
        <v>5</v>
      </c>
      <c r="J181">
        <v>5</v>
      </c>
    </row>
    <row r="182" spans="1:10" x14ac:dyDescent="0.25">
      <c r="A182" t="str">
        <f t="shared" si="4"/>
        <v>Eros NowBaban</v>
      </c>
      <c r="B182" t="s">
        <v>98</v>
      </c>
      <c r="C182" t="s">
        <v>434</v>
      </c>
      <c r="D182" t="s">
        <v>660</v>
      </c>
      <c r="E182" t="s">
        <v>211</v>
      </c>
      <c r="F182" t="s">
        <v>458</v>
      </c>
      <c r="G182" t="s">
        <v>46</v>
      </c>
      <c r="H182" t="s">
        <v>29</v>
      </c>
      <c r="I182">
        <v>5</v>
      </c>
      <c r="J182">
        <v>5</v>
      </c>
    </row>
    <row r="183" spans="1:10" x14ac:dyDescent="0.25">
      <c r="A183" t="str">
        <f t="shared" si="4"/>
        <v>Eros NowBadlapur</v>
      </c>
      <c r="B183" t="s">
        <v>98</v>
      </c>
      <c r="C183" t="s">
        <v>434</v>
      </c>
      <c r="D183" t="s">
        <v>661</v>
      </c>
      <c r="E183" t="s">
        <v>211</v>
      </c>
      <c r="F183" t="s">
        <v>458</v>
      </c>
      <c r="G183" t="s">
        <v>87</v>
      </c>
      <c r="H183" t="s">
        <v>19</v>
      </c>
      <c r="I183">
        <v>6</v>
      </c>
      <c r="J183">
        <v>6</v>
      </c>
    </row>
    <row r="184" spans="1:10" x14ac:dyDescent="0.25">
      <c r="A184" t="str">
        <f t="shared" si="4"/>
        <v>Eros NowEnglish Vinglish</v>
      </c>
      <c r="B184" t="s">
        <v>98</v>
      </c>
      <c r="C184" t="s">
        <v>434</v>
      </c>
      <c r="D184" t="s">
        <v>662</v>
      </c>
      <c r="E184" t="s">
        <v>211</v>
      </c>
      <c r="F184" t="s">
        <v>458</v>
      </c>
      <c r="G184" t="s">
        <v>266</v>
      </c>
      <c r="H184" t="s">
        <v>19</v>
      </c>
      <c r="I184">
        <v>3</v>
      </c>
      <c r="J184">
        <v>3</v>
      </c>
    </row>
    <row r="185" spans="1:10" x14ac:dyDescent="0.25">
      <c r="A185" t="str">
        <f t="shared" si="4"/>
        <v>Eros NowHaathi Mere Saathi</v>
      </c>
      <c r="B185" t="s">
        <v>98</v>
      </c>
      <c r="C185" t="s">
        <v>434</v>
      </c>
      <c r="D185" t="s">
        <v>663</v>
      </c>
      <c r="E185" t="s">
        <v>211</v>
      </c>
      <c r="F185" t="s">
        <v>458</v>
      </c>
      <c r="G185" t="s">
        <v>92</v>
      </c>
      <c r="H185" t="s">
        <v>19</v>
      </c>
      <c r="I185">
        <v>1</v>
      </c>
      <c r="J185">
        <v>1</v>
      </c>
    </row>
    <row r="186" spans="1:10" x14ac:dyDescent="0.25">
      <c r="A186" t="str">
        <f t="shared" si="4"/>
        <v>Eros NowLove aaj Kal</v>
      </c>
      <c r="B186" t="s">
        <v>98</v>
      </c>
      <c r="C186" t="s">
        <v>434</v>
      </c>
      <c r="D186" t="s">
        <v>664</v>
      </c>
      <c r="E186" t="s">
        <v>211</v>
      </c>
      <c r="F186" t="s">
        <v>458</v>
      </c>
      <c r="G186" t="s">
        <v>172</v>
      </c>
      <c r="H186" t="s">
        <v>19</v>
      </c>
      <c r="I186">
        <v>9</v>
      </c>
      <c r="J186">
        <v>9</v>
      </c>
    </row>
    <row r="187" spans="1:10" x14ac:dyDescent="0.25">
      <c r="A187" t="str">
        <f t="shared" si="4"/>
        <v>Eros NowProvoked</v>
      </c>
      <c r="B187" t="s">
        <v>98</v>
      </c>
      <c r="C187" t="s">
        <v>434</v>
      </c>
      <c r="D187" t="s">
        <v>665</v>
      </c>
      <c r="E187" t="s">
        <v>211</v>
      </c>
      <c r="F187" t="s">
        <v>458</v>
      </c>
      <c r="G187" t="s">
        <v>170</v>
      </c>
      <c r="H187" t="s">
        <v>19</v>
      </c>
      <c r="I187">
        <v>4</v>
      </c>
      <c r="J187">
        <v>4</v>
      </c>
    </row>
    <row r="188" spans="1:10" x14ac:dyDescent="0.25">
      <c r="A188" t="str">
        <f t="shared" si="4"/>
        <v>Eros NowRam-Leela</v>
      </c>
      <c r="B188" t="s">
        <v>98</v>
      </c>
      <c r="C188" t="s">
        <v>434</v>
      </c>
      <c r="D188" t="s">
        <v>666</v>
      </c>
      <c r="E188" t="s">
        <v>211</v>
      </c>
      <c r="F188" t="s">
        <v>458</v>
      </c>
      <c r="G188" t="s">
        <v>172</v>
      </c>
      <c r="H188" t="s">
        <v>19</v>
      </c>
      <c r="I188">
        <v>10</v>
      </c>
      <c r="J188">
        <v>10</v>
      </c>
    </row>
    <row r="189" spans="1:10" x14ac:dyDescent="0.25">
      <c r="A189" t="str">
        <f t="shared" si="4"/>
        <v>Eros NowSanam Teri Kasam</v>
      </c>
      <c r="B189" t="s">
        <v>98</v>
      </c>
      <c r="C189" t="s">
        <v>434</v>
      </c>
      <c r="D189" t="s">
        <v>667</v>
      </c>
      <c r="E189" t="s">
        <v>211</v>
      </c>
      <c r="F189" t="s">
        <v>458</v>
      </c>
      <c r="G189" t="s">
        <v>172</v>
      </c>
      <c r="H189" t="s">
        <v>19</v>
      </c>
      <c r="I189">
        <v>2</v>
      </c>
      <c r="J189">
        <v>2</v>
      </c>
    </row>
    <row r="190" spans="1:10" x14ac:dyDescent="0.25">
      <c r="A190" t="str">
        <f t="shared" si="4"/>
        <v>Eros NowShubh Mangal Saavdhan</v>
      </c>
      <c r="B190" t="s">
        <v>98</v>
      </c>
      <c r="C190" t="s">
        <v>434</v>
      </c>
      <c r="D190" t="s">
        <v>668</v>
      </c>
      <c r="E190" t="s">
        <v>211</v>
      </c>
      <c r="F190" t="s">
        <v>458</v>
      </c>
      <c r="G190" t="s">
        <v>154</v>
      </c>
      <c r="H190" t="s">
        <v>19</v>
      </c>
      <c r="I190">
        <v>8</v>
      </c>
      <c r="J190">
        <v>8</v>
      </c>
    </row>
    <row r="191" spans="1:10" x14ac:dyDescent="0.25">
      <c r="A191" t="str">
        <f t="shared" si="4"/>
        <v>Eros NowThe attack of 26/11</v>
      </c>
      <c r="B191" t="s">
        <v>98</v>
      </c>
      <c r="C191" t="s">
        <v>434</v>
      </c>
      <c r="D191" t="s">
        <v>669</v>
      </c>
      <c r="E191" t="s">
        <v>211</v>
      </c>
      <c r="F191" t="s">
        <v>458</v>
      </c>
      <c r="G191" t="s">
        <v>84</v>
      </c>
      <c r="H191" t="s">
        <v>19</v>
      </c>
      <c r="I191">
        <v>7</v>
      </c>
      <c r="J191">
        <v>7</v>
      </c>
    </row>
    <row r="192" spans="1:10" x14ac:dyDescent="0.25">
      <c r="A192" t="str">
        <f t="shared" si="4"/>
        <v>Etv Win#Krishna Rama</v>
      </c>
      <c r="B192" t="s">
        <v>100</v>
      </c>
      <c r="C192" t="s">
        <v>432</v>
      </c>
      <c r="D192" t="s">
        <v>670</v>
      </c>
      <c r="E192" t="s">
        <v>211</v>
      </c>
      <c r="F192" t="s">
        <v>458</v>
      </c>
      <c r="G192" t="s">
        <v>216</v>
      </c>
      <c r="H192" t="s">
        <v>23</v>
      </c>
      <c r="I192">
        <v>9</v>
      </c>
      <c r="J192">
        <v>9</v>
      </c>
    </row>
    <row r="193" spans="1:10" x14ac:dyDescent="0.25">
      <c r="A193" t="str">
        <f t="shared" si="4"/>
        <v>Etv WinRTI</v>
      </c>
      <c r="B193" t="s">
        <v>100</v>
      </c>
      <c r="C193" t="s">
        <v>432</v>
      </c>
      <c r="D193" t="s">
        <v>671</v>
      </c>
      <c r="E193" t="s">
        <v>211</v>
      </c>
      <c r="F193" t="s">
        <v>458</v>
      </c>
      <c r="G193" t="s">
        <v>178</v>
      </c>
      <c r="H193" t="s">
        <v>23</v>
      </c>
      <c r="I193">
        <v>10</v>
      </c>
      <c r="J193">
        <v>10</v>
      </c>
    </row>
    <row r="194" spans="1:10" x14ac:dyDescent="0.25">
      <c r="A194" t="str">
        <f t="shared" ref="A194:A257" si="5">B194&amp;D194</f>
        <v>Etv WinVeeranjaneyulu Viharayatra</v>
      </c>
      <c r="B194" t="s">
        <v>100</v>
      </c>
      <c r="C194" t="s">
        <v>432</v>
      </c>
      <c r="D194" t="s">
        <v>672</v>
      </c>
      <c r="E194" t="s">
        <v>211</v>
      </c>
      <c r="F194" t="s">
        <v>458</v>
      </c>
      <c r="G194" t="s">
        <v>124</v>
      </c>
      <c r="H194" t="s">
        <v>23</v>
      </c>
      <c r="I194">
        <v>5</v>
      </c>
      <c r="J194">
        <v>5</v>
      </c>
    </row>
    <row r="195" spans="1:10" x14ac:dyDescent="0.25">
      <c r="A195" t="str">
        <f t="shared" si="5"/>
        <v>Etv WinBhale Unnade</v>
      </c>
      <c r="B195" t="s">
        <v>100</v>
      </c>
      <c r="C195" t="s">
        <v>434</v>
      </c>
      <c r="D195" t="s">
        <v>673</v>
      </c>
      <c r="E195" t="s">
        <v>211</v>
      </c>
      <c r="F195" t="s">
        <v>458</v>
      </c>
      <c r="G195" t="s">
        <v>124</v>
      </c>
      <c r="H195" t="s">
        <v>23</v>
      </c>
      <c r="I195">
        <v>1</v>
      </c>
      <c r="J195">
        <v>1</v>
      </c>
    </row>
    <row r="196" spans="1:10" x14ac:dyDescent="0.25">
      <c r="A196" t="str">
        <f t="shared" si="5"/>
        <v>Etv WinCommittee Kurrollu</v>
      </c>
      <c r="B196" t="s">
        <v>100</v>
      </c>
      <c r="C196" t="s">
        <v>434</v>
      </c>
      <c r="D196" t="s">
        <v>674</v>
      </c>
      <c r="E196" t="s">
        <v>211</v>
      </c>
      <c r="F196" t="s">
        <v>458</v>
      </c>
      <c r="G196" t="s">
        <v>216</v>
      </c>
      <c r="H196" t="s">
        <v>23</v>
      </c>
      <c r="I196">
        <v>2</v>
      </c>
      <c r="J196">
        <v>2</v>
      </c>
    </row>
    <row r="197" spans="1:10" x14ac:dyDescent="0.25">
      <c r="A197" t="str">
        <f t="shared" si="5"/>
        <v>Etv WinManasantha Nuvve</v>
      </c>
      <c r="B197" t="s">
        <v>100</v>
      </c>
      <c r="C197" t="s">
        <v>434</v>
      </c>
      <c r="D197" t="s">
        <v>675</v>
      </c>
      <c r="E197" t="s">
        <v>211</v>
      </c>
      <c r="F197" t="s">
        <v>458</v>
      </c>
      <c r="G197" t="s">
        <v>172</v>
      </c>
      <c r="H197" t="s">
        <v>23</v>
      </c>
      <c r="I197">
        <v>8</v>
      </c>
      <c r="J197">
        <v>8</v>
      </c>
    </row>
    <row r="198" spans="1:10" x14ac:dyDescent="0.25">
      <c r="A198" t="str">
        <f t="shared" si="5"/>
        <v>Etv WinMusic Shop Murthy</v>
      </c>
      <c r="B198" t="s">
        <v>100</v>
      </c>
      <c r="C198" t="s">
        <v>434</v>
      </c>
      <c r="D198" t="s">
        <v>676</v>
      </c>
      <c r="E198" t="s">
        <v>211</v>
      </c>
      <c r="F198" t="s">
        <v>458</v>
      </c>
      <c r="G198" t="s">
        <v>310</v>
      </c>
      <c r="H198" t="s">
        <v>23</v>
      </c>
      <c r="I198">
        <v>7</v>
      </c>
      <c r="J198">
        <v>7</v>
      </c>
    </row>
    <row r="199" spans="1:10" x14ac:dyDescent="0.25">
      <c r="A199" t="str">
        <f t="shared" si="5"/>
        <v>Etv WinPekamedalu</v>
      </c>
      <c r="B199" t="s">
        <v>100</v>
      </c>
      <c r="C199" t="s">
        <v>434</v>
      </c>
      <c r="D199" t="s">
        <v>677</v>
      </c>
      <c r="E199" t="s">
        <v>211</v>
      </c>
      <c r="F199" t="s">
        <v>458</v>
      </c>
      <c r="G199" t="s">
        <v>216</v>
      </c>
      <c r="H199" t="s">
        <v>23</v>
      </c>
      <c r="I199">
        <v>6</v>
      </c>
      <c r="J199">
        <v>6</v>
      </c>
    </row>
    <row r="200" spans="1:10" x14ac:dyDescent="0.25">
      <c r="A200" t="str">
        <f t="shared" si="5"/>
        <v>Etv WinRangula Ratnam</v>
      </c>
      <c r="B200" t="s">
        <v>100</v>
      </c>
      <c r="C200" t="s">
        <v>434</v>
      </c>
      <c r="D200" t="s">
        <v>678</v>
      </c>
      <c r="E200" t="s">
        <v>211</v>
      </c>
      <c r="F200" t="s">
        <v>458</v>
      </c>
      <c r="G200" t="s">
        <v>279</v>
      </c>
      <c r="H200" t="s">
        <v>23</v>
      </c>
      <c r="I200">
        <v>4</v>
      </c>
      <c r="J200">
        <v>4</v>
      </c>
    </row>
    <row r="201" spans="1:10" x14ac:dyDescent="0.25">
      <c r="A201" t="str">
        <f t="shared" si="5"/>
        <v>Etv WinShades of Baby Pink</v>
      </c>
      <c r="B201" t="s">
        <v>100</v>
      </c>
      <c r="C201" t="s">
        <v>434</v>
      </c>
      <c r="D201" t="s">
        <v>679</v>
      </c>
      <c r="E201" t="s">
        <v>211</v>
      </c>
      <c r="F201" t="s">
        <v>458</v>
      </c>
      <c r="G201" t="s">
        <v>216</v>
      </c>
      <c r="H201" t="s">
        <v>23</v>
      </c>
      <c r="I201">
        <v>3</v>
      </c>
      <c r="J201">
        <v>3</v>
      </c>
    </row>
    <row r="202" spans="1:10" x14ac:dyDescent="0.25">
      <c r="A202" t="str">
        <f t="shared" si="5"/>
        <v>HoichoiCockpit</v>
      </c>
      <c r="B202" t="s">
        <v>104</v>
      </c>
      <c r="C202" t="s">
        <v>432</v>
      </c>
      <c r="D202" t="s">
        <v>680</v>
      </c>
      <c r="E202" t="s">
        <v>211</v>
      </c>
      <c r="F202" t="s">
        <v>458</v>
      </c>
      <c r="G202" t="s">
        <v>196</v>
      </c>
      <c r="H202" t="s">
        <v>33</v>
      </c>
      <c r="I202">
        <v>4</v>
      </c>
      <c r="J202">
        <v>4</v>
      </c>
    </row>
    <row r="203" spans="1:10" x14ac:dyDescent="0.25">
      <c r="A203" t="str">
        <f t="shared" si="5"/>
        <v>HoichoiGhawre Bairey Aaj</v>
      </c>
      <c r="B203" t="s">
        <v>104</v>
      </c>
      <c r="C203" t="s">
        <v>432</v>
      </c>
      <c r="D203" t="s">
        <v>681</v>
      </c>
      <c r="E203" t="s">
        <v>211</v>
      </c>
      <c r="F203" t="s">
        <v>458</v>
      </c>
      <c r="G203" t="s">
        <v>216</v>
      </c>
      <c r="H203" t="s">
        <v>33</v>
      </c>
      <c r="I203">
        <v>8</v>
      </c>
      <c r="J203">
        <v>8</v>
      </c>
    </row>
    <row r="204" spans="1:10" x14ac:dyDescent="0.25">
      <c r="A204" t="str">
        <f t="shared" si="5"/>
        <v>HoichoiHawa Bodol</v>
      </c>
      <c r="B204" t="s">
        <v>104</v>
      </c>
      <c r="C204" t="s">
        <v>432</v>
      </c>
      <c r="D204" t="s">
        <v>682</v>
      </c>
      <c r="E204" t="s">
        <v>211</v>
      </c>
      <c r="F204" t="s">
        <v>458</v>
      </c>
      <c r="G204" t="s">
        <v>124</v>
      </c>
      <c r="H204" t="s">
        <v>33</v>
      </c>
      <c r="I204">
        <v>3</v>
      </c>
      <c r="J204">
        <v>3</v>
      </c>
    </row>
    <row r="205" spans="1:10" x14ac:dyDescent="0.25">
      <c r="A205" t="str">
        <f t="shared" si="5"/>
        <v>HoichoiBonyo Premer Golpo</v>
      </c>
      <c r="B205" t="s">
        <v>104</v>
      </c>
      <c r="C205" t="s">
        <v>431</v>
      </c>
      <c r="D205" t="s">
        <v>683</v>
      </c>
      <c r="E205" t="s">
        <v>211</v>
      </c>
      <c r="F205" t="s">
        <v>457</v>
      </c>
      <c r="G205" t="s">
        <v>168</v>
      </c>
      <c r="H205" t="s">
        <v>33</v>
      </c>
      <c r="I205">
        <v>1</v>
      </c>
      <c r="J205">
        <v>1</v>
      </c>
    </row>
    <row r="206" spans="1:10" x14ac:dyDescent="0.25">
      <c r="A206" t="str">
        <f t="shared" si="5"/>
        <v>HoichoiDugdugi</v>
      </c>
      <c r="B206" t="s">
        <v>104</v>
      </c>
      <c r="C206" t="s">
        <v>431</v>
      </c>
      <c r="D206" t="s">
        <v>684</v>
      </c>
      <c r="E206" t="s">
        <v>211</v>
      </c>
      <c r="F206" t="s">
        <v>457</v>
      </c>
      <c r="G206" t="s">
        <v>138</v>
      </c>
      <c r="H206" t="s">
        <v>33</v>
      </c>
      <c r="I206">
        <v>7</v>
      </c>
      <c r="J206">
        <v>7</v>
      </c>
    </row>
    <row r="207" spans="1:10" x14ac:dyDescent="0.25">
      <c r="A207" t="str">
        <f t="shared" si="5"/>
        <v>HoichoiHello!</v>
      </c>
      <c r="B207" t="s">
        <v>104</v>
      </c>
      <c r="C207" t="s">
        <v>431</v>
      </c>
      <c r="D207" t="s">
        <v>685</v>
      </c>
      <c r="E207" t="s">
        <v>211</v>
      </c>
      <c r="F207" t="s">
        <v>457</v>
      </c>
      <c r="G207" t="s">
        <v>173</v>
      </c>
      <c r="H207" t="s">
        <v>33</v>
      </c>
      <c r="I207">
        <v>5</v>
      </c>
      <c r="J207">
        <v>5</v>
      </c>
    </row>
    <row r="208" spans="1:10" x14ac:dyDescent="0.25">
      <c r="A208" t="str">
        <f t="shared" si="5"/>
        <v>HoichoiRahasya Romancha Series</v>
      </c>
      <c r="B208" t="s">
        <v>104</v>
      </c>
      <c r="C208" t="s">
        <v>431</v>
      </c>
      <c r="D208" t="s">
        <v>686</v>
      </c>
      <c r="E208" t="s">
        <v>211</v>
      </c>
      <c r="F208" t="s">
        <v>457</v>
      </c>
      <c r="G208" t="s">
        <v>168</v>
      </c>
      <c r="H208" t="s">
        <v>33</v>
      </c>
      <c r="I208">
        <v>2</v>
      </c>
      <c r="J208">
        <v>2</v>
      </c>
    </row>
    <row r="209" spans="1:10" x14ac:dyDescent="0.25">
      <c r="A209" t="str">
        <f t="shared" si="5"/>
        <v>HoichoiShei Je Holud Pakhi</v>
      </c>
      <c r="B209" t="s">
        <v>104</v>
      </c>
      <c r="C209" t="s">
        <v>431</v>
      </c>
      <c r="D209" t="s">
        <v>687</v>
      </c>
      <c r="E209" t="s">
        <v>211</v>
      </c>
      <c r="F209" t="s">
        <v>457</v>
      </c>
      <c r="G209" t="s">
        <v>168</v>
      </c>
      <c r="H209" t="s">
        <v>33</v>
      </c>
      <c r="I209">
        <v>10</v>
      </c>
      <c r="J209">
        <v>10</v>
      </c>
    </row>
    <row r="210" spans="1:10" x14ac:dyDescent="0.25">
      <c r="A210" t="str">
        <f t="shared" si="5"/>
        <v>HoichoiBabar Naam Gandhiji</v>
      </c>
      <c r="B210" t="s">
        <v>104</v>
      </c>
      <c r="C210" t="s">
        <v>434</v>
      </c>
      <c r="D210" t="s">
        <v>688</v>
      </c>
      <c r="E210" t="s">
        <v>211</v>
      </c>
      <c r="F210" t="s">
        <v>458</v>
      </c>
      <c r="G210" t="s">
        <v>216</v>
      </c>
      <c r="H210" t="s">
        <v>33</v>
      </c>
      <c r="I210">
        <v>6</v>
      </c>
      <c r="J210">
        <v>6</v>
      </c>
    </row>
    <row r="211" spans="1:10" x14ac:dyDescent="0.25">
      <c r="A211" t="str">
        <f t="shared" si="5"/>
        <v>HoichoiBuro Sadhu</v>
      </c>
      <c r="B211" t="s">
        <v>104</v>
      </c>
      <c r="C211" t="s">
        <v>434</v>
      </c>
      <c r="D211" t="s">
        <v>689</v>
      </c>
      <c r="E211" t="s">
        <v>211</v>
      </c>
      <c r="F211" t="s">
        <v>458</v>
      </c>
      <c r="G211" t="s">
        <v>216</v>
      </c>
      <c r="H211" t="s">
        <v>33</v>
      </c>
      <c r="I211">
        <v>9</v>
      </c>
      <c r="J211">
        <v>9</v>
      </c>
    </row>
    <row r="212" spans="1:10" x14ac:dyDescent="0.25">
      <c r="A212" t="str">
        <f t="shared" si="5"/>
        <v>Jio CinemaDus June Ki Raat: Chapter 2</v>
      </c>
      <c r="B212" t="s">
        <v>109</v>
      </c>
      <c r="C212" t="s">
        <v>432</v>
      </c>
      <c r="D212" t="s">
        <v>352</v>
      </c>
      <c r="E212" t="s">
        <v>219</v>
      </c>
      <c r="F212" t="s">
        <v>458</v>
      </c>
      <c r="G212" t="s">
        <v>138</v>
      </c>
      <c r="H212" t="s">
        <v>19</v>
      </c>
      <c r="I212">
        <v>7</v>
      </c>
      <c r="J212">
        <v>7</v>
      </c>
    </row>
    <row r="213" spans="1:10" x14ac:dyDescent="0.25">
      <c r="A213" t="str">
        <f t="shared" si="5"/>
        <v>Jio CinemaBigg Boss</v>
      </c>
      <c r="B213" t="s">
        <v>109</v>
      </c>
      <c r="C213" t="s">
        <v>431</v>
      </c>
      <c r="D213" t="s">
        <v>289</v>
      </c>
      <c r="E213" t="s">
        <v>219</v>
      </c>
      <c r="F213" t="s">
        <v>457</v>
      </c>
      <c r="G213" t="s">
        <v>180</v>
      </c>
      <c r="H213" t="s">
        <v>19</v>
      </c>
      <c r="I213">
        <v>1</v>
      </c>
      <c r="J213">
        <v>1</v>
      </c>
    </row>
    <row r="214" spans="1:10" x14ac:dyDescent="0.25">
      <c r="A214" t="str">
        <f t="shared" si="5"/>
        <v>Jio CinemaBigg Boss Kannada</v>
      </c>
      <c r="B214" t="s">
        <v>109</v>
      </c>
      <c r="C214" t="s">
        <v>431</v>
      </c>
      <c r="D214" t="s">
        <v>314</v>
      </c>
      <c r="E214" t="s">
        <v>219</v>
      </c>
      <c r="F214" t="s">
        <v>457</v>
      </c>
      <c r="G214" t="s">
        <v>180</v>
      </c>
      <c r="H214" t="s">
        <v>25</v>
      </c>
      <c r="I214">
        <v>2</v>
      </c>
      <c r="J214">
        <v>2</v>
      </c>
    </row>
    <row r="215" spans="1:10" x14ac:dyDescent="0.25">
      <c r="A215" t="str">
        <f t="shared" si="5"/>
        <v>Jio CinemaBigg Boss Ott</v>
      </c>
      <c r="B215" t="s">
        <v>109</v>
      </c>
      <c r="C215" t="s">
        <v>431</v>
      </c>
      <c r="D215" t="s">
        <v>690</v>
      </c>
      <c r="E215" t="s">
        <v>219</v>
      </c>
      <c r="F215" t="s">
        <v>457</v>
      </c>
      <c r="G215" t="s">
        <v>180</v>
      </c>
      <c r="H215" t="s">
        <v>19</v>
      </c>
      <c r="I215">
        <v>5</v>
      </c>
      <c r="J215">
        <v>5</v>
      </c>
    </row>
    <row r="216" spans="1:10" x14ac:dyDescent="0.25">
      <c r="A216" t="str">
        <f t="shared" si="5"/>
        <v>Jio CinemaGame of Thrones</v>
      </c>
      <c r="B216" t="s">
        <v>109</v>
      </c>
      <c r="C216" t="s">
        <v>431</v>
      </c>
      <c r="D216" t="s">
        <v>362</v>
      </c>
      <c r="E216" t="s">
        <v>211</v>
      </c>
      <c r="F216" t="s">
        <v>457</v>
      </c>
      <c r="G216" t="s">
        <v>66</v>
      </c>
      <c r="H216" t="s">
        <v>378</v>
      </c>
      <c r="I216">
        <v>8.8000000000000007</v>
      </c>
      <c r="J216">
        <v>9</v>
      </c>
    </row>
    <row r="217" spans="1:10" x14ac:dyDescent="0.25">
      <c r="A217" t="str">
        <f t="shared" si="5"/>
        <v>Jio CinemaHustle 4</v>
      </c>
      <c r="B217" t="s">
        <v>109</v>
      </c>
      <c r="C217" t="s">
        <v>431</v>
      </c>
      <c r="D217" t="s">
        <v>330</v>
      </c>
      <c r="E217" t="s">
        <v>219</v>
      </c>
      <c r="F217" t="s">
        <v>457</v>
      </c>
      <c r="G217" t="s">
        <v>180</v>
      </c>
      <c r="H217" t="s">
        <v>19</v>
      </c>
      <c r="I217">
        <v>4</v>
      </c>
      <c r="J217">
        <v>4</v>
      </c>
    </row>
    <row r="218" spans="1:10" x14ac:dyDescent="0.25">
      <c r="A218" t="str">
        <f t="shared" si="5"/>
        <v>Jio CinemaThe Magic of Shiri</v>
      </c>
      <c r="B218" t="s">
        <v>109</v>
      </c>
      <c r="C218" t="s">
        <v>431</v>
      </c>
      <c r="D218" t="s">
        <v>412</v>
      </c>
      <c r="E218" t="s">
        <v>211</v>
      </c>
      <c r="F218" t="s">
        <v>457</v>
      </c>
      <c r="G218" t="s">
        <v>138</v>
      </c>
      <c r="H218" t="s">
        <v>19</v>
      </c>
      <c r="I218">
        <v>10</v>
      </c>
      <c r="J218">
        <v>10</v>
      </c>
    </row>
    <row r="219" spans="1:10" x14ac:dyDescent="0.25">
      <c r="A219" t="str">
        <f t="shared" si="5"/>
        <v>Jio CinemaAranmanai 4</v>
      </c>
      <c r="B219" t="s">
        <v>109</v>
      </c>
      <c r="C219" t="s">
        <v>434</v>
      </c>
      <c r="D219" t="s">
        <v>288</v>
      </c>
      <c r="E219" t="s">
        <v>219</v>
      </c>
      <c r="F219" t="s">
        <v>458</v>
      </c>
      <c r="G219" t="s">
        <v>333</v>
      </c>
      <c r="H219" t="s">
        <v>19</v>
      </c>
      <c r="I219">
        <v>6.6</v>
      </c>
      <c r="J219">
        <v>7</v>
      </c>
    </row>
    <row r="220" spans="1:10" x14ac:dyDescent="0.25">
      <c r="A220" t="str">
        <f t="shared" si="5"/>
        <v>Jio CinemaDespicable Me 4</v>
      </c>
      <c r="B220" t="s">
        <v>109</v>
      </c>
      <c r="C220" t="s">
        <v>434</v>
      </c>
      <c r="D220" t="s">
        <v>691</v>
      </c>
      <c r="E220" t="s">
        <v>211</v>
      </c>
      <c r="F220" t="s">
        <v>458</v>
      </c>
      <c r="G220" t="s">
        <v>484</v>
      </c>
      <c r="H220" t="s">
        <v>464</v>
      </c>
      <c r="I220">
        <v>8</v>
      </c>
      <c r="J220">
        <v>8</v>
      </c>
    </row>
    <row r="221" spans="1:10" x14ac:dyDescent="0.25">
      <c r="A221" t="str">
        <f t="shared" si="5"/>
        <v>Jio CinemaDouble ismart</v>
      </c>
      <c r="B221" t="s">
        <v>109</v>
      </c>
      <c r="C221" t="s">
        <v>434</v>
      </c>
      <c r="D221" t="s">
        <v>692</v>
      </c>
      <c r="E221" t="s">
        <v>219</v>
      </c>
      <c r="F221" t="s">
        <v>458</v>
      </c>
      <c r="G221" t="s">
        <v>103</v>
      </c>
      <c r="H221" t="s">
        <v>19</v>
      </c>
      <c r="I221">
        <v>6</v>
      </c>
      <c r="J221">
        <v>6</v>
      </c>
    </row>
    <row r="222" spans="1:10" x14ac:dyDescent="0.25">
      <c r="A222" t="str">
        <f t="shared" si="5"/>
        <v>Jio CinemaFuriosa A Mad Max Saga</v>
      </c>
      <c r="B222" t="s">
        <v>109</v>
      </c>
      <c r="C222" t="s">
        <v>434</v>
      </c>
      <c r="D222" t="s">
        <v>363</v>
      </c>
      <c r="E222" t="s">
        <v>211</v>
      </c>
      <c r="F222" t="s">
        <v>458</v>
      </c>
      <c r="G222" t="s">
        <v>293</v>
      </c>
      <c r="H222" t="s">
        <v>465</v>
      </c>
      <c r="I222">
        <v>10</v>
      </c>
      <c r="J222">
        <v>10</v>
      </c>
    </row>
    <row r="223" spans="1:10" x14ac:dyDescent="0.25">
      <c r="A223" t="str">
        <f t="shared" si="5"/>
        <v>Jio CinemaSangathamizhan</v>
      </c>
      <c r="B223" t="s">
        <v>109</v>
      </c>
      <c r="C223" t="s">
        <v>434</v>
      </c>
      <c r="D223" t="s">
        <v>693</v>
      </c>
      <c r="E223" t="s">
        <v>219</v>
      </c>
      <c r="F223" t="s">
        <v>458</v>
      </c>
      <c r="G223" t="s">
        <v>46</v>
      </c>
      <c r="H223" t="s">
        <v>19</v>
      </c>
      <c r="I223">
        <v>3</v>
      </c>
      <c r="J223">
        <v>3</v>
      </c>
    </row>
    <row r="224" spans="1:10" x14ac:dyDescent="0.25">
      <c r="A224" t="str">
        <f t="shared" si="5"/>
        <v>Jio CinemaSecret Agent</v>
      </c>
      <c r="B224" t="s">
        <v>109</v>
      </c>
      <c r="C224" t="s">
        <v>434</v>
      </c>
      <c r="D224" t="s">
        <v>361</v>
      </c>
      <c r="E224" t="s">
        <v>219</v>
      </c>
      <c r="F224" t="s">
        <v>458</v>
      </c>
      <c r="G224" t="s">
        <v>46</v>
      </c>
      <c r="H224" t="s">
        <v>19</v>
      </c>
      <c r="I224">
        <v>3</v>
      </c>
      <c r="J224">
        <v>3</v>
      </c>
    </row>
    <row r="225" spans="1:10" x14ac:dyDescent="0.25">
      <c r="A225" t="str">
        <f t="shared" si="5"/>
        <v>Jio CinemaSingham Returns</v>
      </c>
      <c r="B225" t="s">
        <v>109</v>
      </c>
      <c r="C225" t="s">
        <v>434</v>
      </c>
      <c r="D225" t="s">
        <v>404</v>
      </c>
      <c r="E225" t="s">
        <v>219</v>
      </c>
      <c r="F225" t="s">
        <v>458</v>
      </c>
      <c r="G225" t="s">
        <v>87</v>
      </c>
      <c r="H225" t="s">
        <v>19</v>
      </c>
      <c r="I225">
        <v>9</v>
      </c>
      <c r="J225">
        <v>9</v>
      </c>
    </row>
    <row r="226" spans="1:10" x14ac:dyDescent="0.25">
      <c r="A226" t="str">
        <f t="shared" si="5"/>
        <v>Jio CinemaVenom</v>
      </c>
      <c r="B226" t="s">
        <v>109</v>
      </c>
      <c r="C226" t="s">
        <v>434</v>
      </c>
      <c r="D226" t="s">
        <v>360</v>
      </c>
      <c r="E226" t="s">
        <v>219</v>
      </c>
      <c r="F226" t="s">
        <v>458</v>
      </c>
      <c r="G226" t="s">
        <v>498</v>
      </c>
      <c r="H226" t="s">
        <v>19</v>
      </c>
      <c r="I226">
        <v>6</v>
      </c>
      <c r="J226">
        <v>6</v>
      </c>
    </row>
    <row r="227" spans="1:10" x14ac:dyDescent="0.25">
      <c r="A227" t="str">
        <f t="shared" si="5"/>
        <v>Jio CinemaDurga atoot prem kahani</v>
      </c>
      <c r="B227" t="s">
        <v>109</v>
      </c>
      <c r="C227" t="s">
        <v>456</v>
      </c>
      <c r="D227" t="s">
        <v>694</v>
      </c>
      <c r="E227" t="s">
        <v>219</v>
      </c>
      <c r="F227" t="s">
        <v>218</v>
      </c>
      <c r="G227" t="s">
        <v>216</v>
      </c>
      <c r="H227" t="s">
        <v>19</v>
      </c>
      <c r="I227">
        <v>5</v>
      </c>
      <c r="J227">
        <v>5</v>
      </c>
    </row>
    <row r="228" spans="1:10" x14ac:dyDescent="0.25">
      <c r="A228" t="str">
        <f t="shared" si="5"/>
        <v>Jio CinemaMangal lakshmi</v>
      </c>
      <c r="B228" t="s">
        <v>109</v>
      </c>
      <c r="C228" t="s">
        <v>456</v>
      </c>
      <c r="D228" t="s">
        <v>695</v>
      </c>
      <c r="E228" t="s">
        <v>219</v>
      </c>
      <c r="F228" t="s">
        <v>218</v>
      </c>
      <c r="G228" t="s">
        <v>216</v>
      </c>
      <c r="H228" t="s">
        <v>19</v>
      </c>
      <c r="I228">
        <v>1</v>
      </c>
      <c r="J228">
        <v>1</v>
      </c>
    </row>
    <row r="229" spans="1:10" x14ac:dyDescent="0.25">
      <c r="A229" t="str">
        <f t="shared" si="5"/>
        <v>Jio CinemaMegha barsenge</v>
      </c>
      <c r="B229" t="s">
        <v>109</v>
      </c>
      <c r="C229" t="s">
        <v>456</v>
      </c>
      <c r="D229" t="s">
        <v>696</v>
      </c>
      <c r="E229" t="s">
        <v>219</v>
      </c>
      <c r="F229" t="s">
        <v>218</v>
      </c>
      <c r="G229" t="s">
        <v>216</v>
      </c>
      <c r="H229" t="s">
        <v>19</v>
      </c>
      <c r="I229">
        <v>6</v>
      </c>
      <c r="J229">
        <v>6</v>
      </c>
    </row>
    <row r="230" spans="1:10" x14ac:dyDescent="0.25">
      <c r="A230" t="str">
        <f t="shared" si="5"/>
        <v>Jio CinemaMera balam thanedar</v>
      </c>
      <c r="B230" t="s">
        <v>109</v>
      </c>
      <c r="C230" t="s">
        <v>456</v>
      </c>
      <c r="D230" t="s">
        <v>697</v>
      </c>
      <c r="E230" t="s">
        <v>219</v>
      </c>
      <c r="F230" t="s">
        <v>218</v>
      </c>
      <c r="G230" t="s">
        <v>216</v>
      </c>
      <c r="H230" t="s">
        <v>19</v>
      </c>
      <c r="I230">
        <v>4</v>
      </c>
      <c r="J230">
        <v>4</v>
      </c>
    </row>
    <row r="231" spans="1:10" x14ac:dyDescent="0.25">
      <c r="A231" t="str">
        <f t="shared" si="5"/>
        <v>Jio CinemaMishri</v>
      </c>
      <c r="B231" t="s">
        <v>109</v>
      </c>
      <c r="C231" t="s">
        <v>456</v>
      </c>
      <c r="D231" t="s">
        <v>698</v>
      </c>
      <c r="E231" t="s">
        <v>219</v>
      </c>
      <c r="F231" t="s">
        <v>218</v>
      </c>
      <c r="G231" t="s">
        <v>216</v>
      </c>
      <c r="H231" t="s">
        <v>19</v>
      </c>
      <c r="I231">
        <v>8</v>
      </c>
      <c r="J231">
        <v>8</v>
      </c>
    </row>
    <row r="232" spans="1:10" x14ac:dyDescent="0.25">
      <c r="A232" t="str">
        <f t="shared" si="5"/>
        <v>Jio CinemaNaagin 6</v>
      </c>
      <c r="B232" t="s">
        <v>109</v>
      </c>
      <c r="C232" t="s">
        <v>456</v>
      </c>
      <c r="D232" t="s">
        <v>699</v>
      </c>
      <c r="E232" t="s">
        <v>219</v>
      </c>
      <c r="F232" t="s">
        <v>218</v>
      </c>
      <c r="G232" t="s">
        <v>216</v>
      </c>
      <c r="H232" t="s">
        <v>19</v>
      </c>
      <c r="I232">
        <v>10</v>
      </c>
      <c r="J232">
        <v>10</v>
      </c>
    </row>
    <row r="233" spans="1:10" x14ac:dyDescent="0.25">
      <c r="A233" t="str">
        <f t="shared" si="5"/>
        <v>Jio CinemaParineeti</v>
      </c>
      <c r="B233" t="s">
        <v>109</v>
      </c>
      <c r="C233" t="s">
        <v>456</v>
      </c>
      <c r="D233" t="s">
        <v>700</v>
      </c>
      <c r="E233" t="s">
        <v>219</v>
      </c>
      <c r="F233" t="s">
        <v>218</v>
      </c>
      <c r="G233" t="s">
        <v>216</v>
      </c>
      <c r="H233" t="s">
        <v>19</v>
      </c>
      <c r="I233">
        <v>2</v>
      </c>
      <c r="J233">
        <v>2</v>
      </c>
    </row>
    <row r="234" spans="1:10" x14ac:dyDescent="0.25">
      <c r="A234" t="str">
        <f t="shared" si="5"/>
        <v>Jio CinemaShiv shakti</v>
      </c>
      <c r="B234" t="s">
        <v>109</v>
      </c>
      <c r="C234" t="s">
        <v>456</v>
      </c>
      <c r="D234" t="s">
        <v>701</v>
      </c>
      <c r="E234" t="s">
        <v>219</v>
      </c>
      <c r="F234" t="s">
        <v>218</v>
      </c>
      <c r="G234" t="s">
        <v>216</v>
      </c>
      <c r="H234" t="s">
        <v>19</v>
      </c>
      <c r="I234">
        <v>9</v>
      </c>
      <c r="J234">
        <v>9</v>
      </c>
    </row>
    <row r="235" spans="1:10" x14ac:dyDescent="0.25">
      <c r="A235" t="str">
        <f t="shared" si="5"/>
        <v>Jio CinemaSuhagan Chudail</v>
      </c>
      <c r="B235" t="s">
        <v>109</v>
      </c>
      <c r="C235" t="s">
        <v>456</v>
      </c>
      <c r="D235" t="s">
        <v>702</v>
      </c>
      <c r="E235" t="s">
        <v>219</v>
      </c>
      <c r="F235" t="s">
        <v>218</v>
      </c>
      <c r="G235" t="s">
        <v>216</v>
      </c>
      <c r="H235" t="s">
        <v>19</v>
      </c>
      <c r="I235">
        <v>7</v>
      </c>
      <c r="J235">
        <v>7</v>
      </c>
    </row>
    <row r="236" spans="1:10" x14ac:dyDescent="0.25">
      <c r="A236" t="str">
        <f t="shared" si="5"/>
        <v>Jio CinemaSuman indori</v>
      </c>
      <c r="B236" t="s">
        <v>109</v>
      </c>
      <c r="C236" t="s">
        <v>456</v>
      </c>
      <c r="D236" t="s">
        <v>703</v>
      </c>
      <c r="E236" t="s">
        <v>219</v>
      </c>
      <c r="F236" t="s">
        <v>218</v>
      </c>
      <c r="G236" t="s">
        <v>216</v>
      </c>
      <c r="H236" t="s">
        <v>19</v>
      </c>
      <c r="I236">
        <v>3</v>
      </c>
      <c r="J236">
        <v>3</v>
      </c>
    </row>
    <row r="237" spans="1:10" x14ac:dyDescent="0.25">
      <c r="A237" t="str">
        <f t="shared" si="5"/>
        <v>Klikk36 Ghanta</v>
      </c>
      <c r="B237" t="s">
        <v>112</v>
      </c>
      <c r="C237" t="s">
        <v>431</v>
      </c>
      <c r="D237" t="s">
        <v>704</v>
      </c>
      <c r="E237" t="s">
        <v>211</v>
      </c>
      <c r="F237" t="s">
        <v>457</v>
      </c>
      <c r="G237" t="s">
        <v>159</v>
      </c>
      <c r="H237" t="s">
        <v>33</v>
      </c>
      <c r="I237">
        <v>5</v>
      </c>
      <c r="J237">
        <v>5</v>
      </c>
    </row>
    <row r="238" spans="1:10" x14ac:dyDescent="0.25">
      <c r="A238" t="str">
        <f t="shared" si="5"/>
        <v>KlikkBarujjye Family</v>
      </c>
      <c r="B238" t="s">
        <v>112</v>
      </c>
      <c r="C238" t="s">
        <v>431</v>
      </c>
      <c r="D238" t="s">
        <v>705</v>
      </c>
      <c r="E238" t="s">
        <v>211</v>
      </c>
      <c r="F238" t="s">
        <v>457</v>
      </c>
      <c r="G238" t="s">
        <v>138</v>
      </c>
      <c r="H238" t="s">
        <v>33</v>
      </c>
      <c r="I238">
        <v>1</v>
      </c>
      <c r="J238">
        <v>1</v>
      </c>
    </row>
    <row r="239" spans="1:10" x14ac:dyDescent="0.25">
      <c r="A239" t="str">
        <f t="shared" si="5"/>
        <v>KlikkInspector Nalinikanta 2</v>
      </c>
      <c r="B239" t="s">
        <v>112</v>
      </c>
      <c r="C239" t="s">
        <v>431</v>
      </c>
      <c r="D239" t="s">
        <v>706</v>
      </c>
      <c r="E239" t="s">
        <v>211</v>
      </c>
      <c r="F239" t="s">
        <v>457</v>
      </c>
      <c r="G239" t="s">
        <v>159</v>
      </c>
      <c r="H239" t="s">
        <v>33</v>
      </c>
      <c r="I239">
        <v>2</v>
      </c>
      <c r="J239">
        <v>2</v>
      </c>
    </row>
    <row r="240" spans="1:10" x14ac:dyDescent="0.25">
      <c r="A240" t="str">
        <f t="shared" si="5"/>
        <v>KlikkJhony Bonny</v>
      </c>
      <c r="B240" t="s">
        <v>112</v>
      </c>
      <c r="C240" t="s">
        <v>431</v>
      </c>
      <c r="D240" t="s">
        <v>707</v>
      </c>
      <c r="E240" t="s">
        <v>211</v>
      </c>
      <c r="F240" t="s">
        <v>457</v>
      </c>
      <c r="G240" t="s">
        <v>168</v>
      </c>
      <c r="H240" t="s">
        <v>33</v>
      </c>
      <c r="I240">
        <v>9</v>
      </c>
      <c r="J240">
        <v>9</v>
      </c>
    </row>
    <row r="241" spans="1:10" x14ac:dyDescent="0.25">
      <c r="A241" t="str">
        <f t="shared" si="5"/>
        <v>KlikkMilkshake Murders</v>
      </c>
      <c r="B241" t="s">
        <v>112</v>
      </c>
      <c r="C241" t="s">
        <v>431</v>
      </c>
      <c r="D241" t="s">
        <v>708</v>
      </c>
      <c r="E241" t="s">
        <v>211</v>
      </c>
      <c r="F241" t="s">
        <v>457</v>
      </c>
      <c r="G241" t="s">
        <v>159</v>
      </c>
      <c r="H241" t="s">
        <v>33</v>
      </c>
      <c r="I241">
        <v>3</v>
      </c>
      <c r="J241">
        <v>3</v>
      </c>
    </row>
    <row r="242" spans="1:10" x14ac:dyDescent="0.25">
      <c r="A242" t="str">
        <f t="shared" si="5"/>
        <v>KlikkNH6</v>
      </c>
      <c r="B242" t="s">
        <v>112</v>
      </c>
      <c r="C242" t="s">
        <v>431</v>
      </c>
      <c r="D242" t="s">
        <v>709</v>
      </c>
      <c r="E242" t="s">
        <v>211</v>
      </c>
      <c r="F242" t="s">
        <v>457</v>
      </c>
      <c r="G242" t="s">
        <v>159</v>
      </c>
      <c r="H242" t="s">
        <v>33</v>
      </c>
      <c r="I242">
        <v>7</v>
      </c>
      <c r="J242">
        <v>7</v>
      </c>
    </row>
    <row r="243" spans="1:10" x14ac:dyDescent="0.25">
      <c r="A243" t="str">
        <f t="shared" si="5"/>
        <v>KlikkPicasso</v>
      </c>
      <c r="B243" t="s">
        <v>112</v>
      </c>
      <c r="C243" t="s">
        <v>431</v>
      </c>
      <c r="D243" t="s">
        <v>710</v>
      </c>
      <c r="E243" t="s">
        <v>211</v>
      </c>
      <c r="F243" t="s">
        <v>457</v>
      </c>
      <c r="G243" t="s">
        <v>159</v>
      </c>
      <c r="H243" t="s">
        <v>33</v>
      </c>
      <c r="I243">
        <v>8</v>
      </c>
      <c r="J243">
        <v>8</v>
      </c>
    </row>
    <row r="244" spans="1:10" x14ac:dyDescent="0.25">
      <c r="A244" t="str">
        <f t="shared" si="5"/>
        <v>KlikkRaja Rani Romeo</v>
      </c>
      <c r="B244" t="s">
        <v>112</v>
      </c>
      <c r="C244" t="s">
        <v>431</v>
      </c>
      <c r="D244" t="s">
        <v>711</v>
      </c>
      <c r="E244" t="s">
        <v>211</v>
      </c>
      <c r="F244" t="s">
        <v>457</v>
      </c>
      <c r="G244" t="s">
        <v>306</v>
      </c>
      <c r="H244" t="s">
        <v>33</v>
      </c>
      <c r="I244">
        <v>6</v>
      </c>
      <c r="J244">
        <v>6</v>
      </c>
    </row>
    <row r="245" spans="1:10" x14ac:dyDescent="0.25">
      <c r="A245" t="str">
        <f t="shared" si="5"/>
        <v>KlikkRoktopolash</v>
      </c>
      <c r="B245" t="s">
        <v>112</v>
      </c>
      <c r="C245" t="s">
        <v>431</v>
      </c>
      <c r="D245" t="s">
        <v>712</v>
      </c>
      <c r="E245" t="s">
        <v>211</v>
      </c>
      <c r="F245" t="s">
        <v>457</v>
      </c>
      <c r="G245" t="s">
        <v>216</v>
      </c>
      <c r="H245" t="s">
        <v>33</v>
      </c>
      <c r="I245">
        <v>10</v>
      </c>
      <c r="J245">
        <v>10</v>
      </c>
    </row>
    <row r="246" spans="1:10" x14ac:dyDescent="0.25">
      <c r="A246" t="str">
        <f t="shared" si="5"/>
        <v>KlikkShaktirupenn</v>
      </c>
      <c r="B246" t="s">
        <v>112</v>
      </c>
      <c r="C246" t="s">
        <v>431</v>
      </c>
      <c r="D246" t="s">
        <v>713</v>
      </c>
      <c r="E246" t="s">
        <v>211</v>
      </c>
      <c r="F246" t="s">
        <v>457</v>
      </c>
      <c r="G246" t="s">
        <v>159</v>
      </c>
      <c r="H246" t="s">
        <v>33</v>
      </c>
      <c r="I246">
        <v>4</v>
      </c>
      <c r="J246">
        <v>4</v>
      </c>
    </row>
    <row r="247" spans="1:10" x14ac:dyDescent="0.25">
      <c r="A247" t="str">
        <f t="shared" si="5"/>
        <v>Lionsgate PlayParis Has Fallen</v>
      </c>
      <c r="B247" t="s">
        <v>114</v>
      </c>
      <c r="C247" t="s">
        <v>431</v>
      </c>
      <c r="D247" t="s">
        <v>714</v>
      </c>
      <c r="E247" t="s">
        <v>211</v>
      </c>
      <c r="F247" t="s">
        <v>457</v>
      </c>
      <c r="G247" t="s">
        <v>92</v>
      </c>
      <c r="H247" t="s">
        <v>21</v>
      </c>
      <c r="I247">
        <v>1</v>
      </c>
      <c r="J247">
        <v>1</v>
      </c>
    </row>
    <row r="248" spans="1:10" x14ac:dyDescent="0.25">
      <c r="A248" t="str">
        <f t="shared" si="5"/>
        <v>Lionsgate PlaySpartacus</v>
      </c>
      <c r="B248" t="s">
        <v>114</v>
      </c>
      <c r="C248" t="s">
        <v>431</v>
      </c>
      <c r="D248" t="s">
        <v>715</v>
      </c>
      <c r="E248" t="s">
        <v>211</v>
      </c>
      <c r="F248" t="s">
        <v>457</v>
      </c>
      <c r="G248" t="s">
        <v>96</v>
      </c>
      <c r="H248" t="s">
        <v>20</v>
      </c>
      <c r="I248">
        <v>9</v>
      </c>
      <c r="J248">
        <v>9</v>
      </c>
    </row>
    <row r="249" spans="1:10" x14ac:dyDescent="0.25">
      <c r="A249" t="str">
        <f t="shared" si="5"/>
        <v>Lionsgate PlayThe Gilrfriend Experience</v>
      </c>
      <c r="B249" t="s">
        <v>114</v>
      </c>
      <c r="C249" t="s">
        <v>431</v>
      </c>
      <c r="D249" t="s">
        <v>716</v>
      </c>
      <c r="E249" t="s">
        <v>211</v>
      </c>
      <c r="F249" t="s">
        <v>457</v>
      </c>
      <c r="G249" t="s">
        <v>216</v>
      </c>
      <c r="H249" t="s">
        <v>20</v>
      </c>
      <c r="I249">
        <v>4</v>
      </c>
      <c r="J249">
        <v>4</v>
      </c>
    </row>
    <row r="250" spans="1:10" x14ac:dyDescent="0.25">
      <c r="A250" t="str">
        <f t="shared" si="5"/>
        <v>Lionsgate PlayA Private War</v>
      </c>
      <c r="B250" t="s">
        <v>114</v>
      </c>
      <c r="C250" t="s">
        <v>434</v>
      </c>
      <c r="D250" t="s">
        <v>717</v>
      </c>
      <c r="E250" t="s">
        <v>211</v>
      </c>
      <c r="F250" t="s">
        <v>458</v>
      </c>
      <c r="G250" t="s">
        <v>216</v>
      </c>
      <c r="H250" t="s">
        <v>20</v>
      </c>
      <c r="I250">
        <v>5</v>
      </c>
      <c r="J250">
        <v>5</v>
      </c>
    </row>
    <row r="251" spans="1:10" x14ac:dyDescent="0.25">
      <c r="A251" t="str">
        <f t="shared" si="5"/>
        <v>Lionsgate PlayAftermath</v>
      </c>
      <c r="B251" t="s">
        <v>114</v>
      </c>
      <c r="C251" t="s">
        <v>434</v>
      </c>
      <c r="D251" t="s">
        <v>718</v>
      </c>
      <c r="E251" t="s">
        <v>211</v>
      </c>
      <c r="F251" t="s">
        <v>458</v>
      </c>
      <c r="G251" t="s">
        <v>103</v>
      </c>
      <c r="H251" t="s">
        <v>28</v>
      </c>
      <c r="I251">
        <v>2</v>
      </c>
      <c r="J251">
        <v>2</v>
      </c>
    </row>
    <row r="252" spans="1:10" x14ac:dyDescent="0.25">
      <c r="A252" t="str">
        <f t="shared" si="5"/>
        <v>Lionsgate PlayAngel Has Fallen</v>
      </c>
      <c r="B252" t="s">
        <v>114</v>
      </c>
      <c r="C252" t="s">
        <v>434</v>
      </c>
      <c r="D252" t="s">
        <v>719</v>
      </c>
      <c r="E252" t="s">
        <v>211</v>
      </c>
      <c r="F252" t="s">
        <v>458</v>
      </c>
      <c r="G252" t="s">
        <v>103</v>
      </c>
      <c r="H252" t="s">
        <v>378</v>
      </c>
      <c r="I252">
        <v>6</v>
      </c>
      <c r="J252">
        <v>6</v>
      </c>
    </row>
    <row r="253" spans="1:10" x14ac:dyDescent="0.25">
      <c r="A253" t="str">
        <f t="shared" si="5"/>
        <v>Lionsgate PlayJhon Wick 4</v>
      </c>
      <c r="B253" t="s">
        <v>114</v>
      </c>
      <c r="C253" t="s">
        <v>434</v>
      </c>
      <c r="D253" t="s">
        <v>720</v>
      </c>
      <c r="E253" t="s">
        <v>211</v>
      </c>
      <c r="F253" t="s">
        <v>458</v>
      </c>
      <c r="G253" t="s">
        <v>90</v>
      </c>
      <c r="H253" t="s">
        <v>28</v>
      </c>
      <c r="I253">
        <v>7</v>
      </c>
      <c r="J253">
        <v>7</v>
      </c>
    </row>
    <row r="254" spans="1:10" x14ac:dyDescent="0.25">
      <c r="A254" t="str">
        <f t="shared" si="5"/>
        <v>Lionsgate PlayLegend</v>
      </c>
      <c r="B254" t="s">
        <v>114</v>
      </c>
      <c r="C254" t="s">
        <v>434</v>
      </c>
      <c r="D254" t="s">
        <v>721</v>
      </c>
      <c r="E254" t="s">
        <v>211</v>
      </c>
      <c r="F254" t="s">
        <v>458</v>
      </c>
      <c r="G254" t="s">
        <v>202</v>
      </c>
      <c r="H254" t="s">
        <v>28</v>
      </c>
      <c r="I254">
        <v>8</v>
      </c>
      <c r="J254">
        <v>8</v>
      </c>
    </row>
    <row r="255" spans="1:10" x14ac:dyDescent="0.25">
      <c r="A255" t="str">
        <f t="shared" si="5"/>
        <v>Lionsgate PlayOperation Blood Hunt</v>
      </c>
      <c r="B255" t="s">
        <v>114</v>
      </c>
      <c r="C255" t="s">
        <v>434</v>
      </c>
      <c r="D255" t="s">
        <v>413</v>
      </c>
      <c r="E255" t="s">
        <v>211</v>
      </c>
      <c r="F255" t="s">
        <v>458</v>
      </c>
      <c r="G255" t="s">
        <v>293</v>
      </c>
      <c r="H255" t="s">
        <v>28</v>
      </c>
      <c r="I255">
        <v>3</v>
      </c>
      <c r="J255">
        <v>3</v>
      </c>
    </row>
    <row r="256" spans="1:10" x14ac:dyDescent="0.25">
      <c r="A256" t="str">
        <f t="shared" si="5"/>
        <v>Lionsgate PlaySiberia</v>
      </c>
      <c r="B256" t="s">
        <v>114</v>
      </c>
      <c r="C256" t="s">
        <v>434</v>
      </c>
      <c r="D256" t="s">
        <v>722</v>
      </c>
      <c r="E256" t="s">
        <v>211</v>
      </c>
      <c r="F256" t="s">
        <v>458</v>
      </c>
      <c r="G256" t="s">
        <v>499</v>
      </c>
      <c r="H256" t="s">
        <v>20</v>
      </c>
      <c r="I256">
        <v>10</v>
      </c>
      <c r="J256">
        <v>10</v>
      </c>
    </row>
    <row r="257" spans="1:10" x14ac:dyDescent="0.25">
      <c r="A257" t="str">
        <f t="shared" si="5"/>
        <v>Manorama MaxAanandhapuram Diaries</v>
      </c>
      <c r="B257" t="s">
        <v>117</v>
      </c>
      <c r="C257" t="s">
        <v>434</v>
      </c>
      <c r="D257" t="s">
        <v>723</v>
      </c>
      <c r="E257" t="s">
        <v>211</v>
      </c>
      <c r="F257" t="s">
        <v>458</v>
      </c>
      <c r="G257" t="s">
        <v>500</v>
      </c>
      <c r="H257" t="s">
        <v>26</v>
      </c>
      <c r="I257">
        <v>1</v>
      </c>
      <c r="J257">
        <v>1</v>
      </c>
    </row>
    <row r="258" spans="1:10" x14ac:dyDescent="0.25">
      <c r="A258" t="str">
        <f t="shared" ref="A258:A321" si="6">B258&amp;D258</f>
        <v>Manorama MaxAgathokakological</v>
      </c>
      <c r="B258" t="s">
        <v>117</v>
      </c>
      <c r="C258" t="s">
        <v>434</v>
      </c>
      <c r="D258" t="s">
        <v>724</v>
      </c>
      <c r="E258" t="s">
        <v>211</v>
      </c>
      <c r="F258" t="s">
        <v>458</v>
      </c>
      <c r="G258" t="s">
        <v>168</v>
      </c>
      <c r="H258" t="s">
        <v>26</v>
      </c>
      <c r="I258">
        <v>2</v>
      </c>
      <c r="J258">
        <v>2</v>
      </c>
    </row>
    <row r="259" spans="1:10" x14ac:dyDescent="0.25">
      <c r="A259" t="str">
        <f t="shared" si="6"/>
        <v>Manorama MaxBharathanatyam</v>
      </c>
      <c r="B259" t="s">
        <v>117</v>
      </c>
      <c r="C259" t="s">
        <v>434</v>
      </c>
      <c r="D259" t="s">
        <v>725</v>
      </c>
      <c r="E259" t="s">
        <v>211</v>
      </c>
      <c r="F259" t="s">
        <v>458</v>
      </c>
      <c r="G259" t="s">
        <v>124</v>
      </c>
      <c r="H259" t="s">
        <v>26</v>
      </c>
      <c r="I259">
        <v>8</v>
      </c>
      <c r="J259">
        <v>8</v>
      </c>
    </row>
    <row r="260" spans="1:10" x14ac:dyDescent="0.25">
      <c r="A260" t="str">
        <f t="shared" si="6"/>
        <v>Manorama MaxCID Ramachandran Retd. SI</v>
      </c>
      <c r="B260" t="s">
        <v>117</v>
      </c>
      <c r="C260" t="s">
        <v>434</v>
      </c>
      <c r="D260" t="s">
        <v>726</v>
      </c>
      <c r="E260" t="s">
        <v>211</v>
      </c>
      <c r="F260" t="s">
        <v>458</v>
      </c>
      <c r="G260" t="s">
        <v>168</v>
      </c>
      <c r="H260" t="s">
        <v>26</v>
      </c>
      <c r="I260">
        <v>10</v>
      </c>
      <c r="J260">
        <v>10</v>
      </c>
    </row>
    <row r="261" spans="1:10" x14ac:dyDescent="0.25">
      <c r="A261" t="str">
        <f t="shared" si="6"/>
        <v>Manorama MaxLevel Cross</v>
      </c>
      <c r="B261" t="s">
        <v>117</v>
      </c>
      <c r="C261" t="s">
        <v>434</v>
      </c>
      <c r="D261" t="s">
        <v>727</v>
      </c>
      <c r="E261" t="s">
        <v>211</v>
      </c>
      <c r="F261" t="s">
        <v>458</v>
      </c>
      <c r="G261" t="s">
        <v>216</v>
      </c>
      <c r="H261" t="s">
        <v>26</v>
      </c>
      <c r="I261">
        <v>7</v>
      </c>
      <c r="J261">
        <v>7</v>
      </c>
    </row>
    <row r="262" spans="1:10" x14ac:dyDescent="0.25">
      <c r="A262" t="str">
        <f t="shared" si="6"/>
        <v>Manorama MaxMandakini</v>
      </c>
      <c r="B262" t="s">
        <v>117</v>
      </c>
      <c r="C262" t="s">
        <v>434</v>
      </c>
      <c r="D262" t="s">
        <v>728</v>
      </c>
      <c r="E262" t="s">
        <v>211</v>
      </c>
      <c r="F262" t="s">
        <v>458</v>
      </c>
      <c r="G262" t="s">
        <v>124</v>
      </c>
      <c r="H262" t="s">
        <v>26</v>
      </c>
      <c r="I262">
        <v>3</v>
      </c>
      <c r="J262">
        <v>3</v>
      </c>
    </row>
    <row r="263" spans="1:10" x14ac:dyDescent="0.25">
      <c r="A263" t="str">
        <f t="shared" si="6"/>
        <v>Manorama MaxNadanna Sambhavam</v>
      </c>
      <c r="B263" t="s">
        <v>117</v>
      </c>
      <c r="C263" t="s">
        <v>434</v>
      </c>
      <c r="D263" t="s">
        <v>729</v>
      </c>
      <c r="E263" t="s">
        <v>211</v>
      </c>
      <c r="F263" t="s">
        <v>458</v>
      </c>
      <c r="G263" t="s">
        <v>173</v>
      </c>
      <c r="H263" t="s">
        <v>26</v>
      </c>
      <c r="I263">
        <v>5</v>
      </c>
      <c r="J263">
        <v>5</v>
      </c>
    </row>
    <row r="264" spans="1:10" x14ac:dyDescent="0.25">
      <c r="A264" t="str">
        <f t="shared" si="6"/>
        <v>Manorama MaxPavi Caretaker</v>
      </c>
      <c r="B264" t="s">
        <v>117</v>
      </c>
      <c r="C264" t="s">
        <v>434</v>
      </c>
      <c r="D264" t="s">
        <v>730</v>
      </c>
      <c r="E264" t="s">
        <v>211</v>
      </c>
      <c r="F264" t="s">
        <v>458</v>
      </c>
      <c r="G264" t="s">
        <v>124</v>
      </c>
      <c r="H264" t="s">
        <v>26</v>
      </c>
      <c r="I264">
        <v>6</v>
      </c>
      <c r="J264">
        <v>6</v>
      </c>
    </row>
    <row r="265" spans="1:10" x14ac:dyDescent="0.25">
      <c r="A265" t="str">
        <f t="shared" si="6"/>
        <v>Manorama MaxPrathibha Tutorials</v>
      </c>
      <c r="B265" t="s">
        <v>117</v>
      </c>
      <c r="C265" t="s">
        <v>434</v>
      </c>
      <c r="D265" t="s">
        <v>731</v>
      </c>
      <c r="E265" t="s">
        <v>211</v>
      </c>
      <c r="F265" t="s">
        <v>458</v>
      </c>
      <c r="G265" t="s">
        <v>124</v>
      </c>
      <c r="H265" t="s">
        <v>26</v>
      </c>
      <c r="I265">
        <v>9</v>
      </c>
      <c r="J265">
        <v>9</v>
      </c>
    </row>
    <row r="266" spans="1:10" x14ac:dyDescent="0.25">
      <c r="A266" t="str">
        <f t="shared" si="6"/>
        <v>Manorama MaxVishesham</v>
      </c>
      <c r="B266" t="s">
        <v>117</v>
      </c>
      <c r="C266" t="s">
        <v>434</v>
      </c>
      <c r="D266" t="s">
        <v>732</v>
      </c>
      <c r="E266" t="s">
        <v>211</v>
      </c>
      <c r="F266" t="s">
        <v>458</v>
      </c>
      <c r="G266" t="s">
        <v>138</v>
      </c>
      <c r="H266" t="s">
        <v>26</v>
      </c>
      <c r="I266">
        <v>4</v>
      </c>
      <c r="J266">
        <v>4</v>
      </c>
    </row>
    <row r="267" spans="1:10" x14ac:dyDescent="0.25">
      <c r="A267" t="str">
        <f t="shared" si="6"/>
        <v>Mx PlayerCampus Beats</v>
      </c>
      <c r="B267" t="s">
        <v>121</v>
      </c>
      <c r="C267" t="s">
        <v>433</v>
      </c>
      <c r="D267" t="s">
        <v>733</v>
      </c>
      <c r="E267" t="s">
        <v>219</v>
      </c>
      <c r="F267" t="s">
        <v>457</v>
      </c>
      <c r="G267" t="s">
        <v>312</v>
      </c>
      <c r="H267" t="s">
        <v>19</v>
      </c>
      <c r="I267">
        <v>2</v>
      </c>
      <c r="J267">
        <v>2</v>
      </c>
    </row>
    <row r="268" spans="1:10" x14ac:dyDescent="0.25">
      <c r="A268" t="str">
        <f t="shared" si="6"/>
        <v>Mx PlayerFisaddi</v>
      </c>
      <c r="B268" t="s">
        <v>121</v>
      </c>
      <c r="C268" t="s">
        <v>433</v>
      </c>
      <c r="D268" t="s">
        <v>734</v>
      </c>
      <c r="E268" t="s">
        <v>219</v>
      </c>
      <c r="F268" t="s">
        <v>457</v>
      </c>
      <c r="G268" t="s">
        <v>501</v>
      </c>
      <c r="H268" t="s">
        <v>19</v>
      </c>
      <c r="I268">
        <v>1</v>
      </c>
      <c r="J268">
        <v>1</v>
      </c>
    </row>
    <row r="269" spans="1:10" x14ac:dyDescent="0.25">
      <c r="A269" t="str">
        <f t="shared" si="6"/>
        <v>Mx PlayerGaming Insaan</v>
      </c>
      <c r="B269" t="s">
        <v>121</v>
      </c>
      <c r="C269" t="s">
        <v>433</v>
      </c>
      <c r="D269" t="s">
        <v>735</v>
      </c>
      <c r="E269" t="s">
        <v>219</v>
      </c>
      <c r="F269" t="s">
        <v>457</v>
      </c>
      <c r="G269" t="s">
        <v>138</v>
      </c>
      <c r="H269" t="s">
        <v>19</v>
      </c>
      <c r="I269">
        <v>3</v>
      </c>
      <c r="J269">
        <v>3</v>
      </c>
    </row>
    <row r="270" spans="1:10" x14ac:dyDescent="0.25">
      <c r="A270" t="str">
        <f t="shared" si="6"/>
        <v>Mx PlayerHalf Love Half Arranged S2</v>
      </c>
      <c r="B270" t="s">
        <v>121</v>
      </c>
      <c r="C270" t="s">
        <v>433</v>
      </c>
      <c r="D270" t="s">
        <v>736</v>
      </c>
      <c r="E270" t="s">
        <v>219</v>
      </c>
      <c r="F270" t="s">
        <v>457</v>
      </c>
      <c r="G270" t="s">
        <v>501</v>
      </c>
      <c r="H270" t="s">
        <v>19</v>
      </c>
      <c r="I270">
        <v>10</v>
      </c>
      <c r="J270">
        <v>10</v>
      </c>
    </row>
    <row r="271" spans="1:10" x14ac:dyDescent="0.25">
      <c r="A271" t="str">
        <f t="shared" si="6"/>
        <v>Mx PlayerHustlers</v>
      </c>
      <c r="B271" t="s">
        <v>121</v>
      </c>
      <c r="C271" t="s">
        <v>433</v>
      </c>
      <c r="D271" t="s">
        <v>737</v>
      </c>
      <c r="E271" t="s">
        <v>219</v>
      </c>
      <c r="F271" t="s">
        <v>457</v>
      </c>
      <c r="G271" t="s">
        <v>138</v>
      </c>
      <c r="H271" t="s">
        <v>19</v>
      </c>
      <c r="I271">
        <v>6</v>
      </c>
      <c r="J271">
        <v>6</v>
      </c>
    </row>
    <row r="272" spans="1:10" x14ac:dyDescent="0.25">
      <c r="A272" t="str">
        <f t="shared" si="6"/>
        <v>Mx PlayerPhysics Wallah</v>
      </c>
      <c r="B272" t="s">
        <v>121</v>
      </c>
      <c r="C272" t="s">
        <v>433</v>
      </c>
      <c r="D272" t="s">
        <v>738</v>
      </c>
      <c r="E272" t="s">
        <v>219</v>
      </c>
      <c r="F272" t="s">
        <v>457</v>
      </c>
      <c r="G272" t="s">
        <v>216</v>
      </c>
      <c r="H272" t="s">
        <v>19</v>
      </c>
      <c r="I272">
        <v>7</v>
      </c>
      <c r="J272">
        <v>7</v>
      </c>
    </row>
    <row r="273" spans="1:10" x14ac:dyDescent="0.25">
      <c r="A273" t="str">
        <f t="shared" si="6"/>
        <v>Mx PlayerPlayground S4</v>
      </c>
      <c r="B273" t="s">
        <v>121</v>
      </c>
      <c r="C273" t="s">
        <v>433</v>
      </c>
      <c r="D273" t="s">
        <v>555</v>
      </c>
      <c r="E273" t="s">
        <v>219</v>
      </c>
      <c r="F273" t="s">
        <v>457</v>
      </c>
      <c r="G273" t="s">
        <v>216</v>
      </c>
      <c r="H273" t="s">
        <v>19</v>
      </c>
      <c r="I273">
        <v>9</v>
      </c>
      <c r="J273">
        <v>9</v>
      </c>
    </row>
    <row r="274" spans="1:10" x14ac:dyDescent="0.25">
      <c r="A274" t="str">
        <f t="shared" si="6"/>
        <v>Mx PlayerPretty Ugly</v>
      </c>
      <c r="B274" t="s">
        <v>121</v>
      </c>
      <c r="C274" t="s">
        <v>433</v>
      </c>
      <c r="D274" t="s">
        <v>739</v>
      </c>
      <c r="E274" t="s">
        <v>219</v>
      </c>
      <c r="F274" t="s">
        <v>457</v>
      </c>
      <c r="G274" t="s">
        <v>501</v>
      </c>
      <c r="H274" t="s">
        <v>19</v>
      </c>
      <c r="I274">
        <v>4</v>
      </c>
      <c r="J274">
        <v>4</v>
      </c>
    </row>
    <row r="275" spans="1:10" x14ac:dyDescent="0.25">
      <c r="A275" t="str">
        <f t="shared" si="6"/>
        <v>Mx PlayerSisterhood</v>
      </c>
      <c r="B275" t="s">
        <v>121</v>
      </c>
      <c r="C275" t="s">
        <v>433</v>
      </c>
      <c r="D275" t="s">
        <v>556</v>
      </c>
      <c r="E275" t="s">
        <v>219</v>
      </c>
      <c r="F275" t="s">
        <v>457</v>
      </c>
      <c r="G275" t="s">
        <v>138</v>
      </c>
      <c r="H275" t="s">
        <v>19</v>
      </c>
      <c r="I275">
        <v>5</v>
      </c>
      <c r="J275">
        <v>5</v>
      </c>
    </row>
    <row r="276" spans="1:10" x14ac:dyDescent="0.25">
      <c r="A276" t="str">
        <f t="shared" si="6"/>
        <v>Mx PlayerThe Most Beautiful You In the World</v>
      </c>
      <c r="B276" t="s">
        <v>121</v>
      </c>
      <c r="C276" t="s">
        <v>433</v>
      </c>
      <c r="D276" t="s">
        <v>740</v>
      </c>
      <c r="E276" t="s">
        <v>219</v>
      </c>
      <c r="F276" t="s">
        <v>457</v>
      </c>
      <c r="G276" t="s">
        <v>501</v>
      </c>
      <c r="H276" t="s">
        <v>19</v>
      </c>
      <c r="I276">
        <v>8</v>
      </c>
      <c r="J276">
        <v>8</v>
      </c>
    </row>
    <row r="277" spans="1:10" x14ac:dyDescent="0.25">
      <c r="A277" t="str">
        <f t="shared" si="6"/>
        <v>NetflixDo Patti</v>
      </c>
      <c r="B277" t="s">
        <v>123</v>
      </c>
      <c r="C277" t="s">
        <v>432</v>
      </c>
      <c r="D277" t="s">
        <v>316</v>
      </c>
      <c r="E277" t="s">
        <v>211</v>
      </c>
      <c r="F277" t="s">
        <v>458</v>
      </c>
      <c r="G277" t="s">
        <v>202</v>
      </c>
      <c r="H277" t="s">
        <v>28</v>
      </c>
      <c r="I277">
        <v>3.4</v>
      </c>
      <c r="J277">
        <v>3</v>
      </c>
    </row>
    <row r="278" spans="1:10" x14ac:dyDescent="0.25">
      <c r="A278" t="str">
        <f t="shared" si="6"/>
        <v>NetflixNayanthara: Beyond the Fairy Tale</v>
      </c>
      <c r="B278" t="s">
        <v>123</v>
      </c>
      <c r="C278" t="s">
        <v>432</v>
      </c>
      <c r="D278" t="s">
        <v>439</v>
      </c>
      <c r="E278" t="s">
        <v>211</v>
      </c>
      <c r="F278" t="s">
        <v>458</v>
      </c>
      <c r="G278" t="s">
        <v>446</v>
      </c>
      <c r="H278" t="s">
        <v>28</v>
      </c>
      <c r="I278">
        <v>1</v>
      </c>
      <c r="J278">
        <v>1</v>
      </c>
    </row>
    <row r="279" spans="1:10" x14ac:dyDescent="0.25">
      <c r="A279" t="str">
        <f t="shared" si="6"/>
        <v>NetflixVijay 69</v>
      </c>
      <c r="B279" t="s">
        <v>123</v>
      </c>
      <c r="C279" t="s">
        <v>432</v>
      </c>
      <c r="D279" t="s">
        <v>388</v>
      </c>
      <c r="E279" t="s">
        <v>211</v>
      </c>
      <c r="F279" t="s">
        <v>458</v>
      </c>
      <c r="G279" t="s">
        <v>401</v>
      </c>
      <c r="H279" t="s">
        <v>28</v>
      </c>
      <c r="I279">
        <v>7.4</v>
      </c>
      <c r="J279">
        <v>7</v>
      </c>
    </row>
    <row r="280" spans="1:10" x14ac:dyDescent="0.25">
      <c r="A280" t="str">
        <f t="shared" si="6"/>
        <v>NetflixArcane: Season 2</v>
      </c>
      <c r="B280" t="s">
        <v>123</v>
      </c>
      <c r="C280" t="s">
        <v>431</v>
      </c>
      <c r="D280" t="s">
        <v>407</v>
      </c>
      <c r="E280" t="s">
        <v>211</v>
      </c>
      <c r="F280" t="s">
        <v>457</v>
      </c>
      <c r="G280" t="s">
        <v>243</v>
      </c>
      <c r="H280" t="s">
        <v>20</v>
      </c>
      <c r="I280">
        <v>8.6666666666666661</v>
      </c>
      <c r="J280">
        <v>9</v>
      </c>
    </row>
    <row r="281" spans="1:10" x14ac:dyDescent="0.25">
      <c r="A281" t="str">
        <f t="shared" si="6"/>
        <v>NetflixBank Under Siege</v>
      </c>
      <c r="B281" t="s">
        <v>123</v>
      </c>
      <c r="C281" t="s">
        <v>431</v>
      </c>
      <c r="D281" t="s">
        <v>391</v>
      </c>
      <c r="E281" t="s">
        <v>211</v>
      </c>
      <c r="F281" t="s">
        <v>457</v>
      </c>
      <c r="G281" t="s">
        <v>90</v>
      </c>
      <c r="H281" t="s">
        <v>21</v>
      </c>
      <c r="I281">
        <v>2.8</v>
      </c>
      <c r="J281">
        <v>3</v>
      </c>
    </row>
    <row r="282" spans="1:10" x14ac:dyDescent="0.25">
      <c r="A282" t="str">
        <f t="shared" si="6"/>
        <v>NetflixCobra Kai S6</v>
      </c>
      <c r="B282" t="s">
        <v>123</v>
      </c>
      <c r="C282" t="s">
        <v>431</v>
      </c>
      <c r="D282" t="s">
        <v>741</v>
      </c>
      <c r="E282" t="s">
        <v>211</v>
      </c>
      <c r="F282" t="s">
        <v>457</v>
      </c>
      <c r="G282" t="s">
        <v>62</v>
      </c>
      <c r="H282" t="s">
        <v>21</v>
      </c>
      <c r="I282">
        <v>5.6</v>
      </c>
      <c r="J282">
        <v>6</v>
      </c>
    </row>
    <row r="283" spans="1:10" x14ac:dyDescent="0.25">
      <c r="A283" t="str">
        <f t="shared" si="6"/>
        <v>NetflixDon’t Come Home</v>
      </c>
      <c r="B283" t="s">
        <v>123</v>
      </c>
      <c r="C283" t="s">
        <v>431</v>
      </c>
      <c r="D283" t="s">
        <v>350</v>
      </c>
      <c r="E283" t="s">
        <v>211</v>
      </c>
      <c r="F283" t="s">
        <v>457</v>
      </c>
      <c r="G283" t="s">
        <v>190</v>
      </c>
      <c r="H283" t="s">
        <v>21</v>
      </c>
      <c r="I283">
        <v>10</v>
      </c>
      <c r="J283">
        <v>10</v>
      </c>
    </row>
    <row r="284" spans="1:10" x14ac:dyDescent="0.25">
      <c r="A284" t="str">
        <f t="shared" si="6"/>
        <v>NetflixFabulous Lives Vs Bollywood Wives</v>
      </c>
      <c r="B284" t="s">
        <v>123</v>
      </c>
      <c r="C284" t="s">
        <v>431</v>
      </c>
      <c r="D284" t="s">
        <v>331</v>
      </c>
      <c r="E284" t="s">
        <v>211</v>
      </c>
      <c r="F284" t="s">
        <v>457</v>
      </c>
      <c r="G284" t="s">
        <v>180</v>
      </c>
      <c r="H284" t="s">
        <v>28</v>
      </c>
      <c r="I284">
        <v>8.5</v>
      </c>
      <c r="J284">
        <v>9</v>
      </c>
    </row>
    <row r="285" spans="1:10" x14ac:dyDescent="0.25">
      <c r="A285" t="str">
        <f t="shared" si="6"/>
        <v>NetflixMike Tyson vs. Jake Paul</v>
      </c>
      <c r="B285" t="s">
        <v>123</v>
      </c>
      <c r="C285" t="s">
        <v>431</v>
      </c>
      <c r="D285" t="s">
        <v>438</v>
      </c>
      <c r="E285" t="s">
        <v>211</v>
      </c>
      <c r="F285" t="s">
        <v>457</v>
      </c>
      <c r="G285" t="s">
        <v>447</v>
      </c>
      <c r="H285" t="s">
        <v>20</v>
      </c>
      <c r="I285">
        <v>5</v>
      </c>
      <c r="J285">
        <v>5</v>
      </c>
    </row>
    <row r="286" spans="1:10" x14ac:dyDescent="0.25">
      <c r="A286" t="str">
        <f t="shared" si="6"/>
        <v>NetflixMr. Plankton</v>
      </c>
      <c r="B286" t="s">
        <v>123</v>
      </c>
      <c r="C286" t="s">
        <v>431</v>
      </c>
      <c r="D286" t="s">
        <v>394</v>
      </c>
      <c r="E286" t="s">
        <v>211</v>
      </c>
      <c r="F286" t="s">
        <v>457</v>
      </c>
      <c r="G286" t="s">
        <v>154</v>
      </c>
      <c r="H286" t="s">
        <v>21</v>
      </c>
      <c r="I286">
        <v>4.8</v>
      </c>
      <c r="J286">
        <v>5</v>
      </c>
    </row>
    <row r="287" spans="1:10" x14ac:dyDescent="0.25">
      <c r="A287" t="str">
        <f t="shared" si="6"/>
        <v>NetflixMurder Mindfuly</v>
      </c>
      <c r="B287" t="s">
        <v>123</v>
      </c>
      <c r="C287" t="s">
        <v>431</v>
      </c>
      <c r="D287" t="s">
        <v>742</v>
      </c>
      <c r="E287" t="s">
        <v>211</v>
      </c>
      <c r="F287" t="s">
        <v>457</v>
      </c>
      <c r="G287" t="s">
        <v>449</v>
      </c>
      <c r="H287" t="s">
        <v>21</v>
      </c>
      <c r="I287">
        <v>8.25</v>
      </c>
      <c r="J287">
        <v>8</v>
      </c>
    </row>
    <row r="288" spans="1:10" x14ac:dyDescent="0.25">
      <c r="A288" t="str">
        <f t="shared" si="6"/>
        <v>NetflixThe Cage</v>
      </c>
      <c r="B288" t="s">
        <v>123</v>
      </c>
      <c r="C288" t="s">
        <v>431</v>
      </c>
      <c r="D288" t="s">
        <v>396</v>
      </c>
      <c r="E288" t="s">
        <v>211</v>
      </c>
      <c r="F288" t="s">
        <v>457</v>
      </c>
      <c r="G288" t="s">
        <v>163</v>
      </c>
      <c r="H288" t="s">
        <v>21</v>
      </c>
      <c r="I288">
        <v>4</v>
      </c>
      <c r="J288">
        <v>4</v>
      </c>
    </row>
    <row r="289" spans="1:10" x14ac:dyDescent="0.25">
      <c r="A289" t="str">
        <f t="shared" si="6"/>
        <v>NetflixThe great indian kapil show</v>
      </c>
      <c r="B289" t="s">
        <v>123</v>
      </c>
      <c r="C289" t="s">
        <v>431</v>
      </c>
      <c r="D289" t="s">
        <v>290</v>
      </c>
      <c r="E289" t="s">
        <v>211</v>
      </c>
      <c r="F289" t="s">
        <v>457</v>
      </c>
      <c r="G289" t="s">
        <v>260</v>
      </c>
      <c r="H289" t="s">
        <v>19</v>
      </c>
      <c r="I289">
        <v>1.2</v>
      </c>
      <c r="J289">
        <v>1</v>
      </c>
    </row>
    <row r="290" spans="1:10" x14ac:dyDescent="0.25">
      <c r="A290" t="str">
        <f t="shared" si="6"/>
        <v xml:space="preserve">NetflixYeh Kaali Kaali Ankhein </v>
      </c>
      <c r="B290" t="s">
        <v>123</v>
      </c>
      <c r="C290" t="s">
        <v>431</v>
      </c>
      <c r="D290" t="s">
        <v>743</v>
      </c>
      <c r="E290" t="s">
        <v>211</v>
      </c>
      <c r="F290" t="s">
        <v>457</v>
      </c>
      <c r="G290" t="s">
        <v>131</v>
      </c>
      <c r="H290" t="s">
        <v>28</v>
      </c>
      <c r="I290">
        <v>5.75</v>
      </c>
      <c r="J290">
        <v>6</v>
      </c>
    </row>
    <row r="291" spans="1:10" x14ac:dyDescent="0.25">
      <c r="A291" t="str">
        <f t="shared" si="6"/>
        <v>NetflixYeh Kaali Kaali Ankhein S2</v>
      </c>
      <c r="B291" t="s">
        <v>123</v>
      </c>
      <c r="C291" t="s">
        <v>431</v>
      </c>
      <c r="D291" t="s">
        <v>445</v>
      </c>
      <c r="E291" t="s">
        <v>211</v>
      </c>
      <c r="F291" t="s">
        <v>457</v>
      </c>
      <c r="G291" t="s">
        <v>131</v>
      </c>
      <c r="H291" t="s">
        <v>28</v>
      </c>
      <c r="I291">
        <v>2</v>
      </c>
      <c r="J291">
        <v>2</v>
      </c>
    </row>
    <row r="292" spans="1:10" x14ac:dyDescent="0.25">
      <c r="A292" t="str">
        <f t="shared" si="6"/>
        <v>NetflixBhool Bhulaiyaa</v>
      </c>
      <c r="B292" t="s">
        <v>123</v>
      </c>
      <c r="C292" t="s">
        <v>434</v>
      </c>
      <c r="D292" t="s">
        <v>359</v>
      </c>
      <c r="E292" t="s">
        <v>211</v>
      </c>
      <c r="F292" t="s">
        <v>458</v>
      </c>
      <c r="G292" t="s">
        <v>380</v>
      </c>
      <c r="H292" t="s">
        <v>19</v>
      </c>
      <c r="I292">
        <v>9.5</v>
      </c>
      <c r="J292">
        <v>10</v>
      </c>
    </row>
    <row r="293" spans="1:10" x14ac:dyDescent="0.25">
      <c r="A293" t="str">
        <f t="shared" si="6"/>
        <v>NetflixBhool Bhulaiyaa 2</v>
      </c>
      <c r="B293" t="s">
        <v>123</v>
      </c>
      <c r="C293" t="s">
        <v>434</v>
      </c>
      <c r="D293" t="s">
        <v>405</v>
      </c>
      <c r="E293" t="s">
        <v>211</v>
      </c>
      <c r="F293" t="s">
        <v>458</v>
      </c>
      <c r="G293" t="s">
        <v>380</v>
      </c>
      <c r="H293" t="s">
        <v>19</v>
      </c>
      <c r="I293">
        <v>10</v>
      </c>
      <c r="J293">
        <v>10</v>
      </c>
    </row>
    <row r="294" spans="1:10" x14ac:dyDescent="0.25">
      <c r="A294" t="str">
        <f t="shared" si="6"/>
        <v>NetflixDevara: Part 1</v>
      </c>
      <c r="B294" t="s">
        <v>123</v>
      </c>
      <c r="C294" t="s">
        <v>434</v>
      </c>
      <c r="D294" t="s">
        <v>392</v>
      </c>
      <c r="E294" t="s">
        <v>211</v>
      </c>
      <c r="F294" t="s">
        <v>458</v>
      </c>
      <c r="G294" t="s">
        <v>97</v>
      </c>
      <c r="H294" t="s">
        <v>466</v>
      </c>
      <c r="I294">
        <v>2.6</v>
      </c>
      <c r="J294">
        <v>3</v>
      </c>
    </row>
    <row r="295" spans="1:10" x14ac:dyDescent="0.25">
      <c r="A295" t="str">
        <f t="shared" si="6"/>
        <v>NetflixFlash</v>
      </c>
      <c r="B295" t="s">
        <v>123</v>
      </c>
      <c r="C295" t="s">
        <v>434</v>
      </c>
      <c r="D295" t="s">
        <v>744</v>
      </c>
      <c r="E295" t="s">
        <v>211</v>
      </c>
      <c r="F295" t="s">
        <v>458</v>
      </c>
      <c r="G295" t="s">
        <v>69</v>
      </c>
      <c r="H295" t="s">
        <v>21</v>
      </c>
      <c r="I295">
        <v>4.5999999999999996</v>
      </c>
      <c r="J295">
        <v>5</v>
      </c>
    </row>
    <row r="296" spans="1:10" x14ac:dyDescent="0.25">
      <c r="A296" t="str">
        <f t="shared" si="6"/>
        <v>NetflixIt Ends with Us</v>
      </c>
      <c r="B296" t="s">
        <v>123</v>
      </c>
      <c r="C296" t="s">
        <v>434</v>
      </c>
      <c r="D296" t="s">
        <v>408</v>
      </c>
      <c r="E296" t="s">
        <v>211</v>
      </c>
      <c r="F296" t="s">
        <v>458</v>
      </c>
      <c r="G296" t="s">
        <v>172</v>
      </c>
      <c r="H296" t="s">
        <v>28</v>
      </c>
      <c r="I296">
        <v>6.8</v>
      </c>
      <c r="J296">
        <v>7</v>
      </c>
    </row>
    <row r="297" spans="1:10" x14ac:dyDescent="0.25">
      <c r="A297" t="str">
        <f t="shared" si="6"/>
        <v>NetflixKhel Khel Mein</v>
      </c>
      <c r="B297" t="s">
        <v>123</v>
      </c>
      <c r="C297" t="s">
        <v>434</v>
      </c>
      <c r="D297" t="s">
        <v>270</v>
      </c>
      <c r="E297" t="s">
        <v>211</v>
      </c>
      <c r="F297" t="s">
        <v>458</v>
      </c>
      <c r="G297" t="s">
        <v>124</v>
      </c>
      <c r="H297" t="s">
        <v>19</v>
      </c>
      <c r="I297">
        <v>8.6</v>
      </c>
      <c r="J297">
        <v>9</v>
      </c>
    </row>
    <row r="298" spans="1:10" x14ac:dyDescent="0.25">
      <c r="A298" t="str">
        <f t="shared" si="6"/>
        <v>NetflixMeiyazhagan</v>
      </c>
      <c r="B298" t="s">
        <v>123</v>
      </c>
      <c r="C298" t="s">
        <v>434</v>
      </c>
      <c r="D298" t="s">
        <v>319</v>
      </c>
      <c r="E298" t="s">
        <v>211</v>
      </c>
      <c r="F298" t="s">
        <v>458</v>
      </c>
      <c r="G298" t="s">
        <v>184</v>
      </c>
      <c r="H298" t="s">
        <v>31</v>
      </c>
      <c r="I298">
        <v>5.6</v>
      </c>
      <c r="J298">
        <v>6</v>
      </c>
    </row>
    <row r="299" spans="1:10" x14ac:dyDescent="0.25">
      <c r="A299" t="str">
        <f t="shared" si="6"/>
        <v>NetflixReady Or Not</v>
      </c>
      <c r="B299" t="s">
        <v>123</v>
      </c>
      <c r="C299" t="s">
        <v>434</v>
      </c>
      <c r="D299" t="s">
        <v>745</v>
      </c>
      <c r="E299" t="s">
        <v>211</v>
      </c>
      <c r="F299" t="s">
        <v>458</v>
      </c>
      <c r="G299" t="s">
        <v>502</v>
      </c>
      <c r="H299" t="s">
        <v>21</v>
      </c>
      <c r="I299">
        <v>9.75</v>
      </c>
      <c r="J299">
        <v>10</v>
      </c>
    </row>
    <row r="300" spans="1:10" x14ac:dyDescent="0.25">
      <c r="A300" t="str">
        <f t="shared" si="6"/>
        <v>NetflixThe Buckingham Murders</v>
      </c>
      <c r="B300" t="s">
        <v>123</v>
      </c>
      <c r="C300" t="s">
        <v>434</v>
      </c>
      <c r="D300" t="s">
        <v>395</v>
      </c>
      <c r="E300" t="s">
        <v>211</v>
      </c>
      <c r="F300" t="s">
        <v>458</v>
      </c>
      <c r="G300" t="s">
        <v>202</v>
      </c>
      <c r="H300" t="s">
        <v>19</v>
      </c>
      <c r="I300">
        <v>1.8</v>
      </c>
      <c r="J300">
        <v>2</v>
      </c>
    </row>
    <row r="301" spans="1:10" x14ac:dyDescent="0.25">
      <c r="A301" t="str">
        <f t="shared" si="6"/>
        <v>Saina PlayChathuram</v>
      </c>
      <c r="B301" t="s">
        <v>125</v>
      </c>
      <c r="C301" t="s">
        <v>434</v>
      </c>
      <c r="D301" t="s">
        <v>746</v>
      </c>
      <c r="E301" t="s">
        <v>211</v>
      </c>
      <c r="F301" t="s">
        <v>458</v>
      </c>
      <c r="G301" t="s">
        <v>173</v>
      </c>
      <c r="H301" t="s">
        <v>26</v>
      </c>
      <c r="I301">
        <v>4</v>
      </c>
      <c r="J301">
        <v>4</v>
      </c>
    </row>
    <row r="302" spans="1:10" x14ac:dyDescent="0.25">
      <c r="A302" t="str">
        <f t="shared" si="6"/>
        <v>Saina PlayChathuram (Tamil)</v>
      </c>
      <c r="B302" t="s">
        <v>125</v>
      </c>
      <c r="C302" t="s">
        <v>434</v>
      </c>
      <c r="D302" t="s">
        <v>747</v>
      </c>
      <c r="E302" t="s">
        <v>211</v>
      </c>
      <c r="F302" t="s">
        <v>458</v>
      </c>
      <c r="G302" t="s">
        <v>173</v>
      </c>
      <c r="H302" t="s">
        <v>22</v>
      </c>
      <c r="I302">
        <v>8</v>
      </c>
      <c r="J302">
        <v>8</v>
      </c>
    </row>
    <row r="303" spans="1:10" x14ac:dyDescent="0.25">
      <c r="A303" t="str">
        <f t="shared" si="6"/>
        <v>Saina PlayHiguita</v>
      </c>
      <c r="B303" t="s">
        <v>125</v>
      </c>
      <c r="C303" t="s">
        <v>434</v>
      </c>
      <c r="D303" t="s">
        <v>748</v>
      </c>
      <c r="E303" t="s">
        <v>211</v>
      </c>
      <c r="F303" t="s">
        <v>458</v>
      </c>
      <c r="G303" t="s">
        <v>173</v>
      </c>
      <c r="H303" t="s">
        <v>26</v>
      </c>
      <c r="I303">
        <v>1</v>
      </c>
      <c r="J303">
        <v>1</v>
      </c>
    </row>
    <row r="304" spans="1:10" x14ac:dyDescent="0.25">
      <c r="A304" t="str">
        <f t="shared" si="6"/>
        <v>Saina PlayKudukku 2025</v>
      </c>
      <c r="B304" t="s">
        <v>125</v>
      </c>
      <c r="C304" t="s">
        <v>434</v>
      </c>
      <c r="D304" t="s">
        <v>749</v>
      </c>
      <c r="E304" t="s">
        <v>211</v>
      </c>
      <c r="F304" t="s">
        <v>458</v>
      </c>
      <c r="G304" t="s">
        <v>173</v>
      </c>
      <c r="H304" t="s">
        <v>26</v>
      </c>
      <c r="I304">
        <v>9</v>
      </c>
      <c r="J304">
        <v>9</v>
      </c>
    </row>
    <row r="305" spans="1:10" x14ac:dyDescent="0.25">
      <c r="A305" t="str">
        <f t="shared" si="6"/>
        <v>Saina PlayPadachone Ingalu Katholi</v>
      </c>
      <c r="B305" t="s">
        <v>125</v>
      </c>
      <c r="C305" t="s">
        <v>434</v>
      </c>
      <c r="D305" t="s">
        <v>750</v>
      </c>
      <c r="E305" t="s">
        <v>211</v>
      </c>
      <c r="F305" t="s">
        <v>458</v>
      </c>
      <c r="G305" t="s">
        <v>124</v>
      </c>
      <c r="H305" t="s">
        <v>26</v>
      </c>
      <c r="I305">
        <v>7</v>
      </c>
      <c r="J305">
        <v>7</v>
      </c>
    </row>
    <row r="306" spans="1:10" x14ac:dyDescent="0.25">
      <c r="A306" t="str">
        <f t="shared" si="6"/>
        <v>Saina PlayPattaapakal</v>
      </c>
      <c r="B306" t="s">
        <v>125</v>
      </c>
      <c r="C306" t="s">
        <v>434</v>
      </c>
      <c r="D306" t="s">
        <v>751</v>
      </c>
      <c r="E306" t="s">
        <v>211</v>
      </c>
      <c r="F306" t="s">
        <v>458</v>
      </c>
      <c r="G306" t="s">
        <v>152</v>
      </c>
      <c r="H306" t="s">
        <v>26</v>
      </c>
      <c r="I306">
        <v>3</v>
      </c>
      <c r="J306">
        <v>3</v>
      </c>
    </row>
    <row r="307" spans="1:10" x14ac:dyDescent="0.25">
      <c r="A307" t="str">
        <f t="shared" si="6"/>
        <v>Saina PlayPendulum</v>
      </c>
      <c r="B307" t="s">
        <v>125</v>
      </c>
      <c r="C307" t="s">
        <v>434</v>
      </c>
      <c r="D307" t="s">
        <v>752</v>
      </c>
      <c r="E307" t="s">
        <v>211</v>
      </c>
      <c r="F307" t="s">
        <v>458</v>
      </c>
      <c r="G307" t="s">
        <v>176</v>
      </c>
      <c r="H307" t="s">
        <v>26</v>
      </c>
      <c r="I307">
        <v>6</v>
      </c>
      <c r="J307">
        <v>6</v>
      </c>
    </row>
    <row r="308" spans="1:10" x14ac:dyDescent="0.25">
      <c r="A308" t="str">
        <f t="shared" si="6"/>
        <v>Saina PlayPullu Rising</v>
      </c>
      <c r="B308" t="s">
        <v>125</v>
      </c>
      <c r="C308" t="s">
        <v>434</v>
      </c>
      <c r="D308" t="s">
        <v>753</v>
      </c>
      <c r="E308" t="s">
        <v>211</v>
      </c>
      <c r="F308" t="s">
        <v>458</v>
      </c>
      <c r="G308" t="s">
        <v>186</v>
      </c>
      <c r="H308" t="s">
        <v>26</v>
      </c>
      <c r="I308">
        <v>10</v>
      </c>
      <c r="J308">
        <v>10</v>
      </c>
    </row>
    <row r="309" spans="1:10" x14ac:dyDescent="0.25">
      <c r="A309" t="str">
        <f t="shared" si="6"/>
        <v>Saina PlayUdal</v>
      </c>
      <c r="B309" t="s">
        <v>125</v>
      </c>
      <c r="C309" t="s">
        <v>434</v>
      </c>
      <c r="D309" t="s">
        <v>754</v>
      </c>
      <c r="E309" t="s">
        <v>211</v>
      </c>
      <c r="F309" t="s">
        <v>458</v>
      </c>
      <c r="G309" t="s">
        <v>166</v>
      </c>
      <c r="H309" t="s">
        <v>26</v>
      </c>
      <c r="I309">
        <v>5</v>
      </c>
      <c r="J309">
        <v>5</v>
      </c>
    </row>
    <row r="310" spans="1:10" x14ac:dyDescent="0.25">
      <c r="A310" t="str">
        <f t="shared" si="6"/>
        <v>Saina PlayVayasethrayaayi? Muppathiee..!</v>
      </c>
      <c r="B310" t="s">
        <v>125</v>
      </c>
      <c r="C310" t="s">
        <v>434</v>
      </c>
      <c r="D310" t="s">
        <v>755</v>
      </c>
      <c r="E310" t="s">
        <v>211</v>
      </c>
      <c r="F310" t="s">
        <v>458</v>
      </c>
      <c r="G310" t="s">
        <v>490</v>
      </c>
      <c r="H310" t="s">
        <v>26</v>
      </c>
      <c r="I310">
        <v>2</v>
      </c>
      <c r="J310">
        <v>2</v>
      </c>
    </row>
    <row r="311" spans="1:10" x14ac:dyDescent="0.25">
      <c r="A311" t="str">
        <f t="shared" si="6"/>
        <v>Shemaroo Me#Choices</v>
      </c>
      <c r="B311" t="s">
        <v>127</v>
      </c>
      <c r="C311" t="s">
        <v>432</v>
      </c>
      <c r="D311" t="s">
        <v>756</v>
      </c>
      <c r="E311" t="s">
        <v>211</v>
      </c>
      <c r="F311" t="s">
        <v>458</v>
      </c>
      <c r="G311" t="s">
        <v>216</v>
      </c>
      <c r="H311" t="s">
        <v>19</v>
      </c>
      <c r="I311">
        <v>2</v>
      </c>
      <c r="J311">
        <v>2</v>
      </c>
    </row>
    <row r="312" spans="1:10" x14ac:dyDescent="0.25">
      <c r="A312" t="str">
        <f t="shared" si="6"/>
        <v>Shemaroo MeChanchal Haseena</v>
      </c>
      <c r="B312" t="s">
        <v>127</v>
      </c>
      <c r="C312" t="s">
        <v>432</v>
      </c>
      <c r="D312" t="s">
        <v>757</v>
      </c>
      <c r="E312" t="s">
        <v>211</v>
      </c>
      <c r="F312" t="s">
        <v>458</v>
      </c>
      <c r="G312" t="s">
        <v>279</v>
      </c>
      <c r="H312" t="s">
        <v>19</v>
      </c>
      <c r="I312">
        <v>4</v>
      </c>
      <c r="J312">
        <v>4</v>
      </c>
    </row>
    <row r="313" spans="1:10" x14ac:dyDescent="0.25">
      <c r="A313" t="str">
        <f t="shared" si="6"/>
        <v>Shemaroo MeMaaya Ka Moh</v>
      </c>
      <c r="B313" t="s">
        <v>127</v>
      </c>
      <c r="C313" t="s">
        <v>432</v>
      </c>
      <c r="D313" t="s">
        <v>758</v>
      </c>
      <c r="E313" t="s">
        <v>211</v>
      </c>
      <c r="F313" t="s">
        <v>458</v>
      </c>
      <c r="G313" t="s">
        <v>503</v>
      </c>
      <c r="H313" t="s">
        <v>19</v>
      </c>
      <c r="I313">
        <v>1</v>
      </c>
      <c r="J313">
        <v>1</v>
      </c>
    </row>
    <row r="314" spans="1:10" x14ac:dyDescent="0.25">
      <c r="A314" t="str">
        <f t="shared" si="6"/>
        <v>Shemaroo MeBachubhai</v>
      </c>
      <c r="B314" t="s">
        <v>127</v>
      </c>
      <c r="C314" t="s">
        <v>434</v>
      </c>
      <c r="D314" t="s">
        <v>759</v>
      </c>
      <c r="E314" t="s">
        <v>211</v>
      </c>
      <c r="F314" t="s">
        <v>458</v>
      </c>
      <c r="G314" t="s">
        <v>216</v>
      </c>
      <c r="H314" t="s">
        <v>30</v>
      </c>
      <c r="I314">
        <v>3</v>
      </c>
      <c r="J314">
        <v>3</v>
      </c>
    </row>
    <row r="315" spans="1:10" x14ac:dyDescent="0.25">
      <c r="A315" t="str">
        <f t="shared" si="6"/>
        <v>Shemaroo MeFakt Mahilao Maate</v>
      </c>
      <c r="B315" t="s">
        <v>127</v>
      </c>
      <c r="C315" t="s">
        <v>434</v>
      </c>
      <c r="D315" t="s">
        <v>760</v>
      </c>
      <c r="E315" t="s">
        <v>211</v>
      </c>
      <c r="F315" t="s">
        <v>458</v>
      </c>
      <c r="G315" t="s">
        <v>124</v>
      </c>
      <c r="H315" t="s">
        <v>30</v>
      </c>
      <c r="I315">
        <v>8</v>
      </c>
      <c r="J315">
        <v>8</v>
      </c>
    </row>
    <row r="316" spans="1:10" x14ac:dyDescent="0.25">
      <c r="A316" t="str">
        <f t="shared" si="6"/>
        <v>Shemaroo MeKamthaan</v>
      </c>
      <c r="B316" t="s">
        <v>127</v>
      </c>
      <c r="C316" t="s">
        <v>434</v>
      </c>
      <c r="D316" t="s">
        <v>761</v>
      </c>
      <c r="E316" t="s">
        <v>211</v>
      </c>
      <c r="F316" t="s">
        <v>458</v>
      </c>
      <c r="G316" t="s">
        <v>124</v>
      </c>
      <c r="H316" t="s">
        <v>30</v>
      </c>
      <c r="I316">
        <v>5</v>
      </c>
      <c r="J316">
        <v>5</v>
      </c>
    </row>
    <row r="317" spans="1:10" x14ac:dyDescent="0.25">
      <c r="A317" t="str">
        <f t="shared" si="6"/>
        <v>Shemaroo MeLagan Special</v>
      </c>
      <c r="B317" t="s">
        <v>127</v>
      </c>
      <c r="C317" t="s">
        <v>434</v>
      </c>
      <c r="D317" t="s">
        <v>762</v>
      </c>
      <c r="E317" t="s">
        <v>211</v>
      </c>
      <c r="F317" t="s">
        <v>458</v>
      </c>
      <c r="G317" t="s">
        <v>124</v>
      </c>
      <c r="H317" t="s">
        <v>30</v>
      </c>
      <c r="I317">
        <v>7</v>
      </c>
      <c r="J317">
        <v>7</v>
      </c>
    </row>
    <row r="318" spans="1:10" x14ac:dyDescent="0.25">
      <c r="A318" t="str">
        <f t="shared" si="6"/>
        <v>Shemaroo MeNaadi Dosh</v>
      </c>
      <c r="B318" t="s">
        <v>127</v>
      </c>
      <c r="C318" t="s">
        <v>434</v>
      </c>
      <c r="D318" t="s">
        <v>763</v>
      </c>
      <c r="E318" t="s">
        <v>211</v>
      </c>
      <c r="F318" t="s">
        <v>458</v>
      </c>
      <c r="G318" t="s">
        <v>172</v>
      </c>
      <c r="H318" t="s">
        <v>30</v>
      </c>
      <c r="I318">
        <v>10</v>
      </c>
      <c r="J318">
        <v>10</v>
      </c>
    </row>
    <row r="319" spans="1:10" x14ac:dyDescent="0.25">
      <c r="A319" t="str">
        <f t="shared" si="6"/>
        <v>Shemaroo MeRatanpur</v>
      </c>
      <c r="B319" t="s">
        <v>127</v>
      </c>
      <c r="C319" t="s">
        <v>434</v>
      </c>
      <c r="D319" t="s">
        <v>764</v>
      </c>
      <c r="E319" t="s">
        <v>211</v>
      </c>
      <c r="F319" t="s">
        <v>458</v>
      </c>
      <c r="G319" t="s">
        <v>103</v>
      </c>
      <c r="H319" t="s">
        <v>30</v>
      </c>
      <c r="I319">
        <v>6</v>
      </c>
      <c r="J319">
        <v>6</v>
      </c>
    </row>
    <row r="320" spans="1:10" x14ac:dyDescent="0.25">
      <c r="A320" t="str">
        <f t="shared" si="6"/>
        <v>Shemaroo MeTango Charlie</v>
      </c>
      <c r="B320" t="s">
        <v>127</v>
      </c>
      <c r="C320" t="s">
        <v>434</v>
      </c>
      <c r="D320" t="s">
        <v>765</v>
      </c>
      <c r="E320" t="s">
        <v>211</v>
      </c>
      <c r="F320" t="s">
        <v>458</v>
      </c>
      <c r="G320" t="s">
        <v>216</v>
      </c>
      <c r="H320" t="s">
        <v>19</v>
      </c>
      <c r="I320">
        <v>9</v>
      </c>
      <c r="J320">
        <v>9</v>
      </c>
    </row>
    <row r="321" spans="1:10" x14ac:dyDescent="0.25">
      <c r="A321" t="str">
        <f t="shared" si="6"/>
        <v>Sony LivDown Underdogs</v>
      </c>
      <c r="B321" t="s">
        <v>132</v>
      </c>
      <c r="C321" t="s">
        <v>433</v>
      </c>
      <c r="D321" t="s">
        <v>766</v>
      </c>
      <c r="E321" t="s">
        <v>219</v>
      </c>
      <c r="F321" t="s">
        <v>457</v>
      </c>
      <c r="G321" t="s">
        <v>451</v>
      </c>
      <c r="H321" t="s">
        <v>20</v>
      </c>
      <c r="I321">
        <v>6.333333333333333</v>
      </c>
      <c r="J321">
        <v>6</v>
      </c>
    </row>
    <row r="322" spans="1:10" x14ac:dyDescent="0.25">
      <c r="A322" t="str">
        <f t="shared" ref="A322:A385" si="7">B322&amp;D322</f>
        <v>Sony LivFreedom at Midnight</v>
      </c>
      <c r="B322" t="s">
        <v>132</v>
      </c>
      <c r="C322" t="s">
        <v>431</v>
      </c>
      <c r="D322" t="s">
        <v>414</v>
      </c>
      <c r="E322" t="s">
        <v>211</v>
      </c>
      <c r="F322" t="s">
        <v>457</v>
      </c>
      <c r="G322" t="s">
        <v>216</v>
      </c>
      <c r="H322" t="s">
        <v>467</v>
      </c>
      <c r="I322">
        <v>1</v>
      </c>
      <c r="J322">
        <v>1</v>
      </c>
    </row>
    <row r="323" spans="1:10" x14ac:dyDescent="0.25">
      <c r="A323" t="str">
        <f t="shared" si="7"/>
        <v>Sony LivGullak</v>
      </c>
      <c r="B323" t="s">
        <v>132</v>
      </c>
      <c r="C323" t="s">
        <v>431</v>
      </c>
      <c r="D323" t="s">
        <v>372</v>
      </c>
      <c r="E323" t="s">
        <v>211</v>
      </c>
      <c r="F323" t="s">
        <v>457</v>
      </c>
      <c r="G323" t="s">
        <v>138</v>
      </c>
      <c r="H323" t="s">
        <v>34</v>
      </c>
      <c r="I323">
        <v>10</v>
      </c>
      <c r="J323">
        <v>10</v>
      </c>
    </row>
    <row r="324" spans="1:10" x14ac:dyDescent="0.25">
      <c r="A324" t="str">
        <f t="shared" si="7"/>
        <v>Sony LivIndian Idol</v>
      </c>
      <c r="B324" t="s">
        <v>132</v>
      </c>
      <c r="C324" t="s">
        <v>431</v>
      </c>
      <c r="D324" t="s">
        <v>368</v>
      </c>
      <c r="E324" t="s">
        <v>219</v>
      </c>
      <c r="F324" t="s">
        <v>457</v>
      </c>
      <c r="G324" t="s">
        <v>180</v>
      </c>
      <c r="H324" t="s">
        <v>19</v>
      </c>
      <c r="I324">
        <v>2.3333333333333335</v>
      </c>
      <c r="J324">
        <v>2</v>
      </c>
    </row>
    <row r="325" spans="1:10" x14ac:dyDescent="0.25">
      <c r="A325" t="str">
        <f t="shared" si="7"/>
        <v>Sony LivMillion Dollar Listing India</v>
      </c>
      <c r="B325" t="s">
        <v>132</v>
      </c>
      <c r="C325" t="s">
        <v>431</v>
      </c>
      <c r="D325" t="s">
        <v>366</v>
      </c>
      <c r="E325" t="s">
        <v>211</v>
      </c>
      <c r="F325" t="s">
        <v>457</v>
      </c>
      <c r="G325" t="s">
        <v>180</v>
      </c>
      <c r="H325" t="s">
        <v>19</v>
      </c>
      <c r="I325">
        <v>3</v>
      </c>
      <c r="J325">
        <v>3</v>
      </c>
    </row>
    <row r="326" spans="1:10" x14ac:dyDescent="0.25">
      <c r="A326" t="str">
        <f t="shared" si="7"/>
        <v>Sony LivIndia’s Best Dancer vs Super Dancer: Champions ka Tashan</v>
      </c>
      <c r="B326" t="s">
        <v>132</v>
      </c>
      <c r="C326" t="s">
        <v>435</v>
      </c>
      <c r="D326" t="s">
        <v>767</v>
      </c>
      <c r="E326" t="s">
        <v>219</v>
      </c>
      <c r="F326" t="s">
        <v>218</v>
      </c>
      <c r="G326" t="s">
        <v>180</v>
      </c>
      <c r="H326" t="s">
        <v>19</v>
      </c>
      <c r="I326">
        <v>5</v>
      </c>
      <c r="J326">
        <v>5</v>
      </c>
    </row>
    <row r="327" spans="1:10" x14ac:dyDescent="0.25">
      <c r="A327" t="str">
        <f t="shared" si="7"/>
        <v>Sony LivIndia'S Best Dancer Season 4</v>
      </c>
      <c r="B327" t="s">
        <v>132</v>
      </c>
      <c r="C327" t="s">
        <v>435</v>
      </c>
      <c r="D327" t="s">
        <v>370</v>
      </c>
      <c r="E327" t="s">
        <v>219</v>
      </c>
      <c r="F327" t="s">
        <v>218</v>
      </c>
      <c r="G327" t="s">
        <v>180</v>
      </c>
      <c r="H327" t="s">
        <v>19</v>
      </c>
      <c r="I327">
        <v>9</v>
      </c>
      <c r="J327">
        <v>9</v>
      </c>
    </row>
    <row r="328" spans="1:10" x14ac:dyDescent="0.25">
      <c r="A328" t="str">
        <f t="shared" si="7"/>
        <v>Sony LivKaun Banega Crorepati</v>
      </c>
      <c r="B328" t="s">
        <v>132</v>
      </c>
      <c r="C328" t="s">
        <v>435</v>
      </c>
      <c r="D328" t="s">
        <v>367</v>
      </c>
      <c r="E328" t="s">
        <v>219</v>
      </c>
      <c r="F328" t="s">
        <v>218</v>
      </c>
      <c r="G328" t="s">
        <v>180</v>
      </c>
      <c r="H328" t="s">
        <v>19</v>
      </c>
      <c r="I328">
        <v>4.25</v>
      </c>
      <c r="J328">
        <v>4</v>
      </c>
    </row>
    <row r="329" spans="1:10" x14ac:dyDescent="0.25">
      <c r="A329" t="str">
        <f t="shared" si="7"/>
        <v>Sony LivRamayan</v>
      </c>
      <c r="B329" t="s">
        <v>132</v>
      </c>
      <c r="C329" t="s">
        <v>435</v>
      </c>
      <c r="D329" t="s">
        <v>371</v>
      </c>
      <c r="E329" t="s">
        <v>219</v>
      </c>
      <c r="F329" t="s">
        <v>218</v>
      </c>
      <c r="G329" t="s">
        <v>216</v>
      </c>
      <c r="H329" t="s">
        <v>19</v>
      </c>
      <c r="I329">
        <v>8</v>
      </c>
      <c r="J329">
        <v>8</v>
      </c>
    </row>
    <row r="330" spans="1:10" x14ac:dyDescent="0.25">
      <c r="A330" t="str">
        <f t="shared" si="7"/>
        <v>Sony LivTaarak Mehta Ka Ooltah Chashmah</v>
      </c>
      <c r="B330" t="s">
        <v>132</v>
      </c>
      <c r="C330" t="s">
        <v>435</v>
      </c>
      <c r="D330" t="s">
        <v>369</v>
      </c>
      <c r="E330" t="s">
        <v>219</v>
      </c>
      <c r="F330" t="s">
        <v>218</v>
      </c>
      <c r="G330" t="s">
        <v>216</v>
      </c>
      <c r="H330" t="s">
        <v>19</v>
      </c>
      <c r="I330">
        <v>6.333333333333333</v>
      </c>
      <c r="J330">
        <v>6</v>
      </c>
    </row>
    <row r="331" spans="1:10" x14ac:dyDescent="0.25">
      <c r="A331" t="str">
        <f t="shared" si="7"/>
        <v>Sony LivBadall pe paon hai</v>
      </c>
      <c r="B331" t="s">
        <v>132</v>
      </c>
      <c r="C331" t="s">
        <v>456</v>
      </c>
      <c r="D331" t="s">
        <v>768</v>
      </c>
      <c r="E331" t="s">
        <v>219</v>
      </c>
      <c r="F331" t="s">
        <v>218</v>
      </c>
      <c r="G331" t="s">
        <v>216</v>
      </c>
      <c r="H331" t="s">
        <v>19</v>
      </c>
      <c r="I331">
        <v>4</v>
      </c>
      <c r="J331">
        <v>4</v>
      </c>
    </row>
    <row r="332" spans="1:10" x14ac:dyDescent="0.25">
      <c r="A332" t="str">
        <f t="shared" si="7"/>
        <v>Sony LivBarsatein Masuam pyar ka</v>
      </c>
      <c r="B332" t="s">
        <v>132</v>
      </c>
      <c r="C332" t="s">
        <v>456</v>
      </c>
      <c r="D332" t="s">
        <v>769</v>
      </c>
      <c r="E332" t="s">
        <v>219</v>
      </c>
      <c r="F332" t="s">
        <v>218</v>
      </c>
      <c r="G332" t="s">
        <v>216</v>
      </c>
      <c r="H332" t="s">
        <v>19</v>
      </c>
      <c r="I332">
        <v>5</v>
      </c>
      <c r="J332">
        <v>5</v>
      </c>
    </row>
    <row r="333" spans="1:10" x14ac:dyDescent="0.25">
      <c r="A333" t="str">
        <f t="shared" si="7"/>
        <v>Sony LivJubilee Talkies</v>
      </c>
      <c r="B333" t="s">
        <v>132</v>
      </c>
      <c r="C333" t="s">
        <v>456</v>
      </c>
      <c r="D333" t="s">
        <v>770</v>
      </c>
      <c r="E333" t="s">
        <v>219</v>
      </c>
      <c r="F333" t="s">
        <v>218</v>
      </c>
      <c r="G333" t="s">
        <v>216</v>
      </c>
      <c r="H333" t="s">
        <v>19</v>
      </c>
      <c r="I333">
        <v>1</v>
      </c>
      <c r="J333">
        <v>1</v>
      </c>
    </row>
    <row r="334" spans="1:10" x14ac:dyDescent="0.25">
      <c r="A334" t="str">
        <f t="shared" si="7"/>
        <v>Sony LivKatha Ankahi</v>
      </c>
      <c r="B334" t="s">
        <v>132</v>
      </c>
      <c r="C334" t="s">
        <v>456</v>
      </c>
      <c r="D334" t="s">
        <v>771</v>
      </c>
      <c r="E334" t="s">
        <v>219</v>
      </c>
      <c r="F334" t="s">
        <v>218</v>
      </c>
      <c r="G334" t="s">
        <v>216</v>
      </c>
      <c r="H334" t="s">
        <v>19</v>
      </c>
      <c r="I334">
        <v>6</v>
      </c>
      <c r="J334">
        <v>6</v>
      </c>
    </row>
    <row r="335" spans="1:10" x14ac:dyDescent="0.25">
      <c r="A335" t="str">
        <f t="shared" si="7"/>
        <v>Sony LivKavya</v>
      </c>
      <c r="B335" t="s">
        <v>132</v>
      </c>
      <c r="C335" t="s">
        <v>456</v>
      </c>
      <c r="D335" t="s">
        <v>772</v>
      </c>
      <c r="E335" t="s">
        <v>219</v>
      </c>
      <c r="F335" t="s">
        <v>218</v>
      </c>
      <c r="G335" t="s">
        <v>216</v>
      </c>
      <c r="H335" t="s">
        <v>19</v>
      </c>
      <c r="I335">
        <v>3</v>
      </c>
      <c r="J335">
        <v>3</v>
      </c>
    </row>
    <row r="336" spans="1:10" x14ac:dyDescent="0.25">
      <c r="A336" t="str">
        <f t="shared" si="7"/>
        <v>Sony LivPashminna</v>
      </c>
      <c r="B336" t="s">
        <v>132</v>
      </c>
      <c r="C336" t="s">
        <v>456</v>
      </c>
      <c r="D336" t="s">
        <v>773</v>
      </c>
      <c r="E336" t="s">
        <v>219</v>
      </c>
      <c r="F336" t="s">
        <v>218</v>
      </c>
      <c r="G336" t="s">
        <v>216</v>
      </c>
      <c r="H336" t="s">
        <v>19</v>
      </c>
      <c r="I336">
        <v>8</v>
      </c>
      <c r="J336">
        <v>8</v>
      </c>
    </row>
    <row r="337" spans="1:10" x14ac:dyDescent="0.25">
      <c r="A337" t="str">
        <f t="shared" si="7"/>
        <v>Sony LivPukaar dil se dil tak</v>
      </c>
      <c r="B337" t="s">
        <v>132</v>
      </c>
      <c r="C337" t="s">
        <v>456</v>
      </c>
      <c r="D337" t="s">
        <v>774</v>
      </c>
      <c r="E337" t="s">
        <v>219</v>
      </c>
      <c r="F337" t="s">
        <v>218</v>
      </c>
      <c r="G337" t="s">
        <v>216</v>
      </c>
      <c r="H337" t="s">
        <v>19</v>
      </c>
      <c r="I337">
        <v>2</v>
      </c>
      <c r="J337">
        <v>2</v>
      </c>
    </row>
    <row r="338" spans="1:10" x14ac:dyDescent="0.25">
      <c r="A338" t="str">
        <f t="shared" si="7"/>
        <v>Sony LivPushpa Impossible</v>
      </c>
      <c r="B338" t="s">
        <v>132</v>
      </c>
      <c r="C338" t="s">
        <v>456</v>
      </c>
      <c r="D338" t="s">
        <v>775</v>
      </c>
      <c r="E338" t="s">
        <v>219</v>
      </c>
      <c r="F338" t="s">
        <v>218</v>
      </c>
      <c r="G338" t="s">
        <v>216</v>
      </c>
      <c r="H338" t="s">
        <v>19</v>
      </c>
      <c r="I338">
        <v>9</v>
      </c>
      <c r="J338">
        <v>9</v>
      </c>
    </row>
    <row r="339" spans="1:10" x14ac:dyDescent="0.25">
      <c r="A339" t="str">
        <f t="shared" si="7"/>
        <v>Sony LivRaisinghani vs Raisinghani</v>
      </c>
      <c r="B339" t="s">
        <v>132</v>
      </c>
      <c r="C339" t="s">
        <v>456</v>
      </c>
      <c r="D339" t="s">
        <v>776</v>
      </c>
      <c r="E339" t="s">
        <v>219</v>
      </c>
      <c r="F339" t="s">
        <v>218</v>
      </c>
      <c r="G339" t="s">
        <v>216</v>
      </c>
      <c r="H339" t="s">
        <v>19</v>
      </c>
      <c r="I339">
        <v>10</v>
      </c>
      <c r="J339">
        <v>10</v>
      </c>
    </row>
    <row r="340" spans="1:10" x14ac:dyDescent="0.25">
      <c r="A340" t="str">
        <f t="shared" si="7"/>
        <v>Sony LivVansaj</v>
      </c>
      <c r="B340" t="s">
        <v>132</v>
      </c>
      <c r="C340" t="s">
        <v>456</v>
      </c>
      <c r="D340" t="s">
        <v>777</v>
      </c>
      <c r="E340" t="s">
        <v>219</v>
      </c>
      <c r="F340" t="s">
        <v>218</v>
      </c>
      <c r="G340" t="s">
        <v>216</v>
      </c>
      <c r="H340" t="s">
        <v>19</v>
      </c>
      <c r="I340">
        <v>7</v>
      </c>
      <c r="J340">
        <v>7</v>
      </c>
    </row>
    <row r="341" spans="1:10" x14ac:dyDescent="0.25">
      <c r="A341" t="str">
        <f t="shared" si="7"/>
        <v>Stage12Vi Aala Pyar</v>
      </c>
      <c r="B341" t="s">
        <v>455</v>
      </c>
      <c r="C341" t="s">
        <v>432</v>
      </c>
      <c r="D341" t="s">
        <v>778</v>
      </c>
      <c r="E341" t="s">
        <v>211</v>
      </c>
      <c r="F341" t="s">
        <v>458</v>
      </c>
      <c r="G341" t="s">
        <v>178</v>
      </c>
      <c r="H341" t="s">
        <v>468</v>
      </c>
      <c r="I341">
        <v>3</v>
      </c>
      <c r="J341">
        <v>3</v>
      </c>
    </row>
    <row r="342" spans="1:10" x14ac:dyDescent="0.25">
      <c r="A342" t="str">
        <f t="shared" si="7"/>
        <v>StageDhadaam</v>
      </c>
      <c r="B342" t="s">
        <v>455</v>
      </c>
      <c r="C342" t="s">
        <v>432</v>
      </c>
      <c r="D342" t="s">
        <v>779</v>
      </c>
      <c r="E342" t="s">
        <v>211</v>
      </c>
      <c r="F342" t="s">
        <v>458</v>
      </c>
      <c r="G342" t="s">
        <v>216</v>
      </c>
      <c r="H342" t="s">
        <v>468</v>
      </c>
      <c r="I342">
        <v>7</v>
      </c>
      <c r="J342">
        <v>7</v>
      </c>
    </row>
    <row r="343" spans="1:10" x14ac:dyDescent="0.25">
      <c r="A343" t="str">
        <f t="shared" si="7"/>
        <v>StageMaayro</v>
      </c>
      <c r="B343" t="s">
        <v>455</v>
      </c>
      <c r="C343" t="s">
        <v>432</v>
      </c>
      <c r="D343" t="s">
        <v>780</v>
      </c>
      <c r="E343" t="s">
        <v>211</v>
      </c>
      <c r="F343" t="s">
        <v>458</v>
      </c>
      <c r="G343" t="s">
        <v>216</v>
      </c>
      <c r="H343" t="s">
        <v>469</v>
      </c>
      <c r="I343">
        <v>4</v>
      </c>
      <c r="J343">
        <v>4</v>
      </c>
    </row>
    <row r="344" spans="1:10" x14ac:dyDescent="0.25">
      <c r="A344" t="str">
        <f t="shared" si="7"/>
        <v>StageMuklavo</v>
      </c>
      <c r="B344" t="s">
        <v>455</v>
      </c>
      <c r="C344" t="s">
        <v>432</v>
      </c>
      <c r="D344" t="s">
        <v>781</v>
      </c>
      <c r="E344" t="s">
        <v>211</v>
      </c>
      <c r="F344" t="s">
        <v>458</v>
      </c>
      <c r="G344" t="s">
        <v>216</v>
      </c>
      <c r="H344" t="s">
        <v>469</v>
      </c>
      <c r="I344">
        <v>5</v>
      </c>
      <c r="J344">
        <v>5</v>
      </c>
    </row>
    <row r="345" spans="1:10" x14ac:dyDescent="0.25">
      <c r="A345" t="str">
        <f t="shared" si="7"/>
        <v>StageNuchwana</v>
      </c>
      <c r="B345" t="s">
        <v>455</v>
      </c>
      <c r="C345" t="s">
        <v>432</v>
      </c>
      <c r="D345" t="s">
        <v>782</v>
      </c>
      <c r="E345" t="s">
        <v>211</v>
      </c>
      <c r="F345" t="s">
        <v>458</v>
      </c>
      <c r="G345" t="s">
        <v>149</v>
      </c>
      <c r="H345" t="s">
        <v>469</v>
      </c>
      <c r="I345">
        <v>6</v>
      </c>
      <c r="J345">
        <v>6</v>
      </c>
    </row>
    <row r="346" spans="1:10" x14ac:dyDescent="0.25">
      <c r="A346" t="str">
        <f t="shared" si="7"/>
        <v>StagePrem Kabootar</v>
      </c>
      <c r="B346" t="s">
        <v>455</v>
      </c>
      <c r="C346" t="s">
        <v>432</v>
      </c>
      <c r="D346" t="s">
        <v>783</v>
      </c>
      <c r="E346" t="s">
        <v>211</v>
      </c>
      <c r="F346" t="s">
        <v>458</v>
      </c>
      <c r="G346" t="s">
        <v>279</v>
      </c>
      <c r="H346" t="s">
        <v>468</v>
      </c>
      <c r="I346">
        <v>8</v>
      </c>
      <c r="J346">
        <v>8</v>
      </c>
    </row>
    <row r="347" spans="1:10" x14ac:dyDescent="0.25">
      <c r="A347" t="str">
        <f t="shared" si="7"/>
        <v>StagePunar Janam</v>
      </c>
      <c r="B347" t="s">
        <v>455</v>
      </c>
      <c r="C347" t="s">
        <v>432</v>
      </c>
      <c r="D347" t="s">
        <v>784</v>
      </c>
      <c r="E347" t="s">
        <v>211</v>
      </c>
      <c r="F347" t="s">
        <v>458</v>
      </c>
      <c r="G347" t="s">
        <v>216</v>
      </c>
      <c r="H347" t="s">
        <v>468</v>
      </c>
      <c r="I347">
        <v>1</v>
      </c>
      <c r="J347">
        <v>1</v>
      </c>
    </row>
    <row r="348" spans="1:10" x14ac:dyDescent="0.25">
      <c r="A348" t="str">
        <f t="shared" si="7"/>
        <v>StageRaanda Ramphal</v>
      </c>
      <c r="B348" t="s">
        <v>455</v>
      </c>
      <c r="C348" t="s">
        <v>432</v>
      </c>
      <c r="D348" t="s">
        <v>785</v>
      </c>
      <c r="E348" t="s">
        <v>211</v>
      </c>
      <c r="F348" t="s">
        <v>458</v>
      </c>
      <c r="G348" t="s">
        <v>178</v>
      </c>
      <c r="H348" t="s">
        <v>468</v>
      </c>
      <c r="I348">
        <v>10</v>
      </c>
      <c r="J348">
        <v>10</v>
      </c>
    </row>
    <row r="349" spans="1:10" x14ac:dyDescent="0.25">
      <c r="A349" t="str">
        <f t="shared" si="7"/>
        <v>StageZidd</v>
      </c>
      <c r="B349" t="s">
        <v>455</v>
      </c>
      <c r="C349" t="s">
        <v>432</v>
      </c>
      <c r="D349" t="s">
        <v>786</v>
      </c>
      <c r="E349" t="s">
        <v>211</v>
      </c>
      <c r="F349" t="s">
        <v>458</v>
      </c>
      <c r="G349" t="s">
        <v>216</v>
      </c>
      <c r="H349" t="s">
        <v>468</v>
      </c>
      <c r="I349">
        <v>9</v>
      </c>
      <c r="J349">
        <v>9</v>
      </c>
    </row>
    <row r="350" spans="1:10" x14ac:dyDescent="0.25">
      <c r="A350" t="str">
        <f t="shared" si="7"/>
        <v>StageBairi Mafia</v>
      </c>
      <c r="B350" t="s">
        <v>455</v>
      </c>
      <c r="C350" t="s">
        <v>431</v>
      </c>
      <c r="D350" t="s">
        <v>787</v>
      </c>
      <c r="E350" t="s">
        <v>211</v>
      </c>
      <c r="F350" t="s">
        <v>457</v>
      </c>
      <c r="G350" t="s">
        <v>178</v>
      </c>
      <c r="H350" t="s">
        <v>469</v>
      </c>
      <c r="I350">
        <v>2</v>
      </c>
      <c r="J350">
        <v>2</v>
      </c>
    </row>
    <row r="351" spans="1:10" x14ac:dyDescent="0.25">
      <c r="A351" t="str">
        <f t="shared" si="7"/>
        <v>Sun NxtArun Vijay Super Scenes</v>
      </c>
      <c r="B351" t="s">
        <v>135</v>
      </c>
      <c r="C351" t="s">
        <v>431</v>
      </c>
      <c r="D351" t="s">
        <v>788</v>
      </c>
      <c r="E351" t="s">
        <v>211</v>
      </c>
      <c r="F351" t="s">
        <v>457</v>
      </c>
      <c r="G351" t="s">
        <v>216</v>
      </c>
      <c r="H351" t="s">
        <v>22</v>
      </c>
      <c r="I351">
        <v>3</v>
      </c>
      <c r="J351">
        <v>3</v>
      </c>
    </row>
    <row r="352" spans="1:10" x14ac:dyDescent="0.25">
      <c r="A352" t="str">
        <f t="shared" si="7"/>
        <v>Sun NxtMalli Teacher</v>
      </c>
      <c r="B352" t="s">
        <v>135</v>
      </c>
      <c r="C352" t="s">
        <v>431</v>
      </c>
      <c r="D352" t="s">
        <v>789</v>
      </c>
      <c r="E352" t="s">
        <v>211</v>
      </c>
      <c r="F352" t="s">
        <v>457</v>
      </c>
      <c r="G352" t="s">
        <v>216</v>
      </c>
      <c r="H352" t="s">
        <v>22</v>
      </c>
      <c r="I352">
        <v>9</v>
      </c>
      <c r="J352">
        <v>9</v>
      </c>
    </row>
    <row r="353" spans="1:10" x14ac:dyDescent="0.25">
      <c r="A353" t="str">
        <f t="shared" si="7"/>
        <v>Sun NxtNathicharami</v>
      </c>
      <c r="B353" t="s">
        <v>135</v>
      </c>
      <c r="C353" t="s">
        <v>431</v>
      </c>
      <c r="D353" t="s">
        <v>790</v>
      </c>
      <c r="E353" t="s">
        <v>211</v>
      </c>
      <c r="F353" t="s">
        <v>457</v>
      </c>
      <c r="G353" t="s">
        <v>216</v>
      </c>
      <c r="H353" t="s">
        <v>25</v>
      </c>
      <c r="I353">
        <v>8</v>
      </c>
      <c r="J353">
        <v>8</v>
      </c>
    </row>
    <row r="354" spans="1:10" x14ac:dyDescent="0.25">
      <c r="A354" t="str">
        <f t="shared" si="7"/>
        <v>Sun NxtNTR.Jr: A Cinematic Storm</v>
      </c>
      <c r="B354" t="s">
        <v>135</v>
      </c>
      <c r="C354" t="s">
        <v>431</v>
      </c>
      <c r="D354" t="s">
        <v>791</v>
      </c>
      <c r="E354" t="s">
        <v>211</v>
      </c>
      <c r="F354" t="s">
        <v>457</v>
      </c>
      <c r="G354" t="s">
        <v>216</v>
      </c>
      <c r="H354" t="s">
        <v>23</v>
      </c>
      <c r="I354">
        <v>1</v>
      </c>
      <c r="J354">
        <v>1</v>
      </c>
    </row>
    <row r="355" spans="1:10" x14ac:dyDescent="0.25">
      <c r="A355" t="str">
        <f t="shared" si="7"/>
        <v>Sun NxtPriyanka Arul Mohan Super Scenes</v>
      </c>
      <c r="B355" t="s">
        <v>135</v>
      </c>
      <c r="C355" t="s">
        <v>431</v>
      </c>
      <c r="D355" t="s">
        <v>792</v>
      </c>
      <c r="E355" t="s">
        <v>211</v>
      </c>
      <c r="F355" t="s">
        <v>457</v>
      </c>
      <c r="G355" t="s">
        <v>216</v>
      </c>
      <c r="H355" t="s">
        <v>22</v>
      </c>
      <c r="I355">
        <v>2</v>
      </c>
      <c r="J355">
        <v>2</v>
      </c>
    </row>
    <row r="356" spans="1:10" x14ac:dyDescent="0.25">
      <c r="A356" t="str">
        <f t="shared" si="7"/>
        <v>Sun NxtRanjani</v>
      </c>
      <c r="B356" t="s">
        <v>135</v>
      </c>
      <c r="C356" t="s">
        <v>431</v>
      </c>
      <c r="D356" t="s">
        <v>793</v>
      </c>
      <c r="E356" t="s">
        <v>211</v>
      </c>
      <c r="F356" t="s">
        <v>457</v>
      </c>
      <c r="G356" t="s">
        <v>216</v>
      </c>
      <c r="H356" t="s">
        <v>22</v>
      </c>
      <c r="I356">
        <v>7</v>
      </c>
      <c r="J356">
        <v>7</v>
      </c>
    </row>
    <row r="357" spans="1:10" x14ac:dyDescent="0.25">
      <c r="A357" t="str">
        <f t="shared" si="7"/>
        <v>Sun NxtYadha Yadha Hi</v>
      </c>
      <c r="B357" t="s">
        <v>135</v>
      </c>
      <c r="C357" t="s">
        <v>431</v>
      </c>
      <c r="D357" t="s">
        <v>417</v>
      </c>
      <c r="E357" t="s">
        <v>211</v>
      </c>
      <c r="F357" t="s">
        <v>457</v>
      </c>
      <c r="G357" t="s">
        <v>168</v>
      </c>
      <c r="H357" t="s">
        <v>25</v>
      </c>
      <c r="I357">
        <v>4</v>
      </c>
      <c r="J357">
        <v>4</v>
      </c>
    </row>
    <row r="358" spans="1:10" x14ac:dyDescent="0.25">
      <c r="A358" t="str">
        <f t="shared" si="7"/>
        <v>Sun NxtHarom Hara</v>
      </c>
      <c r="B358" t="s">
        <v>135</v>
      </c>
      <c r="C358" t="s">
        <v>434</v>
      </c>
      <c r="D358" t="s">
        <v>794</v>
      </c>
      <c r="E358" t="s">
        <v>211</v>
      </c>
      <c r="F358" t="s">
        <v>458</v>
      </c>
      <c r="G358" t="s">
        <v>87</v>
      </c>
      <c r="H358" t="s">
        <v>23</v>
      </c>
      <c r="I358">
        <v>10</v>
      </c>
      <c r="J358">
        <v>10</v>
      </c>
    </row>
    <row r="359" spans="1:10" x14ac:dyDescent="0.25">
      <c r="A359" t="str">
        <f t="shared" si="7"/>
        <v>Sun NxtJailer - Kaavaalaa Sing &amp; Vibe Along</v>
      </c>
      <c r="B359" t="s">
        <v>135</v>
      </c>
      <c r="C359" t="s">
        <v>434</v>
      </c>
      <c r="D359" t="s">
        <v>795</v>
      </c>
      <c r="E359" t="s">
        <v>211</v>
      </c>
      <c r="F359" t="s">
        <v>458</v>
      </c>
      <c r="G359" t="s">
        <v>74</v>
      </c>
      <c r="H359" t="s">
        <v>22</v>
      </c>
      <c r="I359">
        <v>5</v>
      </c>
      <c r="J359">
        <v>5</v>
      </c>
    </row>
    <row r="360" spans="1:10" x14ac:dyDescent="0.25">
      <c r="A360" t="str">
        <f t="shared" si="7"/>
        <v>Sun NxtRaayan - Rumble</v>
      </c>
      <c r="B360" t="s">
        <v>135</v>
      </c>
      <c r="C360" t="s">
        <v>434</v>
      </c>
      <c r="D360" t="s">
        <v>796</v>
      </c>
      <c r="E360" t="s">
        <v>211</v>
      </c>
      <c r="F360" t="s">
        <v>458</v>
      </c>
      <c r="G360" t="s">
        <v>74</v>
      </c>
      <c r="H360" t="s">
        <v>22</v>
      </c>
      <c r="I360">
        <v>6</v>
      </c>
      <c r="J360">
        <v>6</v>
      </c>
    </row>
    <row r="361" spans="1:10" x14ac:dyDescent="0.25">
      <c r="A361" t="str">
        <f t="shared" si="7"/>
        <v>UlluCheese Cake</v>
      </c>
      <c r="B361" t="s">
        <v>142</v>
      </c>
      <c r="C361" t="s">
        <v>431</v>
      </c>
      <c r="D361" t="s">
        <v>797</v>
      </c>
      <c r="E361" t="s">
        <v>211</v>
      </c>
      <c r="F361" t="s">
        <v>457</v>
      </c>
      <c r="G361" t="s">
        <v>216</v>
      </c>
      <c r="H361" t="s">
        <v>19</v>
      </c>
      <c r="I361">
        <v>2</v>
      </c>
      <c r="J361">
        <v>2</v>
      </c>
    </row>
    <row r="362" spans="1:10" x14ac:dyDescent="0.25">
      <c r="A362" t="str">
        <f t="shared" si="7"/>
        <v>UlluDil Sambhal Ja Zara</v>
      </c>
      <c r="B362" t="s">
        <v>142</v>
      </c>
      <c r="C362" t="s">
        <v>431</v>
      </c>
      <c r="D362" t="s">
        <v>798</v>
      </c>
      <c r="E362" t="s">
        <v>211</v>
      </c>
      <c r="F362" t="s">
        <v>457</v>
      </c>
      <c r="G362" t="s">
        <v>174</v>
      </c>
      <c r="H362" t="s">
        <v>19</v>
      </c>
      <c r="I362">
        <v>4</v>
      </c>
      <c r="J362">
        <v>4</v>
      </c>
    </row>
    <row r="363" spans="1:10" x14ac:dyDescent="0.25">
      <c r="A363" t="str">
        <f t="shared" si="7"/>
        <v>UlluGood Night</v>
      </c>
      <c r="B363" t="s">
        <v>142</v>
      </c>
      <c r="C363" t="s">
        <v>431</v>
      </c>
      <c r="D363" t="s">
        <v>799</v>
      </c>
      <c r="E363" t="s">
        <v>211</v>
      </c>
      <c r="F363" t="s">
        <v>457</v>
      </c>
      <c r="G363" t="s">
        <v>138</v>
      </c>
      <c r="H363" t="s">
        <v>19</v>
      </c>
      <c r="I363">
        <v>9</v>
      </c>
      <c r="J363">
        <v>9</v>
      </c>
    </row>
    <row r="364" spans="1:10" x14ac:dyDescent="0.25">
      <c r="A364" t="str">
        <f t="shared" si="7"/>
        <v>UlluKasak</v>
      </c>
      <c r="B364" t="s">
        <v>142</v>
      </c>
      <c r="C364" t="s">
        <v>431</v>
      </c>
      <c r="D364" t="s">
        <v>800</v>
      </c>
      <c r="E364" t="s">
        <v>211</v>
      </c>
      <c r="F364" t="s">
        <v>457</v>
      </c>
      <c r="G364" t="s">
        <v>174</v>
      </c>
      <c r="H364" t="s">
        <v>19</v>
      </c>
      <c r="I364">
        <v>3</v>
      </c>
      <c r="J364">
        <v>3</v>
      </c>
    </row>
    <row r="365" spans="1:10" x14ac:dyDescent="0.25">
      <c r="A365" t="str">
        <f t="shared" si="7"/>
        <v>UlluKasturi</v>
      </c>
      <c r="B365" t="s">
        <v>142</v>
      </c>
      <c r="C365" t="s">
        <v>431</v>
      </c>
      <c r="D365" t="s">
        <v>801</v>
      </c>
      <c r="E365" t="s">
        <v>211</v>
      </c>
      <c r="F365" t="s">
        <v>457</v>
      </c>
      <c r="G365" t="s">
        <v>174</v>
      </c>
      <c r="H365" t="s">
        <v>19</v>
      </c>
      <c r="I365">
        <v>5</v>
      </c>
      <c r="J365">
        <v>5</v>
      </c>
    </row>
    <row r="366" spans="1:10" x14ac:dyDescent="0.25">
      <c r="A366" t="str">
        <f t="shared" si="7"/>
        <v>UlluKissa</v>
      </c>
      <c r="B366" t="s">
        <v>142</v>
      </c>
      <c r="C366" t="s">
        <v>431</v>
      </c>
      <c r="D366" t="s">
        <v>802</v>
      </c>
      <c r="E366" t="s">
        <v>211</v>
      </c>
      <c r="F366" t="s">
        <v>457</v>
      </c>
      <c r="G366" t="s">
        <v>174</v>
      </c>
      <c r="H366" t="s">
        <v>19</v>
      </c>
      <c r="I366">
        <v>7</v>
      </c>
      <c r="J366">
        <v>7</v>
      </c>
    </row>
    <row r="367" spans="1:10" x14ac:dyDescent="0.25">
      <c r="A367" t="str">
        <f t="shared" si="7"/>
        <v>UlluNau Do Gyarah</v>
      </c>
      <c r="B367" t="s">
        <v>142</v>
      </c>
      <c r="C367" t="s">
        <v>431</v>
      </c>
      <c r="D367" t="s">
        <v>803</v>
      </c>
      <c r="E367" t="s">
        <v>211</v>
      </c>
      <c r="F367" t="s">
        <v>457</v>
      </c>
      <c r="G367" t="s">
        <v>174</v>
      </c>
      <c r="H367" t="s">
        <v>19</v>
      </c>
      <c r="I367">
        <v>8</v>
      </c>
      <c r="J367">
        <v>8</v>
      </c>
    </row>
    <row r="368" spans="1:10" x14ac:dyDescent="0.25">
      <c r="A368" t="str">
        <f t="shared" si="7"/>
        <v>UlluPasta</v>
      </c>
      <c r="B368" t="s">
        <v>142</v>
      </c>
      <c r="C368" t="s">
        <v>431</v>
      </c>
      <c r="D368" t="s">
        <v>804</v>
      </c>
      <c r="E368" t="s">
        <v>211</v>
      </c>
      <c r="F368" t="s">
        <v>457</v>
      </c>
      <c r="G368" t="s">
        <v>216</v>
      </c>
      <c r="H368" t="s">
        <v>19</v>
      </c>
      <c r="I368">
        <v>10</v>
      </c>
      <c r="J368">
        <v>10</v>
      </c>
    </row>
    <row r="369" spans="1:10" x14ac:dyDescent="0.25">
      <c r="A369" t="str">
        <f t="shared" si="7"/>
        <v>UlluRed Light</v>
      </c>
      <c r="B369" t="s">
        <v>142</v>
      </c>
      <c r="C369" t="s">
        <v>431</v>
      </c>
      <c r="D369" t="s">
        <v>805</v>
      </c>
      <c r="E369" t="s">
        <v>211</v>
      </c>
      <c r="F369" t="s">
        <v>457</v>
      </c>
      <c r="G369" t="s">
        <v>174</v>
      </c>
      <c r="H369" t="s">
        <v>19</v>
      </c>
      <c r="I369">
        <v>6</v>
      </c>
      <c r="J369">
        <v>6</v>
      </c>
    </row>
    <row r="370" spans="1:10" x14ac:dyDescent="0.25">
      <c r="A370" t="str">
        <f t="shared" si="7"/>
        <v>UlluSona</v>
      </c>
      <c r="B370" t="s">
        <v>142</v>
      </c>
      <c r="C370" t="s">
        <v>431</v>
      </c>
      <c r="D370" t="s">
        <v>806</v>
      </c>
      <c r="E370" t="s">
        <v>211</v>
      </c>
      <c r="F370" t="s">
        <v>457</v>
      </c>
      <c r="G370" t="s">
        <v>174</v>
      </c>
      <c r="H370" t="s">
        <v>19</v>
      </c>
      <c r="I370">
        <v>1</v>
      </c>
      <c r="J370">
        <v>1</v>
      </c>
    </row>
    <row r="371" spans="1:10" x14ac:dyDescent="0.25">
      <c r="A371" t="str">
        <f t="shared" si="7"/>
        <v>Vr OttBaptiste</v>
      </c>
      <c r="B371" t="s">
        <v>144</v>
      </c>
      <c r="C371" t="s">
        <v>431</v>
      </c>
      <c r="D371" t="s">
        <v>807</v>
      </c>
      <c r="E371" t="s">
        <v>211</v>
      </c>
      <c r="F371" t="s">
        <v>457</v>
      </c>
      <c r="G371" t="s">
        <v>504</v>
      </c>
      <c r="H371" t="s">
        <v>28</v>
      </c>
      <c r="I371">
        <v>7</v>
      </c>
      <c r="J371">
        <v>7</v>
      </c>
    </row>
    <row r="372" spans="1:10" x14ac:dyDescent="0.25">
      <c r="A372" t="str">
        <f t="shared" si="7"/>
        <v>Vr OttClique</v>
      </c>
      <c r="B372" t="s">
        <v>144</v>
      </c>
      <c r="C372" t="s">
        <v>431</v>
      </c>
      <c r="D372" t="s">
        <v>808</v>
      </c>
      <c r="E372" t="s">
        <v>211</v>
      </c>
      <c r="F372" t="s">
        <v>457</v>
      </c>
      <c r="G372" t="s">
        <v>505</v>
      </c>
      <c r="H372" t="s">
        <v>28</v>
      </c>
      <c r="I372">
        <v>6</v>
      </c>
      <c r="J372">
        <v>6</v>
      </c>
    </row>
    <row r="373" spans="1:10" x14ac:dyDescent="0.25">
      <c r="A373" t="str">
        <f t="shared" si="7"/>
        <v>Vr OttPenance</v>
      </c>
      <c r="B373" t="s">
        <v>144</v>
      </c>
      <c r="C373" t="s">
        <v>431</v>
      </c>
      <c r="D373" t="s">
        <v>809</v>
      </c>
      <c r="E373" t="s">
        <v>211</v>
      </c>
      <c r="F373" t="s">
        <v>457</v>
      </c>
      <c r="G373" t="s">
        <v>505</v>
      </c>
      <c r="H373" t="s">
        <v>28</v>
      </c>
      <c r="I373">
        <v>4</v>
      </c>
      <c r="J373">
        <v>4</v>
      </c>
    </row>
    <row r="374" spans="1:10" x14ac:dyDescent="0.25">
      <c r="A374" t="str">
        <f t="shared" si="7"/>
        <v>Vr OttSkins</v>
      </c>
      <c r="B374" t="s">
        <v>144</v>
      </c>
      <c r="C374" t="s">
        <v>431</v>
      </c>
      <c r="D374" t="s">
        <v>810</v>
      </c>
      <c r="E374" t="s">
        <v>211</v>
      </c>
      <c r="F374" t="s">
        <v>457</v>
      </c>
      <c r="G374" t="s">
        <v>216</v>
      </c>
      <c r="H374" t="s">
        <v>28</v>
      </c>
      <c r="I374">
        <v>1</v>
      </c>
      <c r="J374">
        <v>1</v>
      </c>
    </row>
    <row r="375" spans="1:10" x14ac:dyDescent="0.25">
      <c r="A375" t="str">
        <f t="shared" si="7"/>
        <v>Vr OttThe Holiday</v>
      </c>
      <c r="B375" t="s">
        <v>144</v>
      </c>
      <c r="C375" t="s">
        <v>431</v>
      </c>
      <c r="D375" t="s">
        <v>811</v>
      </c>
      <c r="E375" t="s">
        <v>211</v>
      </c>
      <c r="F375" t="s">
        <v>457</v>
      </c>
      <c r="G375" t="s">
        <v>202</v>
      </c>
      <c r="H375" t="s">
        <v>28</v>
      </c>
      <c r="I375">
        <v>3</v>
      </c>
      <c r="J375">
        <v>3</v>
      </c>
    </row>
    <row r="376" spans="1:10" x14ac:dyDescent="0.25">
      <c r="A376" t="str">
        <f t="shared" si="7"/>
        <v>Vr OttToo Close</v>
      </c>
      <c r="B376" t="s">
        <v>144</v>
      </c>
      <c r="C376" t="s">
        <v>431</v>
      </c>
      <c r="D376" t="s">
        <v>812</v>
      </c>
      <c r="E376" t="s">
        <v>211</v>
      </c>
      <c r="F376" t="s">
        <v>457</v>
      </c>
      <c r="G376" t="s">
        <v>287</v>
      </c>
      <c r="H376" t="s">
        <v>28</v>
      </c>
      <c r="I376">
        <v>2</v>
      </c>
      <c r="J376">
        <v>2</v>
      </c>
    </row>
    <row r="377" spans="1:10" x14ac:dyDescent="0.25">
      <c r="A377" t="str">
        <f t="shared" si="7"/>
        <v>Vr OttVan Der Valk</v>
      </c>
      <c r="B377" t="s">
        <v>144</v>
      </c>
      <c r="C377" t="s">
        <v>431</v>
      </c>
      <c r="D377" t="s">
        <v>813</v>
      </c>
      <c r="E377" t="s">
        <v>211</v>
      </c>
      <c r="F377" t="s">
        <v>457</v>
      </c>
      <c r="G377" t="s">
        <v>159</v>
      </c>
      <c r="H377" t="s">
        <v>28</v>
      </c>
      <c r="I377">
        <v>5</v>
      </c>
      <c r="J377">
        <v>5</v>
      </c>
    </row>
    <row r="378" spans="1:10" x14ac:dyDescent="0.25">
      <c r="A378" t="str">
        <f t="shared" si="7"/>
        <v>Vr OttVictor Lessard</v>
      </c>
      <c r="B378" t="s">
        <v>144</v>
      </c>
      <c r="C378" t="s">
        <v>431</v>
      </c>
      <c r="D378" t="s">
        <v>814</v>
      </c>
      <c r="E378" t="s">
        <v>211</v>
      </c>
      <c r="F378" t="s">
        <v>457</v>
      </c>
      <c r="G378" t="s">
        <v>506</v>
      </c>
      <c r="H378" t="s">
        <v>28</v>
      </c>
      <c r="I378">
        <v>8</v>
      </c>
      <c r="J378">
        <v>8</v>
      </c>
    </row>
    <row r="379" spans="1:10" x14ac:dyDescent="0.25">
      <c r="A379" t="str">
        <f t="shared" si="7"/>
        <v>Vr Ott57 seconds</v>
      </c>
      <c r="B379" t="s">
        <v>144</v>
      </c>
      <c r="C379" t="s">
        <v>434</v>
      </c>
      <c r="D379" t="s">
        <v>815</v>
      </c>
      <c r="E379" t="s">
        <v>211</v>
      </c>
      <c r="F379" t="s">
        <v>458</v>
      </c>
      <c r="G379" t="s">
        <v>168</v>
      </c>
      <c r="H379" t="s">
        <v>28</v>
      </c>
      <c r="I379">
        <v>8</v>
      </c>
      <c r="J379">
        <v>8</v>
      </c>
    </row>
    <row r="380" spans="1:10" x14ac:dyDescent="0.25">
      <c r="A380" t="str">
        <f t="shared" si="7"/>
        <v>Vr OttChief of Station</v>
      </c>
      <c r="B380" t="s">
        <v>144</v>
      </c>
      <c r="C380" t="s">
        <v>434</v>
      </c>
      <c r="D380" t="s">
        <v>816</v>
      </c>
      <c r="E380" t="s">
        <v>211</v>
      </c>
      <c r="F380" t="s">
        <v>458</v>
      </c>
      <c r="G380" t="s">
        <v>103</v>
      </c>
      <c r="H380" t="s">
        <v>28</v>
      </c>
      <c r="I380">
        <v>1</v>
      </c>
      <c r="J380">
        <v>1</v>
      </c>
    </row>
    <row r="381" spans="1:10" x14ac:dyDescent="0.25">
      <c r="A381" t="str">
        <f t="shared" si="7"/>
        <v>Vr OttDevil Conspir Acy</v>
      </c>
      <c r="B381" t="s">
        <v>144</v>
      </c>
      <c r="C381" t="s">
        <v>434</v>
      </c>
      <c r="D381" t="s">
        <v>817</v>
      </c>
      <c r="E381" t="s">
        <v>211</v>
      </c>
      <c r="F381" t="s">
        <v>458</v>
      </c>
      <c r="G381" t="s">
        <v>162</v>
      </c>
      <c r="H381" t="s">
        <v>28</v>
      </c>
      <c r="I381">
        <v>7</v>
      </c>
      <c r="J381">
        <v>7</v>
      </c>
    </row>
    <row r="382" spans="1:10" x14ac:dyDescent="0.25">
      <c r="A382" t="str">
        <f t="shared" si="7"/>
        <v>Vr OttGold Run</v>
      </c>
      <c r="B382" t="s">
        <v>144</v>
      </c>
      <c r="C382" t="s">
        <v>434</v>
      </c>
      <c r="D382" t="s">
        <v>818</v>
      </c>
      <c r="E382" t="s">
        <v>211</v>
      </c>
      <c r="F382" t="s">
        <v>458</v>
      </c>
      <c r="G382" t="s">
        <v>173</v>
      </c>
      <c r="H382" t="s">
        <v>40</v>
      </c>
      <c r="I382">
        <v>4</v>
      </c>
      <c r="J382">
        <v>4</v>
      </c>
    </row>
    <row r="383" spans="1:10" x14ac:dyDescent="0.25">
      <c r="A383" t="str">
        <f t="shared" si="7"/>
        <v>Vr OttRestore Point</v>
      </c>
      <c r="B383" t="s">
        <v>144</v>
      </c>
      <c r="C383" t="s">
        <v>434</v>
      </c>
      <c r="D383" t="s">
        <v>819</v>
      </c>
      <c r="E383" t="s">
        <v>211</v>
      </c>
      <c r="F383" t="s">
        <v>458</v>
      </c>
      <c r="G383" t="s">
        <v>202</v>
      </c>
      <c r="H383" t="s">
        <v>40</v>
      </c>
      <c r="I383">
        <v>5</v>
      </c>
      <c r="J383">
        <v>5</v>
      </c>
    </row>
    <row r="384" spans="1:10" x14ac:dyDescent="0.25">
      <c r="A384" t="str">
        <f t="shared" si="7"/>
        <v>Vr OttSilent Hours</v>
      </c>
      <c r="B384" t="s">
        <v>144</v>
      </c>
      <c r="C384" t="s">
        <v>434</v>
      </c>
      <c r="D384" t="s">
        <v>820</v>
      </c>
      <c r="E384" t="s">
        <v>211</v>
      </c>
      <c r="F384" t="s">
        <v>458</v>
      </c>
      <c r="G384" t="s">
        <v>507</v>
      </c>
      <c r="H384" t="s">
        <v>28</v>
      </c>
      <c r="I384">
        <v>10</v>
      </c>
      <c r="J384">
        <v>10</v>
      </c>
    </row>
    <row r="385" spans="1:10" x14ac:dyDescent="0.25">
      <c r="A385" t="str">
        <f t="shared" si="7"/>
        <v>Vr OttStriking the palace</v>
      </c>
      <c r="B385" t="s">
        <v>144</v>
      </c>
      <c r="C385" t="s">
        <v>434</v>
      </c>
      <c r="D385" t="s">
        <v>821</v>
      </c>
      <c r="E385" t="s">
        <v>211</v>
      </c>
      <c r="F385" t="s">
        <v>458</v>
      </c>
      <c r="G385" t="s">
        <v>124</v>
      </c>
      <c r="H385" t="s">
        <v>40</v>
      </c>
      <c r="I385">
        <v>3</v>
      </c>
      <c r="J385">
        <v>3</v>
      </c>
    </row>
    <row r="386" spans="1:10" x14ac:dyDescent="0.25">
      <c r="A386" t="str">
        <f t="shared" ref="A386:A419" si="8">B386&amp;D386</f>
        <v>Vr OttThe Angel Maker</v>
      </c>
      <c r="B386" t="s">
        <v>144</v>
      </c>
      <c r="C386" t="s">
        <v>434</v>
      </c>
      <c r="D386" t="s">
        <v>822</v>
      </c>
      <c r="E386" t="s">
        <v>211</v>
      </c>
      <c r="F386" t="s">
        <v>458</v>
      </c>
      <c r="G386" t="s">
        <v>176</v>
      </c>
      <c r="H386" t="s">
        <v>40</v>
      </c>
      <c r="I386">
        <v>9</v>
      </c>
      <c r="J386">
        <v>9</v>
      </c>
    </row>
    <row r="387" spans="1:10" x14ac:dyDescent="0.25">
      <c r="A387" t="str">
        <f t="shared" si="8"/>
        <v>Vr OttThe Kay Game</v>
      </c>
      <c r="B387" t="s">
        <v>144</v>
      </c>
      <c r="C387" t="s">
        <v>434</v>
      </c>
      <c r="D387" t="s">
        <v>823</v>
      </c>
      <c r="E387" t="s">
        <v>211</v>
      </c>
      <c r="F387" t="s">
        <v>458</v>
      </c>
      <c r="G387" t="s">
        <v>124</v>
      </c>
      <c r="H387" t="s">
        <v>40</v>
      </c>
      <c r="I387">
        <v>6</v>
      </c>
      <c r="J387">
        <v>6</v>
      </c>
    </row>
    <row r="388" spans="1:10" x14ac:dyDescent="0.25">
      <c r="A388" t="str">
        <f t="shared" si="8"/>
        <v>Vr OttUnhinged</v>
      </c>
      <c r="B388" t="s">
        <v>144</v>
      </c>
      <c r="C388" t="s">
        <v>434</v>
      </c>
      <c r="D388" t="s">
        <v>824</v>
      </c>
      <c r="E388" t="s">
        <v>211</v>
      </c>
      <c r="F388" t="s">
        <v>458</v>
      </c>
      <c r="G388" t="s">
        <v>103</v>
      </c>
      <c r="H388" t="s">
        <v>28</v>
      </c>
      <c r="I388">
        <v>2</v>
      </c>
      <c r="J388">
        <v>2</v>
      </c>
    </row>
    <row r="389" spans="1:10" x14ac:dyDescent="0.25">
      <c r="A389" t="str">
        <f t="shared" si="8"/>
        <v>Zee5Demonte Colony 2</v>
      </c>
      <c r="B389" t="s">
        <v>150</v>
      </c>
      <c r="C389" t="s">
        <v>432</v>
      </c>
      <c r="D389" t="s">
        <v>375</v>
      </c>
      <c r="E389" t="s">
        <v>211</v>
      </c>
      <c r="F389" t="s">
        <v>458</v>
      </c>
      <c r="G389" t="s">
        <v>162</v>
      </c>
      <c r="H389" t="s">
        <v>24</v>
      </c>
      <c r="I389">
        <v>6</v>
      </c>
      <c r="J389">
        <v>6</v>
      </c>
    </row>
    <row r="390" spans="1:10" x14ac:dyDescent="0.25">
      <c r="A390" t="str">
        <f t="shared" si="8"/>
        <v>Zee5Dharmaveer 2</v>
      </c>
      <c r="B390" t="s">
        <v>150</v>
      </c>
      <c r="C390" t="s">
        <v>432</v>
      </c>
      <c r="D390" t="s">
        <v>318</v>
      </c>
      <c r="E390" t="s">
        <v>211</v>
      </c>
      <c r="F390" t="s">
        <v>458</v>
      </c>
      <c r="G390" t="s">
        <v>329</v>
      </c>
      <c r="H390" t="s">
        <v>320</v>
      </c>
      <c r="I390">
        <v>3</v>
      </c>
      <c r="J390">
        <v>3</v>
      </c>
    </row>
    <row r="391" spans="1:10" x14ac:dyDescent="0.25">
      <c r="A391" t="str">
        <f t="shared" si="8"/>
        <v>Zee5Love, Sitara</v>
      </c>
      <c r="B391" t="s">
        <v>150</v>
      </c>
      <c r="C391" t="s">
        <v>432</v>
      </c>
      <c r="D391" t="s">
        <v>374</v>
      </c>
      <c r="E391" t="s">
        <v>211</v>
      </c>
      <c r="F391" t="s">
        <v>458</v>
      </c>
      <c r="G391" t="s">
        <v>216</v>
      </c>
      <c r="H391" t="s">
        <v>19</v>
      </c>
      <c r="I391">
        <v>9</v>
      </c>
      <c r="J391">
        <v>9</v>
      </c>
    </row>
    <row r="392" spans="1:10" x14ac:dyDescent="0.25">
      <c r="A392" t="str">
        <f t="shared" si="8"/>
        <v>Zee5Yaara</v>
      </c>
      <c r="B392" t="s">
        <v>150</v>
      </c>
      <c r="C392" t="s">
        <v>432</v>
      </c>
      <c r="D392" t="s">
        <v>429</v>
      </c>
      <c r="E392" t="s">
        <v>211</v>
      </c>
      <c r="F392" t="s">
        <v>458</v>
      </c>
      <c r="G392" t="s">
        <v>170</v>
      </c>
      <c r="H392" t="s">
        <v>19</v>
      </c>
      <c r="I392">
        <v>5</v>
      </c>
      <c r="J392">
        <v>5</v>
      </c>
    </row>
    <row r="393" spans="1:10" x14ac:dyDescent="0.25">
      <c r="A393" t="str">
        <f t="shared" si="8"/>
        <v>Zee5Yek Number</v>
      </c>
      <c r="B393" t="s">
        <v>150</v>
      </c>
      <c r="C393" t="s">
        <v>432</v>
      </c>
      <c r="D393" t="s">
        <v>389</v>
      </c>
      <c r="E393" t="s">
        <v>211</v>
      </c>
      <c r="F393" t="s">
        <v>458</v>
      </c>
      <c r="G393" t="s">
        <v>216</v>
      </c>
      <c r="H393" t="s">
        <v>29</v>
      </c>
      <c r="I393">
        <v>4.666666666666667</v>
      </c>
      <c r="J393">
        <v>5</v>
      </c>
    </row>
    <row r="394" spans="1:10" x14ac:dyDescent="0.25">
      <c r="A394" t="str">
        <f t="shared" si="8"/>
        <v>Zee52012</v>
      </c>
      <c r="B394" t="s">
        <v>150</v>
      </c>
      <c r="C394" t="s">
        <v>434</v>
      </c>
      <c r="D394">
        <v>2012</v>
      </c>
      <c r="E394" t="s">
        <v>233</v>
      </c>
      <c r="F394" t="s">
        <v>458</v>
      </c>
      <c r="G394" t="s">
        <v>99</v>
      </c>
      <c r="H394" t="s">
        <v>470</v>
      </c>
      <c r="I394">
        <v>9</v>
      </c>
      <c r="J394">
        <v>9</v>
      </c>
    </row>
    <row r="395" spans="1:10" x14ac:dyDescent="0.25">
      <c r="A395" t="str">
        <f t="shared" si="8"/>
        <v>Zee5Bhaiyya Ji</v>
      </c>
      <c r="B395" t="s">
        <v>150</v>
      </c>
      <c r="C395" t="s">
        <v>434</v>
      </c>
      <c r="D395" t="s">
        <v>376</v>
      </c>
      <c r="E395" t="s">
        <v>211</v>
      </c>
      <c r="F395" t="s">
        <v>458</v>
      </c>
      <c r="G395" t="s">
        <v>92</v>
      </c>
      <c r="H395" t="s">
        <v>19</v>
      </c>
      <c r="I395">
        <v>7.333333333333333</v>
      </c>
      <c r="J395">
        <v>7</v>
      </c>
    </row>
    <row r="396" spans="1:10" x14ac:dyDescent="0.25">
      <c r="A396" t="str">
        <f t="shared" si="8"/>
        <v>Zee5Fifty Shades Freed</v>
      </c>
      <c r="B396" t="s">
        <v>150</v>
      </c>
      <c r="C396" t="s">
        <v>434</v>
      </c>
      <c r="D396" t="s">
        <v>825</v>
      </c>
      <c r="E396" t="s">
        <v>233</v>
      </c>
      <c r="F396" t="s">
        <v>458</v>
      </c>
      <c r="G396" t="s">
        <v>508</v>
      </c>
      <c r="H396" t="s">
        <v>21</v>
      </c>
      <c r="I396">
        <v>6</v>
      </c>
      <c r="J396">
        <v>6</v>
      </c>
    </row>
    <row r="397" spans="1:10" x14ac:dyDescent="0.25">
      <c r="A397" t="str">
        <f t="shared" si="8"/>
        <v>Zee5Fifty Shades of Grey</v>
      </c>
      <c r="B397" t="s">
        <v>150</v>
      </c>
      <c r="C397" t="s">
        <v>434</v>
      </c>
      <c r="D397" t="s">
        <v>826</v>
      </c>
      <c r="E397" t="s">
        <v>233</v>
      </c>
      <c r="F397" t="s">
        <v>458</v>
      </c>
      <c r="G397" t="s">
        <v>508</v>
      </c>
      <c r="H397" t="s">
        <v>21</v>
      </c>
      <c r="I397">
        <v>4</v>
      </c>
      <c r="J397">
        <v>4</v>
      </c>
    </row>
    <row r="398" spans="1:10" x14ac:dyDescent="0.25">
      <c r="A398" t="str">
        <f t="shared" si="8"/>
        <v>Zee5Gladiator</v>
      </c>
      <c r="B398" t="s">
        <v>150</v>
      </c>
      <c r="C398" t="s">
        <v>434</v>
      </c>
      <c r="D398" t="s">
        <v>827</v>
      </c>
      <c r="E398" t="s">
        <v>233</v>
      </c>
      <c r="F398" t="s">
        <v>458</v>
      </c>
      <c r="G398" t="s">
        <v>92</v>
      </c>
      <c r="H398" t="s">
        <v>28</v>
      </c>
      <c r="I398">
        <v>8</v>
      </c>
      <c r="J398">
        <v>8</v>
      </c>
    </row>
    <row r="399" spans="1:10" x14ac:dyDescent="0.25">
      <c r="A399" t="str">
        <f t="shared" si="8"/>
        <v>Zee5It Ends with Us</v>
      </c>
      <c r="B399" t="s">
        <v>150</v>
      </c>
      <c r="C399" t="s">
        <v>434</v>
      </c>
      <c r="D399" t="s">
        <v>408</v>
      </c>
      <c r="E399" t="s">
        <v>233</v>
      </c>
      <c r="F399" t="s">
        <v>458</v>
      </c>
      <c r="G399" t="s">
        <v>172</v>
      </c>
      <c r="H399" t="s">
        <v>21</v>
      </c>
      <c r="I399">
        <v>2</v>
      </c>
      <c r="J399">
        <v>2</v>
      </c>
    </row>
    <row r="400" spans="1:10" x14ac:dyDescent="0.25">
      <c r="A400" t="str">
        <f t="shared" si="8"/>
        <v>Zee5Maa Nanna Superhero</v>
      </c>
      <c r="B400" t="s">
        <v>150</v>
      </c>
      <c r="C400" t="s">
        <v>434</v>
      </c>
      <c r="D400" t="s">
        <v>828</v>
      </c>
      <c r="E400" t="s">
        <v>211</v>
      </c>
      <c r="F400" t="s">
        <v>458</v>
      </c>
      <c r="G400" t="s">
        <v>509</v>
      </c>
      <c r="H400" t="s">
        <v>471</v>
      </c>
      <c r="I400">
        <v>1.3333333333333333</v>
      </c>
      <c r="J400">
        <v>1</v>
      </c>
    </row>
    <row r="401" spans="1:10" x14ac:dyDescent="0.25">
      <c r="A401" t="str">
        <f t="shared" si="8"/>
        <v>Zee5Nunakkuzhi</v>
      </c>
      <c r="B401" t="s">
        <v>150</v>
      </c>
      <c r="C401" t="s">
        <v>434</v>
      </c>
      <c r="D401" t="s">
        <v>829</v>
      </c>
      <c r="E401" t="s">
        <v>211</v>
      </c>
      <c r="F401" t="s">
        <v>458</v>
      </c>
      <c r="G401" t="s">
        <v>170</v>
      </c>
      <c r="H401" t="s">
        <v>35</v>
      </c>
      <c r="I401">
        <v>9</v>
      </c>
      <c r="J401">
        <v>9</v>
      </c>
    </row>
    <row r="402" spans="1:10" x14ac:dyDescent="0.25">
      <c r="A402" t="str">
        <f t="shared" si="8"/>
        <v>Zee5Raghu Thatha</v>
      </c>
      <c r="B402" t="s">
        <v>150</v>
      </c>
      <c r="C402" t="s">
        <v>434</v>
      </c>
      <c r="D402" t="s">
        <v>377</v>
      </c>
      <c r="E402" t="s">
        <v>211</v>
      </c>
      <c r="F402" t="s">
        <v>458</v>
      </c>
      <c r="G402" t="s">
        <v>124</v>
      </c>
      <c r="H402" t="s">
        <v>379</v>
      </c>
      <c r="I402">
        <v>7.333333333333333</v>
      </c>
      <c r="J402">
        <v>7</v>
      </c>
    </row>
    <row r="403" spans="1:10" x14ac:dyDescent="0.25">
      <c r="A403" t="str">
        <f t="shared" si="8"/>
        <v>Zee5Simmba</v>
      </c>
      <c r="B403" t="s">
        <v>150</v>
      </c>
      <c r="C403" t="s">
        <v>434</v>
      </c>
      <c r="D403" t="s">
        <v>403</v>
      </c>
      <c r="E403" t="s">
        <v>211</v>
      </c>
      <c r="F403" t="s">
        <v>458</v>
      </c>
      <c r="G403" t="s">
        <v>92</v>
      </c>
      <c r="H403" t="s">
        <v>19</v>
      </c>
      <c r="I403">
        <v>9</v>
      </c>
      <c r="J403">
        <v>9</v>
      </c>
    </row>
    <row r="404" spans="1:10" x14ac:dyDescent="0.25">
      <c r="A404" t="str">
        <f t="shared" si="8"/>
        <v>Zee5Spider-Man No Way Home</v>
      </c>
      <c r="B404" t="s">
        <v>150</v>
      </c>
      <c r="C404" t="s">
        <v>434</v>
      </c>
      <c r="D404" t="s">
        <v>830</v>
      </c>
      <c r="E404" t="s">
        <v>233</v>
      </c>
      <c r="F404" t="s">
        <v>458</v>
      </c>
      <c r="G404" t="s">
        <v>510</v>
      </c>
      <c r="H404" t="s">
        <v>28</v>
      </c>
      <c r="I404">
        <v>10</v>
      </c>
      <c r="J404">
        <v>10</v>
      </c>
    </row>
    <row r="405" spans="1:10" x14ac:dyDescent="0.25">
      <c r="A405" t="str">
        <f t="shared" si="8"/>
        <v>Zee5The Girl With The Dragon Tattoo</v>
      </c>
      <c r="B405" t="s">
        <v>150</v>
      </c>
      <c r="C405" t="s">
        <v>434</v>
      </c>
      <c r="D405" t="s">
        <v>831</v>
      </c>
      <c r="E405" t="s">
        <v>233</v>
      </c>
      <c r="F405" t="s">
        <v>458</v>
      </c>
      <c r="G405" t="s">
        <v>182</v>
      </c>
      <c r="H405" t="s">
        <v>20</v>
      </c>
      <c r="I405">
        <v>1</v>
      </c>
      <c r="J405">
        <v>1</v>
      </c>
    </row>
    <row r="406" spans="1:10" x14ac:dyDescent="0.25">
      <c r="A406" t="str">
        <f t="shared" si="8"/>
        <v>Zee5The Pursuit of Happyness</v>
      </c>
      <c r="B406" t="s">
        <v>150</v>
      </c>
      <c r="C406" t="s">
        <v>434</v>
      </c>
      <c r="D406" t="s">
        <v>832</v>
      </c>
      <c r="E406" t="s">
        <v>233</v>
      </c>
      <c r="F406" t="s">
        <v>458</v>
      </c>
      <c r="G406" t="s">
        <v>216</v>
      </c>
      <c r="H406" t="s">
        <v>472</v>
      </c>
      <c r="I406">
        <v>3</v>
      </c>
      <c r="J406">
        <v>3</v>
      </c>
    </row>
    <row r="407" spans="1:10" x14ac:dyDescent="0.25">
      <c r="A407" t="str">
        <f t="shared" si="8"/>
        <v>Zee5Vedaa</v>
      </c>
      <c r="B407" t="s">
        <v>150</v>
      </c>
      <c r="C407" t="s">
        <v>434</v>
      </c>
      <c r="D407" t="s">
        <v>373</v>
      </c>
      <c r="E407" t="s">
        <v>211</v>
      </c>
      <c r="F407" t="s">
        <v>458</v>
      </c>
      <c r="G407" t="s">
        <v>97</v>
      </c>
      <c r="H407" t="s">
        <v>40</v>
      </c>
      <c r="I407">
        <v>2.3333333333333335</v>
      </c>
      <c r="J407">
        <v>2</v>
      </c>
    </row>
    <row r="408" spans="1:10" x14ac:dyDescent="0.25">
      <c r="A408" t="str">
        <f t="shared" si="8"/>
        <v>Zee5Venom</v>
      </c>
      <c r="B408" t="s">
        <v>150</v>
      </c>
      <c r="C408" t="s">
        <v>434</v>
      </c>
      <c r="D408" t="s">
        <v>360</v>
      </c>
      <c r="E408" t="s">
        <v>233</v>
      </c>
      <c r="F408" t="s">
        <v>458</v>
      </c>
      <c r="G408" t="s">
        <v>498</v>
      </c>
      <c r="H408" t="s">
        <v>28</v>
      </c>
      <c r="I408">
        <v>7</v>
      </c>
      <c r="J408">
        <v>7</v>
      </c>
    </row>
    <row r="409" spans="1:10" x14ac:dyDescent="0.25">
      <c r="A409" t="str">
        <f t="shared" si="8"/>
        <v>Zee5Venom 2</v>
      </c>
      <c r="B409" t="s">
        <v>150</v>
      </c>
      <c r="C409" t="s">
        <v>434</v>
      </c>
      <c r="D409" t="s">
        <v>833</v>
      </c>
      <c r="E409" t="s">
        <v>233</v>
      </c>
      <c r="F409" t="s">
        <v>458</v>
      </c>
      <c r="G409" t="s">
        <v>498</v>
      </c>
      <c r="H409" t="s">
        <v>473</v>
      </c>
      <c r="I409">
        <v>5</v>
      </c>
      <c r="J409">
        <v>5</v>
      </c>
    </row>
    <row r="410" spans="1:10" x14ac:dyDescent="0.25">
      <c r="A410" t="str">
        <f t="shared" si="8"/>
        <v>Zee5Bas Itna Sa Khwaab</v>
      </c>
      <c r="B410" t="s">
        <v>150</v>
      </c>
      <c r="C410" t="s">
        <v>456</v>
      </c>
      <c r="D410" t="s">
        <v>834</v>
      </c>
      <c r="E410" t="s">
        <v>219</v>
      </c>
      <c r="F410" t="s">
        <v>218</v>
      </c>
      <c r="G410" t="s">
        <v>216</v>
      </c>
      <c r="H410" t="s">
        <v>19</v>
      </c>
      <c r="I410">
        <v>10</v>
      </c>
      <c r="J410">
        <v>10</v>
      </c>
    </row>
    <row r="411" spans="1:10" x14ac:dyDescent="0.25">
      <c r="A411" t="str">
        <f t="shared" si="8"/>
        <v>Zee5Bhagya lakshmi</v>
      </c>
      <c r="B411" t="s">
        <v>150</v>
      </c>
      <c r="C411" t="s">
        <v>456</v>
      </c>
      <c r="D411" t="s">
        <v>835</v>
      </c>
      <c r="E411" t="s">
        <v>219</v>
      </c>
      <c r="F411" t="s">
        <v>218</v>
      </c>
      <c r="G411" t="s">
        <v>216</v>
      </c>
      <c r="H411" t="s">
        <v>19</v>
      </c>
      <c r="I411">
        <v>2</v>
      </c>
      <c r="J411">
        <v>2</v>
      </c>
    </row>
    <row r="412" spans="1:10" x14ac:dyDescent="0.25">
      <c r="A412" t="str">
        <f t="shared" si="8"/>
        <v>Zee5Jaane Anjaane Hum Mile</v>
      </c>
      <c r="B412" t="s">
        <v>150</v>
      </c>
      <c r="C412" t="s">
        <v>456</v>
      </c>
      <c r="D412" t="s">
        <v>836</v>
      </c>
      <c r="E412" t="s">
        <v>219</v>
      </c>
      <c r="F412" t="s">
        <v>218</v>
      </c>
      <c r="G412" t="s">
        <v>216</v>
      </c>
      <c r="H412" t="s">
        <v>19</v>
      </c>
      <c r="I412">
        <v>7</v>
      </c>
      <c r="J412">
        <v>7</v>
      </c>
    </row>
    <row r="413" spans="1:10" x14ac:dyDescent="0.25">
      <c r="A413" t="str">
        <f t="shared" si="8"/>
        <v>Zee5Jagriti</v>
      </c>
      <c r="B413" t="s">
        <v>150</v>
      </c>
      <c r="C413" t="s">
        <v>456</v>
      </c>
      <c r="D413" t="s">
        <v>837</v>
      </c>
      <c r="E413" t="s">
        <v>219</v>
      </c>
      <c r="F413" t="s">
        <v>218</v>
      </c>
      <c r="G413" t="s">
        <v>216</v>
      </c>
      <c r="H413" t="s">
        <v>19</v>
      </c>
      <c r="I413">
        <v>8</v>
      </c>
      <c r="J413">
        <v>8</v>
      </c>
    </row>
    <row r="414" spans="1:10" x14ac:dyDescent="0.25">
      <c r="A414" t="str">
        <f t="shared" si="8"/>
        <v>Zee5Kaise mujhe tum mil gaye</v>
      </c>
      <c r="B414" t="s">
        <v>150</v>
      </c>
      <c r="C414" t="s">
        <v>456</v>
      </c>
      <c r="D414" t="s">
        <v>838</v>
      </c>
      <c r="E414" t="s">
        <v>219</v>
      </c>
      <c r="F414" t="s">
        <v>218</v>
      </c>
      <c r="G414" t="s">
        <v>216</v>
      </c>
      <c r="H414" t="s">
        <v>19</v>
      </c>
      <c r="I414">
        <v>6</v>
      </c>
      <c r="J414">
        <v>6</v>
      </c>
    </row>
    <row r="415" spans="1:10" x14ac:dyDescent="0.25">
      <c r="A415" t="str">
        <f t="shared" si="8"/>
        <v>Zee5Kumkum bhagya</v>
      </c>
      <c r="B415" t="s">
        <v>150</v>
      </c>
      <c r="C415" t="s">
        <v>456</v>
      </c>
      <c r="D415" t="s">
        <v>839</v>
      </c>
      <c r="E415" t="s">
        <v>219</v>
      </c>
      <c r="F415" t="s">
        <v>218</v>
      </c>
      <c r="G415" t="s">
        <v>216</v>
      </c>
      <c r="H415" t="s">
        <v>19</v>
      </c>
      <c r="I415">
        <v>1</v>
      </c>
      <c r="J415">
        <v>1</v>
      </c>
    </row>
    <row r="416" spans="1:10" x14ac:dyDescent="0.25">
      <c r="A416" t="str">
        <f t="shared" si="8"/>
        <v>Zee5Kundali bhagya</v>
      </c>
      <c r="B416" t="s">
        <v>150</v>
      </c>
      <c r="C416" t="s">
        <v>456</v>
      </c>
      <c r="D416" t="s">
        <v>840</v>
      </c>
      <c r="E416" t="s">
        <v>219</v>
      </c>
      <c r="F416" t="s">
        <v>218</v>
      </c>
      <c r="G416" t="s">
        <v>216</v>
      </c>
      <c r="H416" t="s">
        <v>19</v>
      </c>
      <c r="I416">
        <v>3</v>
      </c>
      <c r="J416">
        <v>3</v>
      </c>
    </row>
    <row r="417" spans="1:10" x14ac:dyDescent="0.25">
      <c r="A417" t="str">
        <f t="shared" si="8"/>
        <v>Zee5Pyar Ka Pehla Naam: Radha Mohan</v>
      </c>
      <c r="B417" t="s">
        <v>150</v>
      </c>
      <c r="C417" t="s">
        <v>456</v>
      </c>
      <c r="D417" t="s">
        <v>841</v>
      </c>
      <c r="E417" t="s">
        <v>219</v>
      </c>
      <c r="F417" t="s">
        <v>218</v>
      </c>
      <c r="G417" t="s">
        <v>216</v>
      </c>
      <c r="H417" t="s">
        <v>19</v>
      </c>
      <c r="I417">
        <v>9</v>
      </c>
      <c r="J417">
        <v>9</v>
      </c>
    </row>
    <row r="418" spans="1:10" x14ac:dyDescent="0.25">
      <c r="A418" t="str">
        <f t="shared" si="8"/>
        <v>Zee5Rab se hai dua</v>
      </c>
      <c r="B418" t="s">
        <v>150</v>
      </c>
      <c r="C418" t="s">
        <v>456</v>
      </c>
      <c r="D418" t="s">
        <v>842</v>
      </c>
      <c r="E418" t="s">
        <v>219</v>
      </c>
      <c r="F418" t="s">
        <v>218</v>
      </c>
      <c r="G418" t="s">
        <v>216</v>
      </c>
      <c r="H418" t="s">
        <v>19</v>
      </c>
      <c r="I418">
        <v>4</v>
      </c>
      <c r="J418">
        <v>4</v>
      </c>
    </row>
    <row r="419" spans="1:10" x14ac:dyDescent="0.25">
      <c r="A419" t="str">
        <f t="shared" si="8"/>
        <v>Zee5Vasudha</v>
      </c>
      <c r="B419" t="s">
        <v>150</v>
      </c>
      <c r="C419" t="s">
        <v>456</v>
      </c>
      <c r="D419" t="s">
        <v>843</v>
      </c>
      <c r="E419" t="s">
        <v>219</v>
      </c>
      <c r="F419" t="s">
        <v>218</v>
      </c>
      <c r="G419" t="s">
        <v>216</v>
      </c>
      <c r="H419" t="s">
        <v>19</v>
      </c>
      <c r="I419">
        <v>5</v>
      </c>
      <c r="J419">
        <v>5</v>
      </c>
    </row>
  </sheetData>
  <autoFilter ref="W2:X9" xr:uid="{3136DCEC-B2C7-4B5A-81E4-9457A9B588F6}">
    <sortState xmlns:xlrd2="http://schemas.microsoft.com/office/spreadsheetml/2017/richdata2" ref="W3:X9">
      <sortCondition ref="W2:W9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D43C-7B8C-4D9E-B426-796A67F286DD}">
  <sheetPr codeName="Sheet7"/>
  <dimension ref="A1:AX46"/>
  <sheetViews>
    <sheetView zoomScale="80" zoomScaleNormal="80" workbookViewId="0">
      <selection activeCell="A2" sqref="A2:N45"/>
    </sheetView>
  </sheetViews>
  <sheetFormatPr defaultColWidth="8.85546875" defaultRowHeight="15" x14ac:dyDescent="0.25"/>
  <cols>
    <col min="1" max="1" width="9.140625" customWidth="1"/>
    <col min="2" max="2" width="19.85546875" bestFit="1" customWidth="1"/>
    <col min="3" max="3" width="51.42578125" bestFit="1" customWidth="1"/>
    <col min="4" max="4" width="35.28515625" bestFit="1" customWidth="1"/>
    <col min="5" max="5" width="6.7109375" bestFit="1" customWidth="1"/>
    <col min="6" max="6" width="11" bestFit="1" customWidth="1"/>
    <col min="7" max="7" width="7.140625" customWidth="1"/>
    <col min="8" max="8" width="18.28515625" bestFit="1" customWidth="1"/>
    <col min="9" max="9" width="7.42578125" customWidth="1"/>
    <col min="10" max="10" width="9.85546875" customWidth="1"/>
    <col min="11" max="11" width="5.28515625" customWidth="1"/>
    <col min="12" max="12" width="11.140625" customWidth="1"/>
    <col min="13" max="13" width="13" customWidth="1"/>
    <col min="14" max="14" width="15.140625" customWidth="1"/>
    <col min="20" max="20" width="21.42578125" bestFit="1" customWidth="1"/>
    <col min="21" max="21" width="11.7109375" bestFit="1" customWidth="1"/>
    <col min="22" max="22" width="21.7109375" bestFit="1" customWidth="1"/>
    <col min="23" max="23" width="8.7109375" bestFit="1" customWidth="1"/>
    <col min="24" max="24" width="19.28515625" bestFit="1" customWidth="1"/>
    <col min="25" max="25" width="8.7109375" bestFit="1" customWidth="1"/>
    <col min="26" max="26" width="8.85546875" bestFit="1" customWidth="1"/>
    <col min="27" max="27" width="10.28515625" bestFit="1" customWidth="1"/>
    <col min="28" max="28" width="9" bestFit="1" customWidth="1"/>
    <col min="29" max="29" width="8.85546875" bestFit="1" customWidth="1"/>
    <col min="30" max="30" width="11.42578125" bestFit="1" customWidth="1"/>
    <col min="31" max="31" width="8.7109375" bestFit="1" customWidth="1"/>
    <col min="32" max="32" width="26.5703125" bestFit="1" customWidth="1"/>
    <col min="33" max="33" width="21.85546875" bestFit="1" customWidth="1"/>
    <col min="37" max="37" width="20.7109375" bestFit="1" customWidth="1"/>
    <col min="38" max="38" width="11.5703125" bestFit="1" customWidth="1"/>
    <col min="39" max="39" width="21.5703125" bestFit="1" customWidth="1"/>
    <col min="40" max="40" width="7.7109375" bestFit="1" customWidth="1"/>
    <col min="41" max="41" width="19.140625" bestFit="1" customWidth="1"/>
    <col min="42" max="42" width="5.85546875" bestFit="1" customWidth="1"/>
    <col min="43" max="43" width="8.7109375" bestFit="1" customWidth="1"/>
    <col min="44" max="44" width="10.140625" bestFit="1" customWidth="1"/>
    <col min="46" max="46" width="8.7109375" bestFit="1" customWidth="1"/>
    <col min="47" max="47" width="11.28515625" bestFit="1" customWidth="1"/>
    <col min="48" max="48" width="6.5703125" bestFit="1" customWidth="1"/>
    <col min="49" max="49" width="26.42578125" bestFit="1" customWidth="1"/>
    <col min="50" max="50" width="21.7109375" bestFit="1" customWidth="1"/>
  </cols>
  <sheetData>
    <row r="1" spans="1:50" ht="15.75" thickBot="1" x14ac:dyDescent="0.3"/>
    <row r="2" spans="1:50" x14ac:dyDescent="0.25">
      <c r="A2" s="34" t="s">
        <v>913</v>
      </c>
      <c r="B2" s="35" t="s">
        <v>12</v>
      </c>
      <c r="C2" s="36" t="s">
        <v>13</v>
      </c>
      <c r="D2" s="36" t="s">
        <v>14</v>
      </c>
      <c r="E2" s="35" t="s">
        <v>10</v>
      </c>
      <c r="F2" s="36" t="s">
        <v>15</v>
      </c>
      <c r="G2" s="36" t="s">
        <v>224</v>
      </c>
      <c r="H2" s="36" t="s">
        <v>225</v>
      </c>
      <c r="I2" s="36" t="s">
        <v>247</v>
      </c>
      <c r="J2" s="36" t="s">
        <v>248</v>
      </c>
      <c r="K2" s="33" t="s">
        <v>226</v>
      </c>
      <c r="L2" s="33" t="s">
        <v>227</v>
      </c>
      <c r="M2" s="33" t="s">
        <v>228</v>
      </c>
      <c r="N2" s="33" t="s">
        <v>229</v>
      </c>
      <c r="V2" s="56" t="s">
        <v>876</v>
      </c>
      <c r="W2" s="60" t="s">
        <v>877</v>
      </c>
      <c r="X2" s="61" t="s">
        <v>48</v>
      </c>
      <c r="Y2" s="61" t="s">
        <v>55</v>
      </c>
      <c r="Z2" s="62" t="s">
        <v>251</v>
      </c>
    </row>
    <row r="3" spans="1:50" ht="15.75" thickBot="1" x14ac:dyDescent="0.3">
      <c r="A3" s="39" t="str">
        <f>B3&amp;E3</f>
        <v>Adda TimesPAID</v>
      </c>
      <c r="B3" s="37" t="s">
        <v>44</v>
      </c>
      <c r="C3" s="37" t="s">
        <v>33</v>
      </c>
      <c r="D3" s="37" t="s">
        <v>45</v>
      </c>
      <c r="E3" s="37" t="s">
        <v>211</v>
      </c>
      <c r="F3" s="37" t="s">
        <v>212</v>
      </c>
      <c r="G3" s="28" t="s">
        <v>230</v>
      </c>
      <c r="H3" s="28">
        <v>1.6</v>
      </c>
      <c r="I3" s="29">
        <v>0.8</v>
      </c>
      <c r="J3" s="29">
        <v>0.2</v>
      </c>
      <c r="K3" s="29">
        <v>0.13</v>
      </c>
      <c r="L3" s="29">
        <v>0.87</v>
      </c>
      <c r="M3" s="29">
        <v>0.06</v>
      </c>
      <c r="N3" s="32">
        <f>H3*K3*3+H3*L3*1.1-H3*M3*3</f>
        <v>1.8672000000000006</v>
      </c>
      <c r="V3" s="55" t="s">
        <v>85</v>
      </c>
      <c r="W3" s="63">
        <v>0.3</v>
      </c>
      <c r="X3" s="63">
        <v>0.33</v>
      </c>
      <c r="Y3" s="63">
        <v>0.2</v>
      </c>
      <c r="Z3" s="64">
        <v>0.17</v>
      </c>
    </row>
    <row r="4" spans="1:50" x14ac:dyDescent="0.25">
      <c r="A4" s="39" t="str">
        <f t="shared" ref="A4:A43" si="0">B4&amp;E4</f>
        <v>Aha VideoPAID</v>
      </c>
      <c r="B4" s="37" t="s">
        <v>49</v>
      </c>
      <c r="C4" s="37" t="s">
        <v>50</v>
      </c>
      <c r="D4" s="37" t="s">
        <v>51</v>
      </c>
      <c r="E4" s="37" t="s">
        <v>211</v>
      </c>
      <c r="F4" s="37" t="s">
        <v>212</v>
      </c>
      <c r="G4" s="28" t="s">
        <v>231</v>
      </c>
      <c r="H4" s="28">
        <v>9.23</v>
      </c>
      <c r="I4" s="29">
        <v>0.76</v>
      </c>
      <c r="J4" s="29">
        <v>0.24</v>
      </c>
      <c r="K4" s="29">
        <v>0.22</v>
      </c>
      <c r="L4" s="29">
        <v>0.78</v>
      </c>
      <c r="M4" s="29">
        <v>0.05</v>
      </c>
      <c r="N4" s="32">
        <f t="shared" ref="N4:N43" si="1">H4*K4*3+H4*L4*1.1-H4*M4*3</f>
        <v>12.626640000000002</v>
      </c>
    </row>
    <row r="5" spans="1:50" x14ac:dyDescent="0.25">
      <c r="A5" s="39" t="str">
        <f t="shared" si="0"/>
        <v>Aha VideoFREE</v>
      </c>
      <c r="B5" s="37" t="s">
        <v>49</v>
      </c>
      <c r="C5" s="37" t="s">
        <v>50</v>
      </c>
      <c r="D5" s="37" t="s">
        <v>51</v>
      </c>
      <c r="E5" s="37" t="s">
        <v>219</v>
      </c>
      <c r="F5" s="37" t="s">
        <v>220</v>
      </c>
      <c r="G5" s="28" t="s">
        <v>231</v>
      </c>
      <c r="H5" s="28">
        <v>3.75</v>
      </c>
      <c r="I5" s="29">
        <v>0.76</v>
      </c>
      <c r="J5" s="29">
        <v>0.24</v>
      </c>
      <c r="K5" s="29">
        <v>0.22</v>
      </c>
      <c r="L5" s="29">
        <v>0.78</v>
      </c>
      <c r="M5" s="29">
        <v>0.05</v>
      </c>
      <c r="N5" s="32">
        <f t="shared" si="1"/>
        <v>5.1300000000000008</v>
      </c>
      <c r="W5" s="26"/>
      <c r="X5" s="26"/>
      <c r="Y5" s="26"/>
      <c r="Z5" s="26"/>
    </row>
    <row r="6" spans="1:50" x14ac:dyDescent="0.25">
      <c r="A6" s="39" t="str">
        <f t="shared" si="0"/>
        <v>AlttPAID</v>
      </c>
      <c r="B6" s="37" t="s">
        <v>56</v>
      </c>
      <c r="C6" s="37" t="s">
        <v>19</v>
      </c>
      <c r="D6" s="37" t="s">
        <v>57</v>
      </c>
      <c r="E6" s="37" t="s">
        <v>211</v>
      </c>
      <c r="F6" s="37" t="s">
        <v>212</v>
      </c>
      <c r="G6" s="28" t="s">
        <v>231</v>
      </c>
      <c r="H6" s="28">
        <v>12.16</v>
      </c>
      <c r="I6" s="29">
        <v>0.65</v>
      </c>
      <c r="J6" s="29">
        <v>0.35</v>
      </c>
      <c r="K6" s="30">
        <v>0.26</v>
      </c>
      <c r="L6" s="29">
        <v>0.74</v>
      </c>
      <c r="M6" s="29">
        <v>7.0000000000000007E-2</v>
      </c>
      <c r="N6" s="32">
        <f t="shared" si="1"/>
        <v>16.829440000000002</v>
      </c>
    </row>
    <row r="7" spans="1:50" ht="15.75" thickBot="1" x14ac:dyDescent="0.3">
      <c r="A7" s="39" t="str">
        <f t="shared" si="0"/>
        <v>Amazon Prime VideoPAID</v>
      </c>
      <c r="B7" s="37" t="s">
        <v>64</v>
      </c>
      <c r="C7" s="37" t="s">
        <v>65</v>
      </c>
      <c r="D7" s="37" t="s">
        <v>57</v>
      </c>
      <c r="E7" s="37" t="s">
        <v>211</v>
      </c>
      <c r="F7" s="37" t="s">
        <v>212</v>
      </c>
      <c r="G7" s="28" t="s">
        <v>231</v>
      </c>
      <c r="H7" s="28">
        <v>22.08</v>
      </c>
      <c r="I7" s="29">
        <v>0.52</v>
      </c>
      <c r="J7" s="29">
        <v>0.48</v>
      </c>
      <c r="K7" s="29">
        <v>0.37</v>
      </c>
      <c r="L7" s="29">
        <v>0.63</v>
      </c>
      <c r="M7" s="29">
        <v>0.05</v>
      </c>
      <c r="N7" s="32">
        <f t="shared" si="1"/>
        <v>36.498239999999996</v>
      </c>
    </row>
    <row r="8" spans="1:50" ht="15.75" thickBot="1" x14ac:dyDescent="0.3">
      <c r="A8" s="39" t="str">
        <f t="shared" si="0"/>
        <v>Amazon Prime VideoFREE</v>
      </c>
      <c r="B8" s="37" t="s">
        <v>64</v>
      </c>
      <c r="C8" s="37" t="s">
        <v>65</v>
      </c>
      <c r="D8" s="37" t="s">
        <v>57</v>
      </c>
      <c r="E8" s="37" t="s">
        <v>219</v>
      </c>
      <c r="F8" s="37" t="s">
        <v>212</v>
      </c>
      <c r="G8" s="28" t="s">
        <v>231</v>
      </c>
      <c r="H8" s="28">
        <v>5.09</v>
      </c>
      <c r="I8" s="29">
        <v>0.52</v>
      </c>
      <c r="J8" s="29">
        <v>0.48</v>
      </c>
      <c r="K8" s="29">
        <v>0.37</v>
      </c>
      <c r="L8" s="29">
        <v>0.63</v>
      </c>
      <c r="M8" s="29">
        <v>0.05</v>
      </c>
      <c r="N8" s="32">
        <f t="shared" si="1"/>
        <v>8.4137699999999995</v>
      </c>
      <c r="T8" t="s">
        <v>1234</v>
      </c>
      <c r="U8" s="81" t="s">
        <v>906</v>
      </c>
      <c r="V8" s="81" t="s">
        <v>64</v>
      </c>
      <c r="W8" s="81" t="s">
        <v>123</v>
      </c>
      <c r="X8" s="81" t="s">
        <v>1229</v>
      </c>
      <c r="Y8" s="81" t="s">
        <v>150</v>
      </c>
      <c r="Z8" s="81" t="s">
        <v>132</v>
      </c>
      <c r="AA8" s="81" t="s">
        <v>1230</v>
      </c>
      <c r="AB8" s="81" t="s">
        <v>1231</v>
      </c>
      <c r="AC8" s="81" t="s">
        <v>104</v>
      </c>
      <c r="AD8" s="81" t="s">
        <v>49</v>
      </c>
      <c r="AE8" s="81" t="s">
        <v>455</v>
      </c>
      <c r="AF8" s="81" t="s">
        <v>1232</v>
      </c>
      <c r="AG8" s="81" t="s">
        <v>1233</v>
      </c>
      <c r="AK8" s="84" t="s">
        <v>1244</v>
      </c>
      <c r="AL8" s="16" t="s">
        <v>906</v>
      </c>
      <c r="AM8" s="16" t="s">
        <v>64</v>
      </c>
      <c r="AN8" s="16" t="s">
        <v>123</v>
      </c>
      <c r="AO8" s="16" t="s">
        <v>1229</v>
      </c>
      <c r="AP8" s="16" t="s">
        <v>150</v>
      </c>
      <c r="AQ8" s="16" t="s">
        <v>132</v>
      </c>
      <c r="AR8" s="16" t="s">
        <v>1230</v>
      </c>
      <c r="AS8" s="16" t="s">
        <v>1231</v>
      </c>
      <c r="AT8" s="16" t="s">
        <v>104</v>
      </c>
      <c r="AU8" s="16" t="s">
        <v>49</v>
      </c>
      <c r="AV8" s="16" t="s">
        <v>455</v>
      </c>
      <c r="AW8" s="16" t="s">
        <v>1232</v>
      </c>
      <c r="AX8" s="16" t="s">
        <v>1233</v>
      </c>
    </row>
    <row r="9" spans="1:50" x14ac:dyDescent="0.25">
      <c r="A9" s="39" t="str">
        <f t="shared" si="0"/>
        <v>Amazon Prime VideoRENT</v>
      </c>
      <c r="B9" s="37" t="s">
        <v>64</v>
      </c>
      <c r="C9" s="37" t="s">
        <v>65</v>
      </c>
      <c r="D9" s="37" t="s">
        <v>57</v>
      </c>
      <c r="E9" s="37" t="s">
        <v>233</v>
      </c>
      <c r="F9" s="37" t="s">
        <v>68</v>
      </c>
      <c r="G9" s="28" t="s">
        <v>230</v>
      </c>
      <c r="H9" s="28">
        <v>3</v>
      </c>
      <c r="I9" s="29">
        <v>0.68</v>
      </c>
      <c r="J9" s="29">
        <v>0.32</v>
      </c>
      <c r="K9" s="29">
        <v>0.37</v>
      </c>
      <c r="L9" s="29">
        <v>0.63</v>
      </c>
      <c r="M9" s="29">
        <v>0.08</v>
      </c>
      <c r="N9" s="32">
        <f t="shared" si="1"/>
        <v>4.6890000000000001</v>
      </c>
      <c r="T9" t="s">
        <v>1235</v>
      </c>
      <c r="U9" s="95">
        <v>0.10790021400427882</v>
      </c>
      <c r="V9" s="95">
        <v>3.4482028777700319E-2</v>
      </c>
      <c r="W9" s="95">
        <v>3.5616735161071611E-2</v>
      </c>
      <c r="X9" s="95">
        <v>8.1691769009043361E-2</v>
      </c>
      <c r="Y9" s="95">
        <v>1.4519981448640886E-2</v>
      </c>
      <c r="Z9" s="95">
        <v>4.2146770459536256E-2</v>
      </c>
      <c r="AA9" s="95">
        <v>3.3684735033110362E-2</v>
      </c>
      <c r="AB9" s="95">
        <v>3.3311809863499166E-2</v>
      </c>
      <c r="AC9" s="95">
        <v>0.13093390126564386</v>
      </c>
      <c r="AD9" s="95">
        <v>2.3882568336013339E-2</v>
      </c>
      <c r="AE9" s="95">
        <v>3.1394816699115265E-2</v>
      </c>
      <c r="AF9" s="95">
        <v>0.10547325656547732</v>
      </c>
      <c r="AG9" s="95">
        <v>4.8860553313473137E-2</v>
      </c>
      <c r="AK9" s="85" t="s">
        <v>1245</v>
      </c>
      <c r="AL9" s="86">
        <v>0.16111012755744461</v>
      </c>
      <c r="AM9" s="86">
        <v>0.22260068122620719</v>
      </c>
      <c r="AN9" s="86">
        <v>0.23109856962148484</v>
      </c>
      <c r="AO9" s="86">
        <v>0.3575414046585777</v>
      </c>
      <c r="AP9" s="86">
        <v>0.1901804773918106</v>
      </c>
      <c r="AQ9" s="86">
        <v>0.20270270270270274</v>
      </c>
      <c r="AR9" s="86">
        <v>0.1888667992047714</v>
      </c>
      <c r="AS9" s="86">
        <v>1.0650257381220045E-3</v>
      </c>
      <c r="AT9" s="86">
        <v>4.4869545949738718E-3</v>
      </c>
      <c r="AU9" s="86">
        <v>2.0714194450144607E-3</v>
      </c>
      <c r="AV9" s="86">
        <v>0.51032078279684601</v>
      </c>
      <c r="AW9" s="86">
        <v>0.19978663563184951</v>
      </c>
      <c r="AX9" s="87">
        <v>9.6550336920446539E-2</v>
      </c>
    </row>
    <row r="10" spans="1:50" x14ac:dyDescent="0.25">
      <c r="A10" s="39" t="str">
        <f t="shared" si="0"/>
        <v>Chaupal TvPAID</v>
      </c>
      <c r="B10" s="37" t="s">
        <v>71</v>
      </c>
      <c r="C10" s="37" t="s">
        <v>72</v>
      </c>
      <c r="D10" s="37" t="s">
        <v>73</v>
      </c>
      <c r="E10" s="37" t="s">
        <v>211</v>
      </c>
      <c r="F10" s="37" t="s">
        <v>212</v>
      </c>
      <c r="G10" s="28" t="s">
        <v>231</v>
      </c>
      <c r="H10" s="28">
        <v>3</v>
      </c>
      <c r="I10" s="29">
        <v>0.75</v>
      </c>
      <c r="J10" s="29">
        <v>0.25</v>
      </c>
      <c r="K10" s="30">
        <v>0.21</v>
      </c>
      <c r="L10" s="29">
        <v>0.79</v>
      </c>
      <c r="M10" s="29">
        <v>0.04</v>
      </c>
      <c r="N10" s="32">
        <f t="shared" si="1"/>
        <v>4.1369999999999996</v>
      </c>
      <c r="T10" t="s">
        <v>1236</v>
      </c>
      <c r="U10" s="95">
        <v>0.14054355806203297</v>
      </c>
      <c r="V10" s="95">
        <v>0.18038936090030547</v>
      </c>
      <c r="W10" s="95">
        <v>0.24206268772818726</v>
      </c>
      <c r="X10" s="95">
        <v>0.29590400051639859</v>
      </c>
      <c r="Y10" s="95">
        <v>0.11419832068794551</v>
      </c>
      <c r="Z10" s="95">
        <v>0.11639679373395334</v>
      </c>
      <c r="AA10" s="95">
        <v>0.20357728564477406</v>
      </c>
      <c r="AB10" s="95">
        <v>0.16104755182546976</v>
      </c>
      <c r="AC10" s="95">
        <v>0.14952817924943043</v>
      </c>
      <c r="AD10" s="95">
        <v>4.8690028060199668E-2</v>
      </c>
      <c r="AE10" s="95">
        <v>0.14162627717024212</v>
      </c>
      <c r="AF10" s="95">
        <v>0.23500334153166422</v>
      </c>
      <c r="AG10" s="95">
        <v>0.2362351684555356</v>
      </c>
      <c r="AK10" s="88" t="s">
        <v>1246</v>
      </c>
      <c r="AL10" s="89">
        <v>0.15261917063697239</v>
      </c>
      <c r="AM10" s="89">
        <v>0.10118212783009418</v>
      </c>
      <c r="AN10" s="89">
        <v>8.2514352437481744E-2</v>
      </c>
      <c r="AO10" s="89">
        <v>0.3223216130841674</v>
      </c>
      <c r="AP10" s="89">
        <v>0.15864544925286242</v>
      </c>
      <c r="AQ10" s="89">
        <v>0.11583011583011585</v>
      </c>
      <c r="AR10" s="89">
        <v>0.14761431411530815</v>
      </c>
      <c r="AS10" s="89">
        <v>9.8613494270555972E-4</v>
      </c>
      <c r="AT10" s="89">
        <v>3.5895636759790978E-3</v>
      </c>
      <c r="AU10" s="89">
        <v>4.0654026490938022E-3</v>
      </c>
      <c r="AV10" s="89">
        <v>0.36247083637906818</v>
      </c>
      <c r="AW10" s="89">
        <v>0.11870817573465234</v>
      </c>
      <c r="AX10" s="90">
        <v>0.14331690636628783</v>
      </c>
    </row>
    <row r="11" spans="1:50" x14ac:dyDescent="0.25">
      <c r="A11" s="39" t="str">
        <f t="shared" si="0"/>
        <v>CrunchyrollPAID</v>
      </c>
      <c r="B11" s="37" t="s">
        <v>76</v>
      </c>
      <c r="C11" s="37" t="s">
        <v>77</v>
      </c>
      <c r="D11" s="37" t="s">
        <v>57</v>
      </c>
      <c r="E11" s="37" t="s">
        <v>211</v>
      </c>
      <c r="F11" s="37" t="s">
        <v>212</v>
      </c>
      <c r="G11" s="28"/>
      <c r="H11" s="28">
        <v>0.5</v>
      </c>
      <c r="I11" s="29">
        <v>0.6</v>
      </c>
      <c r="J11" s="29">
        <v>0.4</v>
      </c>
      <c r="K11" s="29">
        <v>0.32</v>
      </c>
      <c r="L11" s="29">
        <v>0.67999999999999994</v>
      </c>
      <c r="M11" s="29">
        <v>0.06</v>
      </c>
      <c r="N11" s="32">
        <f t="shared" si="1"/>
        <v>0.76400000000000001</v>
      </c>
      <c r="T11" t="s">
        <v>1237</v>
      </c>
      <c r="U11" s="95">
        <v>0.1772433475248015</v>
      </c>
      <c r="V11" s="95">
        <v>0.18505263340190628</v>
      </c>
      <c r="W11" s="95">
        <v>0.17971992742236373</v>
      </c>
      <c r="X11" s="95">
        <v>0.20620892564448914</v>
      </c>
      <c r="Y11" s="95">
        <v>0.31960948236543063</v>
      </c>
      <c r="Z11" s="95">
        <v>0.21284906661866182</v>
      </c>
      <c r="AA11" s="95">
        <v>0.3775698322111159</v>
      </c>
      <c r="AB11" s="95">
        <v>0.1897555269689975</v>
      </c>
      <c r="AC11" s="95">
        <v>0.22169790594699401</v>
      </c>
      <c r="AD11" s="95">
        <v>0.25680117410509751</v>
      </c>
      <c r="AE11" s="95">
        <v>0.33298188156294994</v>
      </c>
      <c r="AF11" s="95">
        <v>0.10881286359548804</v>
      </c>
      <c r="AG11" s="95">
        <v>0.24517779654886679</v>
      </c>
      <c r="AK11" s="88" t="s">
        <v>1247</v>
      </c>
      <c r="AL11" s="89">
        <v>0.15557208112784784</v>
      </c>
      <c r="AM11" s="89">
        <v>0.17311160088158684</v>
      </c>
      <c r="AN11" s="89">
        <v>0.21835165904446824</v>
      </c>
      <c r="AO11" s="89">
        <v>5.1014082012222142E-3</v>
      </c>
      <c r="AP11" s="89">
        <v>0.14535222200659811</v>
      </c>
      <c r="AQ11" s="89">
        <v>0.16679536679536683</v>
      </c>
      <c r="AR11" s="89">
        <v>0.14890656063618291</v>
      </c>
      <c r="AS11" s="89">
        <v>0.50588722560795207</v>
      </c>
      <c r="AT11" s="89">
        <v>2.3311852576767544E-3</v>
      </c>
      <c r="AU11" s="89">
        <v>0.53280005575409339</v>
      </c>
      <c r="AV11" s="89">
        <v>2.6036774632492146E-3</v>
      </c>
      <c r="AW11" s="89">
        <v>0.14693046261274367</v>
      </c>
      <c r="AX11" s="90">
        <v>0.19712360454591168</v>
      </c>
    </row>
    <row r="12" spans="1:50" x14ac:dyDescent="0.25">
      <c r="A12" s="39" t="str">
        <f t="shared" si="0"/>
        <v>Dangal PlayPAID</v>
      </c>
      <c r="B12" s="37" t="s">
        <v>82</v>
      </c>
      <c r="C12" s="37" t="s">
        <v>83</v>
      </c>
      <c r="D12" s="37" t="s">
        <v>57</v>
      </c>
      <c r="E12" s="37" t="s">
        <v>211</v>
      </c>
      <c r="F12" s="37" t="s">
        <v>212</v>
      </c>
      <c r="G12" s="28"/>
      <c r="H12" s="28">
        <v>21.05</v>
      </c>
      <c r="I12" s="29">
        <v>0.7</v>
      </c>
      <c r="J12" s="29">
        <v>0.3</v>
      </c>
      <c r="K12" s="29">
        <v>0.43</v>
      </c>
      <c r="L12" s="29">
        <v>0.57000000000000006</v>
      </c>
      <c r="M12" s="29">
        <v>0.06</v>
      </c>
      <c r="N12" s="32">
        <f t="shared" si="1"/>
        <v>36.563850000000002</v>
      </c>
      <c r="T12" t="s">
        <v>1238</v>
      </c>
      <c r="U12" s="95">
        <v>0.10887582863603078</v>
      </c>
      <c r="V12" s="95">
        <v>0.11939441642778639</v>
      </c>
      <c r="W12" s="95">
        <v>8.4789550081363685E-2</v>
      </c>
      <c r="X12" s="95">
        <v>6.8160998587222896E-2</v>
      </c>
      <c r="Y12" s="95">
        <v>8.789293313165597E-2</v>
      </c>
      <c r="Z12" s="95">
        <v>3.120963285838815E-2</v>
      </c>
      <c r="AA12" s="95">
        <v>8.2822868679942471E-2</v>
      </c>
      <c r="AB12" s="95">
        <v>8.3103183533476038E-2</v>
      </c>
      <c r="AC12" s="95">
        <v>7.6042083444516559E-2</v>
      </c>
      <c r="AD12" s="95">
        <v>8.8082457191176827E-2</v>
      </c>
      <c r="AE12" s="95">
        <v>0.17890103227974685</v>
      </c>
      <c r="AF12" s="95">
        <v>0.12446243132263431</v>
      </c>
      <c r="AG12" s="95">
        <v>0.10011387420081498</v>
      </c>
      <c r="AK12" s="88" t="s">
        <v>1248</v>
      </c>
      <c r="AL12" s="89">
        <v>0.11018318267911684</v>
      </c>
      <c r="AM12" s="89">
        <v>9.2867160889601286E-2</v>
      </c>
      <c r="AN12" s="89">
        <v>7.3562323635302143E-2</v>
      </c>
      <c r="AO12" s="89">
        <v>3.4009388008148095E-3</v>
      </c>
      <c r="AP12" s="89">
        <v>0.12691635940228993</v>
      </c>
      <c r="AQ12" s="89">
        <v>9.3822393822393851E-2</v>
      </c>
      <c r="AR12" s="89">
        <v>0.13439363817097416</v>
      </c>
      <c r="AS12" s="89">
        <v>0.48369918939707707</v>
      </c>
      <c r="AT12" s="89">
        <v>3.9468582085418315E-3</v>
      </c>
      <c r="AU12" s="89">
        <v>0.45135842525660425</v>
      </c>
      <c r="AV12" s="89">
        <v>4.3430313424366335E-3</v>
      </c>
      <c r="AW12" s="89">
        <v>9.3104451556590057E-2</v>
      </c>
      <c r="AX12" s="90">
        <v>0.18103188172583726</v>
      </c>
    </row>
    <row r="13" spans="1:50" x14ac:dyDescent="0.25">
      <c r="A13" s="39" t="str">
        <f t="shared" si="0"/>
        <v>Dangal PlayFREE</v>
      </c>
      <c r="B13" s="37" t="s">
        <v>82</v>
      </c>
      <c r="C13" s="37" t="s">
        <v>83</v>
      </c>
      <c r="D13" s="37" t="s">
        <v>57</v>
      </c>
      <c r="E13" s="37" t="s">
        <v>219</v>
      </c>
      <c r="F13" s="37" t="s">
        <v>220</v>
      </c>
      <c r="G13" s="28"/>
      <c r="H13" s="28">
        <v>10</v>
      </c>
      <c r="I13" s="29">
        <v>0.65</v>
      </c>
      <c r="J13" s="29">
        <v>0.35</v>
      </c>
      <c r="K13" s="29">
        <v>0.43</v>
      </c>
      <c r="L13" s="29">
        <v>0.57000000000000006</v>
      </c>
      <c r="M13" s="29">
        <v>7.0000000000000007E-2</v>
      </c>
      <c r="N13" s="32">
        <f t="shared" si="1"/>
        <v>17.07</v>
      </c>
      <c r="T13" t="s">
        <v>1239</v>
      </c>
      <c r="U13" s="95">
        <v>6.7544954095199811E-2</v>
      </c>
      <c r="V13" s="95">
        <v>5.9431784995820358E-2</v>
      </c>
      <c r="W13" s="95">
        <v>5.070118967231925E-2</v>
      </c>
      <c r="X13" s="95">
        <v>4.2943399836568308E-2</v>
      </c>
      <c r="Y13" s="95">
        <v>3.066480754672362E-2</v>
      </c>
      <c r="Z13" s="95">
        <v>9.2259348042764908E-2</v>
      </c>
      <c r="AA13" s="95">
        <v>4.1851111525864119E-2</v>
      </c>
      <c r="AB13" s="95">
        <v>0.17740788022720533</v>
      </c>
      <c r="AC13" s="95">
        <v>0.14823771614852077</v>
      </c>
      <c r="AD13" s="95">
        <v>0.17170942319455157</v>
      </c>
      <c r="AE13" s="95">
        <v>4.8995613847222882E-2</v>
      </c>
      <c r="AF13" s="95">
        <v>5.0555009529689027E-2</v>
      </c>
      <c r="AG13" s="95">
        <v>6.6595816902100841E-2</v>
      </c>
      <c r="AK13" s="88" t="s">
        <v>1249</v>
      </c>
      <c r="AL13" s="89">
        <v>0.13111884385693584</v>
      </c>
      <c r="AM13" s="89">
        <v>0.19635343618513326</v>
      </c>
      <c r="AN13" s="89">
        <v>0.24394278485939477</v>
      </c>
      <c r="AO13" s="89">
        <v>0.10746021905352349</v>
      </c>
      <c r="AP13" s="89">
        <v>0.16766931884339217</v>
      </c>
      <c r="AQ13" s="89">
        <v>0.19691119691119696</v>
      </c>
      <c r="AR13" s="89">
        <v>0.17534791252485091</v>
      </c>
      <c r="AS13" s="89">
        <v>5.3744354377453013E-3</v>
      </c>
      <c r="AT13" s="89">
        <v>3.7188175120483045E-3</v>
      </c>
      <c r="AU13" s="89">
        <v>1.2544671031489447E-3</v>
      </c>
      <c r="AV13" s="89">
        <v>3.0484926410828182E-3</v>
      </c>
      <c r="AW13" s="89">
        <v>0.22829987392105522</v>
      </c>
      <c r="AX13" s="90">
        <v>0.15689429749572562</v>
      </c>
    </row>
    <row r="14" spans="1:50" x14ac:dyDescent="0.25">
      <c r="A14" s="39" t="str">
        <f t="shared" si="0"/>
        <v>Discovery+PAID</v>
      </c>
      <c r="B14" s="37" t="s">
        <v>89</v>
      </c>
      <c r="C14" s="37" t="s">
        <v>65</v>
      </c>
      <c r="D14" s="37" t="s">
        <v>57</v>
      </c>
      <c r="E14" s="37" t="s">
        <v>211</v>
      </c>
      <c r="F14" s="37" t="s">
        <v>212</v>
      </c>
      <c r="G14" s="28"/>
      <c r="H14" s="28">
        <v>0.5</v>
      </c>
      <c r="I14" s="29">
        <v>0.7</v>
      </c>
      <c r="J14" s="29">
        <v>0.3</v>
      </c>
      <c r="K14" s="29">
        <v>0.35</v>
      </c>
      <c r="L14" s="29">
        <v>0.65</v>
      </c>
      <c r="M14" s="29">
        <v>0.05</v>
      </c>
      <c r="N14" s="32">
        <f t="shared" si="1"/>
        <v>0.80749999999999988</v>
      </c>
      <c r="T14" t="s">
        <v>1240</v>
      </c>
      <c r="U14" s="95">
        <v>0.14650664525218321</v>
      </c>
      <c r="V14" s="95">
        <v>0.15728122180915385</v>
      </c>
      <c r="W14" s="95">
        <v>0.18709991389396771</v>
      </c>
      <c r="X14" s="95">
        <v>0.17122328391914554</v>
      </c>
      <c r="Y14" s="95">
        <v>0.14899225696321597</v>
      </c>
      <c r="Z14" s="95">
        <v>0.21711699906064016</v>
      </c>
      <c r="AA14" s="95">
        <v>0.11122219234767439</v>
      </c>
      <c r="AB14" s="95">
        <v>0.11223040844634669</v>
      </c>
      <c r="AC14" s="95">
        <v>9.4567299303385588E-2</v>
      </c>
      <c r="AD14" s="95">
        <v>0.16786815020063556</v>
      </c>
      <c r="AE14" s="95">
        <v>0.10609276904745761</v>
      </c>
      <c r="AF14" s="95">
        <v>0.22034606023701961</v>
      </c>
      <c r="AG14" s="95">
        <v>0.10207545281339667</v>
      </c>
      <c r="AK14" s="88" t="s">
        <v>1250</v>
      </c>
      <c r="AL14" s="89">
        <v>0.12195847676619677</v>
      </c>
      <c r="AM14" s="89">
        <v>8.1747144860749354E-2</v>
      </c>
      <c r="AN14" s="89">
        <v>6.2469592293470856E-2</v>
      </c>
      <c r="AO14" s="89">
        <v>7.9296194609275852E-2</v>
      </c>
      <c r="AP14" s="89">
        <v>9.9941781486512726E-2</v>
      </c>
      <c r="AQ14" s="89">
        <v>0.10038610038610041</v>
      </c>
      <c r="AR14" s="89">
        <v>9.7415506958250506E-2</v>
      </c>
      <c r="AS14" s="89">
        <v>9.6641224385144841E-4</v>
      </c>
      <c r="AT14" s="89">
        <v>4.6291338146499991E-3</v>
      </c>
      <c r="AU14" s="89">
        <v>6.4368875277318518E-3</v>
      </c>
      <c r="AV14" s="89">
        <v>3.9206029241001259E-3</v>
      </c>
      <c r="AW14" s="89">
        <v>9.9893317815924754E-2</v>
      </c>
      <c r="AX14" s="90">
        <v>0.10057326762546515</v>
      </c>
    </row>
    <row r="15" spans="1:50" x14ac:dyDescent="0.25">
      <c r="A15" s="39" t="str">
        <f t="shared" si="0"/>
        <v>Epic OnPAID</v>
      </c>
      <c r="B15" s="37" t="s">
        <v>94</v>
      </c>
      <c r="C15" s="37" t="s">
        <v>95</v>
      </c>
      <c r="D15" s="37" t="s">
        <v>73</v>
      </c>
      <c r="E15" s="37" t="s">
        <v>211</v>
      </c>
      <c r="F15" s="37" t="s">
        <v>212</v>
      </c>
      <c r="G15" s="28"/>
      <c r="H15" s="31">
        <v>0.5</v>
      </c>
      <c r="I15" s="29">
        <v>0.76</v>
      </c>
      <c r="J15" s="29">
        <v>0.24</v>
      </c>
      <c r="K15" s="29">
        <v>0.34</v>
      </c>
      <c r="L15" s="29">
        <v>0.65999999999999992</v>
      </c>
      <c r="M15" s="29">
        <v>0.06</v>
      </c>
      <c r="N15" s="32">
        <f t="shared" si="1"/>
        <v>0.78300000000000003</v>
      </c>
      <c r="T15" t="s">
        <v>1241</v>
      </c>
      <c r="U15" s="95">
        <v>0.11598889795214631</v>
      </c>
      <c r="V15" s="95">
        <v>0.16656058765036713</v>
      </c>
      <c r="W15" s="95">
        <v>0.16007977515740904</v>
      </c>
      <c r="X15" s="95">
        <v>0.10360112078461199</v>
      </c>
      <c r="Y15" s="95">
        <v>0.20704507711342399</v>
      </c>
      <c r="Z15" s="95">
        <v>0.18481872648566894</v>
      </c>
      <c r="AA15" s="95">
        <v>6.6525978748119774E-2</v>
      </c>
      <c r="AB15" s="95">
        <v>0.12567327927102398</v>
      </c>
      <c r="AC15" s="95">
        <v>9.8019334135623859E-2</v>
      </c>
      <c r="AD15" s="95">
        <v>9.0482350836910433E-2</v>
      </c>
      <c r="AE15" s="95">
        <v>8.0154067669841816E-2</v>
      </c>
      <c r="AF15" s="95">
        <v>8.3112122592969892E-2</v>
      </c>
      <c r="AG15" s="95">
        <v>0.12208812298904745</v>
      </c>
      <c r="AK15" s="88" t="s">
        <v>1251</v>
      </c>
      <c r="AL15" s="89">
        <v>9.7127799807568568E-2</v>
      </c>
      <c r="AM15" s="89">
        <v>9.2867160889601286E-2</v>
      </c>
      <c r="AN15" s="89">
        <v>6.7432129999026952E-2</v>
      </c>
      <c r="AO15" s="89">
        <v>6.4298999202904994E-2</v>
      </c>
      <c r="AP15" s="89">
        <v>6.8600815059188844E-2</v>
      </c>
      <c r="AQ15" s="89">
        <v>8.3397683397683414E-2</v>
      </c>
      <c r="AR15" s="89">
        <v>6.8886679920477131E-2</v>
      </c>
      <c r="AS15" s="89">
        <v>1.0847484369761156E-3</v>
      </c>
      <c r="AT15" s="89">
        <v>0.62764313088592705</v>
      </c>
      <c r="AU15" s="89">
        <v>1.0163506622734506E-3</v>
      </c>
      <c r="AV15" s="89">
        <v>6.4726935067690755E-2</v>
      </c>
      <c r="AW15" s="89">
        <v>8.3018135971292817E-2</v>
      </c>
      <c r="AX15" s="90">
        <v>7.6737403198229914E-2</v>
      </c>
    </row>
    <row r="16" spans="1:50" x14ac:dyDescent="0.25">
      <c r="A16" s="39" t="str">
        <f t="shared" si="0"/>
        <v>Epic OnFREE</v>
      </c>
      <c r="B16" s="37" t="s">
        <v>94</v>
      </c>
      <c r="C16" s="37" t="s">
        <v>95</v>
      </c>
      <c r="D16" s="37" t="s">
        <v>73</v>
      </c>
      <c r="E16" s="37" t="s">
        <v>219</v>
      </c>
      <c r="F16" s="37" t="s">
        <v>220</v>
      </c>
      <c r="G16" s="28"/>
      <c r="H16" s="31">
        <v>0.8</v>
      </c>
      <c r="I16" s="29">
        <v>0.75</v>
      </c>
      <c r="J16" s="29">
        <v>0.25</v>
      </c>
      <c r="K16" s="29">
        <v>0.34</v>
      </c>
      <c r="L16" s="29">
        <v>0.65999999999999992</v>
      </c>
      <c r="M16" s="29">
        <v>7.0000000000000007E-2</v>
      </c>
      <c r="N16" s="32">
        <f t="shared" si="1"/>
        <v>1.2288000000000001</v>
      </c>
      <c r="T16" t="s">
        <v>1242</v>
      </c>
      <c r="U16" s="95">
        <v>0.1353965544733266</v>
      </c>
      <c r="V16" s="95">
        <v>9.7407966036960156E-2</v>
      </c>
      <c r="W16" s="95">
        <v>5.9930220883317585E-2</v>
      </c>
      <c r="X16" s="95">
        <v>3.0266501702520082E-2</v>
      </c>
      <c r="Y16" s="95">
        <v>7.7077140742963596E-2</v>
      </c>
      <c r="Z16" s="95">
        <v>0.10320266274038649</v>
      </c>
      <c r="AA16" s="95">
        <v>8.2745995809398912E-2</v>
      </c>
      <c r="AB16" s="95">
        <v>0.11747035986398152</v>
      </c>
      <c r="AC16" s="95">
        <v>8.0973580505884837E-2</v>
      </c>
      <c r="AD16" s="95">
        <v>0.15248384807541501</v>
      </c>
      <c r="AE16" s="95">
        <v>7.9853541723423543E-2</v>
      </c>
      <c r="AF16" s="95">
        <v>7.223491462505742E-2</v>
      </c>
      <c r="AG16" s="95">
        <v>7.8853214776764449E-2</v>
      </c>
      <c r="AK16" s="91" t="s">
        <v>1252</v>
      </c>
      <c r="AL16" s="92">
        <v>7.0310317567917294E-2</v>
      </c>
      <c r="AM16" s="92">
        <v>3.9270687237026647E-2</v>
      </c>
      <c r="AN16" s="92">
        <v>2.0628588109370436E-2</v>
      </c>
      <c r="AO16" s="92">
        <v>6.0579222389513729E-2</v>
      </c>
      <c r="AP16" s="92">
        <v>4.2693576557345243E-2</v>
      </c>
      <c r="AQ16" s="92">
        <v>4.0154440154440169E-2</v>
      </c>
      <c r="AR16" s="92">
        <v>3.8568588469184893E-2</v>
      </c>
      <c r="AS16" s="92">
        <v>9.3682819557028166E-4</v>
      </c>
      <c r="AT16" s="92">
        <v>0.34965435605020323</v>
      </c>
      <c r="AU16" s="92">
        <v>9.9699160203967053E-4</v>
      </c>
      <c r="AV16" s="92">
        <v>4.8565641385526298E-2</v>
      </c>
      <c r="AW16" s="92">
        <v>3.0258946755891771E-2</v>
      </c>
      <c r="AX16" s="93">
        <v>4.7772302122095947E-2</v>
      </c>
    </row>
    <row r="17" spans="1:50" x14ac:dyDescent="0.25">
      <c r="A17" s="39" t="str">
        <f t="shared" si="0"/>
        <v>Eros NowPAID</v>
      </c>
      <c r="B17" s="37" t="s">
        <v>98</v>
      </c>
      <c r="C17" s="37" t="s">
        <v>19</v>
      </c>
      <c r="D17" s="37" t="s">
        <v>57</v>
      </c>
      <c r="E17" s="37" t="s">
        <v>211</v>
      </c>
      <c r="F17" s="37" t="s">
        <v>212</v>
      </c>
      <c r="G17" s="28"/>
      <c r="H17" s="28">
        <v>36.200000000000003</v>
      </c>
      <c r="I17" s="29">
        <v>0.75</v>
      </c>
      <c r="J17" s="29">
        <v>0.25</v>
      </c>
      <c r="K17" s="29">
        <v>0.24</v>
      </c>
      <c r="L17" s="29">
        <v>0.76</v>
      </c>
      <c r="M17" s="29">
        <v>0.06</v>
      </c>
      <c r="N17" s="32">
        <f t="shared" si="1"/>
        <v>49.811200000000007</v>
      </c>
    </row>
    <row r="18" spans="1:50" x14ac:dyDescent="0.25">
      <c r="A18" s="39" t="str">
        <f t="shared" si="0"/>
        <v>Etv WinPAID</v>
      </c>
      <c r="B18" s="37" t="s">
        <v>100</v>
      </c>
      <c r="C18" s="37" t="s">
        <v>101</v>
      </c>
      <c r="D18" s="37" t="s">
        <v>102</v>
      </c>
      <c r="E18" s="37" t="s">
        <v>211</v>
      </c>
      <c r="F18" s="37" t="s">
        <v>212</v>
      </c>
      <c r="G18" s="28"/>
      <c r="H18" s="28">
        <v>1.5</v>
      </c>
      <c r="I18" s="29">
        <v>0.78</v>
      </c>
      <c r="J18" s="29">
        <v>0.22</v>
      </c>
      <c r="K18" s="29">
        <v>0.18</v>
      </c>
      <c r="L18" s="29">
        <v>0.82000000000000006</v>
      </c>
      <c r="M18" s="29">
        <v>7.0000000000000007E-2</v>
      </c>
      <c r="N18" s="32">
        <f t="shared" si="1"/>
        <v>1.8480000000000003</v>
      </c>
    </row>
    <row r="19" spans="1:50" x14ac:dyDescent="0.25">
      <c r="A19" s="39" t="str">
        <f t="shared" si="0"/>
        <v>HoichoiPAID</v>
      </c>
      <c r="B19" s="37" t="s">
        <v>104</v>
      </c>
      <c r="C19" s="37" t="s">
        <v>105</v>
      </c>
      <c r="D19" s="37" t="s">
        <v>45</v>
      </c>
      <c r="E19" s="37" t="s">
        <v>211</v>
      </c>
      <c r="F19" s="37" t="s">
        <v>212</v>
      </c>
      <c r="G19" s="28"/>
      <c r="H19" s="28">
        <v>10.130000000000001</v>
      </c>
      <c r="I19" s="29">
        <v>0.6</v>
      </c>
      <c r="J19" s="29">
        <v>0.4</v>
      </c>
      <c r="K19" s="29">
        <v>0.41</v>
      </c>
      <c r="L19" s="29">
        <v>0.59000000000000008</v>
      </c>
      <c r="M19" s="29">
        <v>7.0000000000000007E-2</v>
      </c>
      <c r="N19" s="32">
        <f t="shared" si="1"/>
        <v>16.906969999999998</v>
      </c>
      <c r="T19" s="1" t="s">
        <v>1243</v>
      </c>
    </row>
    <row r="20" spans="1:50" x14ac:dyDescent="0.25">
      <c r="A20" s="39" t="str">
        <f t="shared" si="0"/>
        <v>Hr OttPAID</v>
      </c>
      <c r="B20" s="37" t="s">
        <v>107</v>
      </c>
      <c r="C20" s="37" t="s">
        <v>26</v>
      </c>
      <c r="D20" s="37" t="s">
        <v>102</v>
      </c>
      <c r="E20" s="37" t="s">
        <v>211</v>
      </c>
      <c r="F20" s="37" t="s">
        <v>212</v>
      </c>
      <c r="G20" s="28"/>
      <c r="H20" s="28">
        <v>0</v>
      </c>
      <c r="I20" s="29">
        <v>0.8</v>
      </c>
      <c r="J20" s="29">
        <v>0.2</v>
      </c>
      <c r="K20" s="29">
        <v>0.36</v>
      </c>
      <c r="L20" s="29">
        <v>0.64</v>
      </c>
      <c r="M20" s="29">
        <v>7.0000000000000007E-2</v>
      </c>
      <c r="N20" s="32">
        <f t="shared" si="1"/>
        <v>0</v>
      </c>
      <c r="T20" s="82" t="s">
        <v>1234</v>
      </c>
      <c r="U20" s="83" t="s">
        <v>906</v>
      </c>
      <c r="V20" s="83" t="s">
        <v>64</v>
      </c>
      <c r="W20" s="83" t="s">
        <v>123</v>
      </c>
      <c r="X20" s="83" t="s">
        <v>1229</v>
      </c>
      <c r="Y20" s="83" t="s">
        <v>150</v>
      </c>
      <c r="Z20" s="83" t="s">
        <v>132</v>
      </c>
      <c r="AA20" s="83" t="s">
        <v>1230</v>
      </c>
      <c r="AB20" s="83" t="s">
        <v>1231</v>
      </c>
      <c r="AC20" s="83" t="s">
        <v>104</v>
      </c>
      <c r="AD20" s="83" t="s">
        <v>49</v>
      </c>
      <c r="AE20" s="83" t="s">
        <v>455</v>
      </c>
      <c r="AF20" s="83" t="s">
        <v>1232</v>
      </c>
      <c r="AG20" s="83" t="s">
        <v>1233</v>
      </c>
      <c r="AK20" s="82" t="s">
        <v>1234</v>
      </c>
      <c r="AL20" s="83" t="s">
        <v>906</v>
      </c>
      <c r="AM20" s="83" t="s">
        <v>64</v>
      </c>
      <c r="AN20" s="83" t="s">
        <v>123</v>
      </c>
      <c r="AO20" s="83" t="s">
        <v>1229</v>
      </c>
      <c r="AP20" s="83" t="s">
        <v>150</v>
      </c>
      <c r="AQ20" s="83" t="s">
        <v>132</v>
      </c>
      <c r="AR20" s="83" t="s">
        <v>1230</v>
      </c>
      <c r="AS20" s="83" t="s">
        <v>1231</v>
      </c>
      <c r="AT20" s="83" t="s">
        <v>104</v>
      </c>
      <c r="AU20" s="83" t="s">
        <v>49</v>
      </c>
      <c r="AV20" s="83" t="s">
        <v>455</v>
      </c>
      <c r="AW20" s="83" t="s">
        <v>1232</v>
      </c>
      <c r="AX20" s="83" t="s">
        <v>1233</v>
      </c>
    </row>
    <row r="21" spans="1:50" x14ac:dyDescent="0.25">
      <c r="A21" s="39" t="str">
        <f t="shared" si="0"/>
        <v>Jio HotstarFREE</v>
      </c>
      <c r="B21" s="37" t="s">
        <v>906</v>
      </c>
      <c r="C21" s="37" t="s">
        <v>65</v>
      </c>
      <c r="D21" s="37" t="s">
        <v>57</v>
      </c>
      <c r="E21" s="37" t="s">
        <v>219</v>
      </c>
      <c r="F21" s="37" t="s">
        <v>220</v>
      </c>
      <c r="G21" s="28"/>
      <c r="H21" s="28">
        <v>39.06</v>
      </c>
      <c r="I21" s="29">
        <v>0.625</v>
      </c>
      <c r="J21" s="29">
        <v>0.375</v>
      </c>
      <c r="K21" s="29">
        <v>0.28000000000000003</v>
      </c>
      <c r="L21" s="29">
        <v>0.72</v>
      </c>
      <c r="M21" s="29">
        <v>6.5000000000000002E-2</v>
      </c>
      <c r="N21" s="32">
        <f t="shared" si="1"/>
        <v>56.129220000000004</v>
      </c>
      <c r="T21" s="82" t="s">
        <v>1235</v>
      </c>
      <c r="U21" s="83">
        <f ca="1">U9*RANDBETWEEN(90,105)/100</f>
        <v>0.11329522470449277</v>
      </c>
      <c r="V21" s="83">
        <f ca="1">V9*RANDBETWEEN(80,110)/100</f>
        <v>3.2413107051038302E-2</v>
      </c>
      <c r="W21" s="83">
        <f ca="1">W9*RANDBETWEEN(95,115)/100</f>
        <v>3.9178408677178769E-2</v>
      </c>
      <c r="X21" s="83">
        <f ca="1">X9*RANDBETWEEN(98,118)/100</f>
        <v>9.1494781290128557E-2</v>
      </c>
      <c r="Y21" s="83">
        <f t="shared" ref="Y21:AG21" ca="1" si="2">Y9*RANDBETWEEN(90,105)/100</f>
        <v>1.4229581819668069E-2</v>
      </c>
      <c r="Z21" s="83">
        <f t="shared" ca="1" si="2"/>
        <v>4.0460899641154811E-2</v>
      </c>
      <c r="AA21" s="83">
        <f t="shared" ca="1" si="2"/>
        <v>3.3011040332448151E-2</v>
      </c>
      <c r="AB21" s="83">
        <f t="shared" ca="1" si="2"/>
        <v>3.064686507441923E-2</v>
      </c>
      <c r="AC21" s="83">
        <f t="shared" ca="1" si="2"/>
        <v>0.12045918916439234</v>
      </c>
      <c r="AD21" s="83">
        <f t="shared" ca="1" si="2"/>
        <v>2.2688439919212672E-2</v>
      </c>
      <c r="AE21" s="83">
        <f t="shared" ca="1" si="2"/>
        <v>3.0139024031150655E-2</v>
      </c>
      <c r="AF21" s="83">
        <f t="shared" ca="1" si="2"/>
        <v>9.492593090892959E-2</v>
      </c>
      <c r="AG21" s="83">
        <f t="shared" ca="1" si="2"/>
        <v>4.9837764379742605E-2</v>
      </c>
      <c r="AK21" s="82" t="s">
        <v>1245</v>
      </c>
      <c r="AL21" s="83">
        <f ca="1">AL9*RANDBETWEEN(90,105)/100</f>
        <v>0.15305462117957236</v>
      </c>
      <c r="AM21" s="83">
        <f t="shared" ref="AM21:AX21" ca="1" si="3">AM9*RANDBETWEEN(90,105)/100</f>
        <v>0.20256661991584854</v>
      </c>
      <c r="AN21" s="83">
        <f t="shared" ca="1" si="3"/>
        <v>0.22647659822905514</v>
      </c>
      <c r="AO21" s="83">
        <f t="shared" ca="1" si="3"/>
        <v>0.3718430608449208</v>
      </c>
      <c r="AP21" s="83">
        <f t="shared" ca="1" si="3"/>
        <v>0.19778769648748301</v>
      </c>
      <c r="AQ21" s="83">
        <f t="shared" ca="1" si="3"/>
        <v>0.20878378378378382</v>
      </c>
      <c r="AR21" s="83">
        <f t="shared" ca="1" si="3"/>
        <v>0.16998011928429424</v>
      </c>
      <c r="AS21" s="83">
        <f t="shared" ca="1" si="3"/>
        <v>1.1182770250281048E-3</v>
      </c>
      <c r="AT21" s="83">
        <f t="shared" ca="1" si="3"/>
        <v>4.0382591354764848E-3</v>
      </c>
      <c r="AU21" s="83">
        <f t="shared" ca="1" si="3"/>
        <v>2.1335620283648945E-3</v>
      </c>
      <c r="AV21" s="83">
        <f t="shared" ca="1" si="3"/>
        <v>0.52052719845278295</v>
      </c>
      <c r="AW21" s="83">
        <f t="shared" ca="1" si="3"/>
        <v>0.19778876927553099</v>
      </c>
      <c r="AX21" s="83">
        <f t="shared" ca="1" si="3"/>
        <v>9.5584833551242088E-2</v>
      </c>
    </row>
    <row r="22" spans="1:50" x14ac:dyDescent="0.25">
      <c r="A22" s="39" t="str">
        <f t="shared" si="0"/>
        <v>KlikkPAID</v>
      </c>
      <c r="B22" s="37" t="s">
        <v>112</v>
      </c>
      <c r="C22" s="37" t="s">
        <v>33</v>
      </c>
      <c r="D22" s="37" t="s">
        <v>45</v>
      </c>
      <c r="E22" s="37" t="s">
        <v>211</v>
      </c>
      <c r="F22" s="37" t="s">
        <v>212</v>
      </c>
      <c r="G22" s="28"/>
      <c r="H22" s="28">
        <v>0.1</v>
      </c>
      <c r="I22" s="29">
        <v>0.85</v>
      </c>
      <c r="J22" s="29">
        <v>0.15</v>
      </c>
      <c r="K22" s="29">
        <v>0.31</v>
      </c>
      <c r="L22" s="29">
        <v>0.69</v>
      </c>
      <c r="M22" s="29">
        <v>0.06</v>
      </c>
      <c r="N22" s="32">
        <f t="shared" si="1"/>
        <v>0.15089999999999998</v>
      </c>
      <c r="T22" s="82" t="s">
        <v>1236</v>
      </c>
      <c r="U22" s="83">
        <f ca="1">U10*RANDBETWEEN(90,105)/100</f>
        <v>0.13070550899769068</v>
      </c>
      <c r="V22" s="83">
        <f t="shared" ref="V22:V28" ca="1" si="4">V10*RANDBETWEEN(80,110)/100</f>
        <v>0.18940882894532074</v>
      </c>
      <c r="W22" s="83">
        <f t="shared" ref="W22:W28" ca="1" si="5">W10*RANDBETWEEN(95,115)/100</f>
        <v>0.23964206085090539</v>
      </c>
      <c r="X22" s="83">
        <f t="shared" ref="X22:X28" ca="1" si="6">X10*RANDBETWEEN(98,118)/100</f>
        <v>0.32549440056803847</v>
      </c>
      <c r="Y22" s="83">
        <f t="shared" ref="U22:AG28" ca="1" si="7">Y10*RANDBETWEEN(90,105)/100</f>
        <v>0.10392047182603042</v>
      </c>
      <c r="Z22" s="83">
        <f t="shared" ca="1" si="7"/>
        <v>0.10592108229789755</v>
      </c>
      <c r="AA22" s="83">
        <f t="shared" ca="1" si="7"/>
        <v>0.18932687564963988</v>
      </c>
      <c r="AB22" s="83">
        <f t="shared" ca="1" si="7"/>
        <v>0.14816374767943219</v>
      </c>
      <c r="AC22" s="83">
        <f t="shared" ca="1" si="7"/>
        <v>0.14803289745693612</v>
      </c>
      <c r="AD22" s="83">
        <f t="shared" ca="1" si="7"/>
        <v>4.5281726095985693E-2</v>
      </c>
      <c r="AE22" s="83">
        <f t="shared" ca="1" si="7"/>
        <v>0.13171243776832517</v>
      </c>
      <c r="AF22" s="83">
        <f t="shared" ca="1" si="7"/>
        <v>0.21620307420913107</v>
      </c>
      <c r="AG22" s="83">
        <f t="shared" ca="1" si="7"/>
        <v>0.24332222350920166</v>
      </c>
      <c r="AK22" s="82" t="s">
        <v>1246</v>
      </c>
      <c r="AL22" s="83">
        <f ca="1">AL10*RANDBETWEEN(90,105)/100</f>
        <v>0.1465144038114935</v>
      </c>
      <c r="AM22" s="83">
        <f t="shared" ref="AM22:AX22" ca="1" si="8">AM10*RANDBETWEEN(90,105)/100</f>
        <v>9.3087557603686658E-2</v>
      </c>
      <c r="AN22" s="83">
        <f t="shared" ca="1" si="8"/>
        <v>8.6640070059355825E-2</v>
      </c>
      <c r="AO22" s="83">
        <f t="shared" ca="1" si="8"/>
        <v>0.29008945177575063</v>
      </c>
      <c r="AP22" s="83">
        <f t="shared" ca="1" si="8"/>
        <v>0.15547254026780519</v>
      </c>
      <c r="AQ22" s="83">
        <f t="shared" ca="1" si="8"/>
        <v>0.10656370656370658</v>
      </c>
      <c r="AR22" s="83">
        <f t="shared" ca="1" si="8"/>
        <v>0.144662027833002</v>
      </c>
      <c r="AS22" s="83">
        <f t="shared" ca="1" si="8"/>
        <v>9.8613494270555972E-4</v>
      </c>
      <c r="AT22" s="83">
        <f t="shared" ca="1" si="8"/>
        <v>3.481876765699725E-3</v>
      </c>
      <c r="AU22" s="83">
        <f t="shared" ca="1" si="8"/>
        <v>3.7401704371662981E-3</v>
      </c>
      <c r="AV22" s="83">
        <f t="shared" ca="1" si="8"/>
        <v>0.37334496147044022</v>
      </c>
      <c r="AW22" s="83">
        <f t="shared" ca="1" si="8"/>
        <v>0.11039860343322667</v>
      </c>
      <c r="AX22" s="83">
        <f t="shared" ca="1" si="8"/>
        <v>0.13901739917529921</v>
      </c>
    </row>
    <row r="23" spans="1:50" x14ac:dyDescent="0.25">
      <c r="A23" s="39" t="str">
        <f t="shared" si="0"/>
        <v>Lionsgate PlayPAID</v>
      </c>
      <c r="B23" s="37" t="s">
        <v>114</v>
      </c>
      <c r="C23" s="37" t="s">
        <v>115</v>
      </c>
      <c r="D23" s="37" t="s">
        <v>57</v>
      </c>
      <c r="E23" s="37" t="s">
        <v>211</v>
      </c>
      <c r="F23" s="37" t="s">
        <v>212</v>
      </c>
      <c r="G23" s="28"/>
      <c r="H23" s="28">
        <v>20</v>
      </c>
      <c r="I23" s="29">
        <v>0.82</v>
      </c>
      <c r="J23" s="29">
        <v>0.18</v>
      </c>
      <c r="K23" s="29">
        <v>0.23</v>
      </c>
      <c r="L23" s="29">
        <v>0.77</v>
      </c>
      <c r="M23" s="29">
        <v>0.09</v>
      </c>
      <c r="N23" s="32">
        <f t="shared" si="1"/>
        <v>25.340000000000003</v>
      </c>
      <c r="T23" s="82" t="s">
        <v>1237</v>
      </c>
      <c r="U23" s="83">
        <f ca="1">U11*RANDBETWEEN(90,105)/100</f>
        <v>0.18610551490104157</v>
      </c>
      <c r="V23" s="83">
        <f t="shared" ca="1" si="4"/>
        <v>0.19800631774003971</v>
      </c>
      <c r="W23" s="83">
        <f t="shared" ca="1" si="5"/>
        <v>0.18511152524503466</v>
      </c>
      <c r="X23" s="83">
        <f t="shared" ca="1" si="6"/>
        <v>0.21239519341382385</v>
      </c>
      <c r="Y23" s="83">
        <f t="shared" ca="1" si="7"/>
        <v>0.31002119789446769</v>
      </c>
      <c r="Z23" s="83">
        <f t="shared" ca="1" si="7"/>
        <v>0.21923453861722167</v>
      </c>
      <c r="AA23" s="83">
        <f t="shared" ca="1" si="7"/>
        <v>0.38889692717744934</v>
      </c>
      <c r="AB23" s="83">
        <f t="shared" ca="1" si="7"/>
        <v>0.17457508481147768</v>
      </c>
      <c r="AC23" s="83">
        <f t="shared" ca="1" si="7"/>
        <v>0.20839603159017436</v>
      </c>
      <c r="AD23" s="83">
        <f t="shared" ca="1" si="7"/>
        <v>0.26707322106930143</v>
      </c>
      <c r="AE23" s="83">
        <f t="shared" ca="1" si="7"/>
        <v>0.32299242511606147</v>
      </c>
      <c r="AF23" s="83">
        <f t="shared" ca="1" si="7"/>
        <v>0.10119596314380389</v>
      </c>
      <c r="AG23" s="83">
        <f t="shared" ca="1" si="7"/>
        <v>0.24762957451435547</v>
      </c>
      <c r="AK23" s="82" t="s">
        <v>1247</v>
      </c>
      <c r="AL23" s="83">
        <f ca="1">AL11*RANDBETWEEN(90,105)/100</f>
        <v>0.14623775626017696</v>
      </c>
      <c r="AM23" s="83">
        <f t="shared" ref="AM23:AX23" ca="1" si="9">AM11*RANDBETWEEN(90,105)/100</f>
        <v>0.17311160088158684</v>
      </c>
      <c r="AN23" s="83">
        <f t="shared" ca="1" si="9"/>
        <v>0.20961759268268948</v>
      </c>
      <c r="AO23" s="83">
        <f t="shared" ca="1" si="9"/>
        <v>4.5912673810999923E-3</v>
      </c>
      <c r="AP23" s="83">
        <f t="shared" ca="1" si="9"/>
        <v>0.13953813312633417</v>
      </c>
      <c r="AQ23" s="83">
        <f t="shared" ca="1" si="9"/>
        <v>0.15345173745173749</v>
      </c>
      <c r="AR23" s="83">
        <f t="shared" ca="1" si="9"/>
        <v>0.1384831013916501</v>
      </c>
      <c r="AS23" s="83">
        <f t="shared" ca="1" si="9"/>
        <v>0.49071060883971351</v>
      </c>
      <c r="AT23" s="83">
        <f t="shared" ca="1" si="9"/>
        <v>2.447744520560592E-3</v>
      </c>
      <c r="AU23" s="83">
        <f t="shared" ca="1" si="9"/>
        <v>0.55411205798425711</v>
      </c>
      <c r="AV23" s="83">
        <f t="shared" ca="1" si="9"/>
        <v>2.3953832661892773E-3</v>
      </c>
      <c r="AW23" s="83">
        <f t="shared" ca="1" si="9"/>
        <v>0.15280768111725343</v>
      </c>
      <c r="AX23" s="83">
        <f t="shared" ca="1" si="9"/>
        <v>0.20106607663682993</v>
      </c>
    </row>
    <row r="24" spans="1:50" x14ac:dyDescent="0.25">
      <c r="A24" s="39" t="str">
        <f t="shared" si="0"/>
        <v>Manorama MaxPAID</v>
      </c>
      <c r="B24" s="51" t="s">
        <v>117</v>
      </c>
      <c r="C24" s="37" t="s">
        <v>118</v>
      </c>
      <c r="D24" s="37" t="s">
        <v>119</v>
      </c>
      <c r="E24" s="37" t="s">
        <v>211</v>
      </c>
      <c r="F24" s="37" t="s">
        <v>212</v>
      </c>
      <c r="G24" s="28"/>
      <c r="H24" s="28">
        <v>0.1</v>
      </c>
      <c r="I24" s="29">
        <v>0.74</v>
      </c>
      <c r="J24" s="29">
        <v>0.26</v>
      </c>
      <c r="K24" s="29">
        <v>0.31</v>
      </c>
      <c r="L24" s="29">
        <v>0.69</v>
      </c>
      <c r="M24" s="29">
        <v>0.06</v>
      </c>
      <c r="N24" s="32">
        <f t="shared" si="1"/>
        <v>0.15089999999999998</v>
      </c>
      <c r="T24" s="82" t="s">
        <v>1238</v>
      </c>
      <c r="U24" s="83">
        <f ca="1">U12*RANDBETWEEN(90,105)/100</f>
        <v>9.9077004058788012E-2</v>
      </c>
      <c r="V24" s="83">
        <f t="shared" ca="1" si="4"/>
        <v>0.10626103062072989</v>
      </c>
      <c r="W24" s="83">
        <f t="shared" ca="1" si="5"/>
        <v>8.6485341082990955E-2</v>
      </c>
      <c r="X24" s="83">
        <f t="shared" ca="1" si="6"/>
        <v>7.7703538389434099E-2</v>
      </c>
      <c r="Y24" s="83">
        <f t="shared" ca="1" si="7"/>
        <v>9.1408650456922216E-2</v>
      </c>
      <c r="Z24" s="83">
        <f t="shared" ca="1" si="7"/>
        <v>3.2458018172723674E-2</v>
      </c>
      <c r="AA24" s="83">
        <f t="shared" ca="1" si="7"/>
        <v>7.5368810498747649E-2</v>
      </c>
      <c r="AB24" s="83">
        <f t="shared" ca="1" si="7"/>
        <v>7.8116992521467477E-2</v>
      </c>
      <c r="AC24" s="83">
        <f t="shared" ca="1" si="7"/>
        <v>7.6042083444516559E-2</v>
      </c>
      <c r="AD24" s="83">
        <f t="shared" ca="1" si="7"/>
        <v>8.1916685187794436E-2</v>
      </c>
      <c r="AE24" s="83">
        <f t="shared" ca="1" si="7"/>
        <v>0.16995598066575951</v>
      </c>
      <c r="AF24" s="83">
        <f t="shared" ca="1" si="7"/>
        <v>0.11699468544327624</v>
      </c>
      <c r="AG24" s="83">
        <f t="shared" ca="1" si="7"/>
        <v>9.5108180490774241E-2</v>
      </c>
      <c r="AK24" s="82" t="s">
        <v>1248</v>
      </c>
      <c r="AL24" s="83">
        <f ca="1">AL12*RANDBETWEEN(90,105)/100</f>
        <v>9.9164864411205145E-2</v>
      </c>
      <c r="AM24" s="83">
        <f t="shared" ref="AM24:AX24" ca="1" si="10">AM12*RANDBETWEEN(90,105)/100</f>
        <v>9.1009817671809254E-2</v>
      </c>
      <c r="AN24" s="83">
        <f t="shared" ca="1" si="10"/>
        <v>7.650481658071423E-2</v>
      </c>
      <c r="AO24" s="83">
        <f t="shared" ca="1" si="10"/>
        <v>3.4689575768311054E-3</v>
      </c>
      <c r="AP24" s="83">
        <f t="shared" ca="1" si="10"/>
        <v>0.12310886862022123</v>
      </c>
      <c r="AQ24" s="83">
        <f t="shared" ca="1" si="10"/>
        <v>9.8513513513513548E-2</v>
      </c>
      <c r="AR24" s="83">
        <f t="shared" ca="1" si="10"/>
        <v>0.14111332007952287</v>
      </c>
      <c r="AS24" s="83">
        <f t="shared" ca="1" si="10"/>
        <v>0.49337317318501861</v>
      </c>
      <c r="AT24" s="83">
        <f t="shared" ca="1" si="10"/>
        <v>4.0652639547980865E-3</v>
      </c>
      <c r="AU24" s="83">
        <f t="shared" ca="1" si="10"/>
        <v>0.45587200950917028</v>
      </c>
      <c r="AV24" s="83">
        <f t="shared" ca="1" si="10"/>
        <v>4.2127404021635347E-3</v>
      </c>
      <c r="AW24" s="83">
        <f t="shared" ca="1" si="10"/>
        <v>8.3794006400931043E-2</v>
      </c>
      <c r="AX24" s="83">
        <f t="shared" ca="1" si="10"/>
        <v>0.16654933118777027</v>
      </c>
    </row>
    <row r="25" spans="1:50" x14ac:dyDescent="0.25">
      <c r="A25" s="39" t="str">
        <f t="shared" si="0"/>
        <v>Amazon Mx PlayerFREE</v>
      </c>
      <c r="B25" s="37" t="s">
        <v>879</v>
      </c>
      <c r="C25" s="37" t="s">
        <v>65</v>
      </c>
      <c r="D25" s="37" t="s">
        <v>57</v>
      </c>
      <c r="E25" s="37" t="s">
        <v>219</v>
      </c>
      <c r="F25" s="37" t="s">
        <v>220</v>
      </c>
      <c r="G25" s="28"/>
      <c r="H25" s="28">
        <v>72.89</v>
      </c>
      <c r="I25" s="29">
        <v>0.8</v>
      </c>
      <c r="J25" s="29">
        <v>0.2</v>
      </c>
      <c r="K25" s="30">
        <v>7.0000000000000007E-2</v>
      </c>
      <c r="L25" s="29">
        <v>0.92999999999999994</v>
      </c>
      <c r="M25" s="29">
        <v>0.05</v>
      </c>
      <c r="N25" s="32">
        <f t="shared" si="1"/>
        <v>78.939870000000013</v>
      </c>
      <c r="T25" s="82" t="s">
        <v>1239</v>
      </c>
      <c r="U25" s="83">
        <f ca="1">U13*RANDBETWEEN(90,105)/100</f>
        <v>6.7544954095199811E-2</v>
      </c>
      <c r="V25" s="83">
        <f t="shared" ca="1" si="4"/>
        <v>5.3488606496238322E-2</v>
      </c>
      <c r="W25" s="83">
        <f t="shared" ca="1" si="5"/>
        <v>5.3236249155935216E-2</v>
      </c>
      <c r="X25" s="83">
        <f t="shared" ca="1" si="6"/>
        <v>4.5949437825128087E-2</v>
      </c>
      <c r="Y25" s="83">
        <f t="shared" ca="1" si="7"/>
        <v>3.1584751773125329E-2</v>
      </c>
      <c r="Z25" s="83">
        <f t="shared" ca="1" si="7"/>
        <v>8.7646380640626659E-2</v>
      </c>
      <c r="AA25" s="83">
        <f t="shared" ca="1" si="7"/>
        <v>4.3943667102157323E-2</v>
      </c>
      <c r="AB25" s="83">
        <f t="shared" ca="1" si="7"/>
        <v>0.16853748621584508</v>
      </c>
      <c r="AC25" s="83">
        <f t="shared" ca="1" si="7"/>
        <v>0.13489632169515389</v>
      </c>
      <c r="AD25" s="83">
        <f t="shared" ca="1" si="7"/>
        <v>0.15797266933898743</v>
      </c>
      <c r="AE25" s="83">
        <f t="shared" ca="1" si="7"/>
        <v>4.5075964739445057E-2</v>
      </c>
      <c r="AF25" s="83">
        <f t="shared" ca="1" si="7"/>
        <v>4.8532809148501464E-2</v>
      </c>
      <c r="AG25" s="83">
        <f t="shared" ca="1" si="7"/>
        <v>6.0602193380911766E-2</v>
      </c>
      <c r="AK25" s="82" t="s">
        <v>1249</v>
      </c>
      <c r="AL25" s="83">
        <f ca="1">AL13*RANDBETWEEN(90,105)/100</f>
        <v>0.12325171322551969</v>
      </c>
      <c r="AM25" s="83">
        <f t="shared" ref="AM25:AX25" ca="1" si="11">AM13*RANDBETWEEN(90,105)/100</f>
        <v>0.19635343618513323</v>
      </c>
      <c r="AN25" s="83">
        <f t="shared" ca="1" si="11"/>
        <v>0.24882164055658268</v>
      </c>
      <c r="AO25" s="83">
        <f t="shared" ca="1" si="11"/>
        <v>0.10316181029138255</v>
      </c>
      <c r="AP25" s="83">
        <f t="shared" ca="1" si="11"/>
        <v>0.17437609159712786</v>
      </c>
      <c r="AQ25" s="83">
        <f t="shared" ca="1" si="11"/>
        <v>0.20281853281853288</v>
      </c>
      <c r="AR25" s="83">
        <f t="shared" ca="1" si="11"/>
        <v>0.15956660039761433</v>
      </c>
      <c r="AS25" s="83">
        <f t="shared" ca="1" si="11"/>
        <v>5.6431572096325667E-3</v>
      </c>
      <c r="AT25" s="83">
        <f t="shared" ca="1" si="11"/>
        <v>3.4585002862049228E-3</v>
      </c>
      <c r="AU25" s="83">
        <f t="shared" ca="1" si="11"/>
        <v>1.1791990769600079E-3</v>
      </c>
      <c r="AV25" s="83">
        <f t="shared" ca="1" si="11"/>
        <v>2.8350981562070211E-3</v>
      </c>
      <c r="AW25" s="83">
        <f t="shared" ca="1" si="11"/>
        <v>0.23743186887789744</v>
      </c>
      <c r="AX25" s="83">
        <f t="shared" ca="1" si="11"/>
        <v>0.14591169667102483</v>
      </c>
    </row>
    <row r="26" spans="1:50" s="1" customFormat="1" x14ac:dyDescent="0.25">
      <c r="A26" s="76" t="str">
        <f t="shared" si="0"/>
        <v>NetflixPAID</v>
      </c>
      <c r="B26" s="77" t="s">
        <v>123</v>
      </c>
      <c r="C26" s="77" t="s">
        <v>65</v>
      </c>
      <c r="D26" s="77" t="s">
        <v>57</v>
      </c>
      <c r="E26" s="77" t="s">
        <v>211</v>
      </c>
      <c r="F26" s="77" t="s">
        <v>212</v>
      </c>
      <c r="G26" s="78"/>
      <c r="H26" s="78">
        <v>17.440000000000001</v>
      </c>
      <c r="I26" s="79">
        <v>0.49</v>
      </c>
      <c r="J26" s="79">
        <v>0.51</v>
      </c>
      <c r="K26" s="79">
        <v>0.57999999999999996</v>
      </c>
      <c r="L26" s="79">
        <v>0.42000000000000004</v>
      </c>
      <c r="M26" s="79">
        <v>7.0000000000000007E-2</v>
      </c>
      <c r="N26" s="80">
        <f>H26*K26*5+H26*L26*1.5-H26*M26*5</f>
        <v>55.459200000000003</v>
      </c>
      <c r="T26" s="82" t="s">
        <v>1240</v>
      </c>
      <c r="U26" s="83">
        <f t="shared" ca="1" si="7"/>
        <v>0.1509018446097487</v>
      </c>
      <c r="V26" s="83">
        <f t="shared" ca="1" si="4"/>
        <v>0.14312591184633</v>
      </c>
      <c r="W26" s="83">
        <f t="shared" ca="1" si="5"/>
        <v>0.20955190356124384</v>
      </c>
      <c r="X26" s="83">
        <f t="shared" ca="1" si="6"/>
        <v>0.17807221527591136</v>
      </c>
      <c r="Y26" s="83">
        <f t="shared" ca="1" si="7"/>
        <v>0.1519721021024803</v>
      </c>
      <c r="Z26" s="83">
        <f t="shared" ca="1" si="7"/>
        <v>0.21494582907003376</v>
      </c>
      <c r="AA26" s="83">
        <f t="shared" ca="1" si="7"/>
        <v>0.10009997311290694</v>
      </c>
      <c r="AB26" s="83">
        <f t="shared" ca="1" si="7"/>
        <v>0.11335271253081014</v>
      </c>
      <c r="AC26" s="83">
        <f t="shared" ca="1" si="7"/>
        <v>8.5110569373047035E-2</v>
      </c>
      <c r="AD26" s="83">
        <f t="shared" ca="1" si="7"/>
        <v>0.16115342419261011</v>
      </c>
      <c r="AE26" s="83">
        <f t="shared" ca="1" si="7"/>
        <v>0.10609276904745761</v>
      </c>
      <c r="AF26" s="83">
        <f t="shared" ca="1" si="7"/>
        <v>0.20712529662279841</v>
      </c>
      <c r="AG26" s="83">
        <f t="shared" ca="1" si="7"/>
        <v>9.5950925644592872E-2</v>
      </c>
      <c r="AK26" s="82" t="s">
        <v>1250</v>
      </c>
      <c r="AL26" s="83">
        <f t="shared" ref="AL26:AX26" ca="1" si="12">AL14*RANDBETWEEN(90,105)/100</f>
        <v>0.11951930723087284</v>
      </c>
      <c r="AM26" s="83">
        <f t="shared" ca="1" si="12"/>
        <v>8.5834502103786819E-2</v>
      </c>
      <c r="AN26" s="83">
        <f t="shared" ca="1" si="12"/>
        <v>6.0595504524666728E-2</v>
      </c>
      <c r="AO26" s="83">
        <f t="shared" ca="1" si="12"/>
        <v>7.6124346824904821E-2</v>
      </c>
      <c r="AP26" s="83">
        <f t="shared" ca="1" si="12"/>
        <v>0.10493887056083837</v>
      </c>
      <c r="AQ26" s="83">
        <f t="shared" ca="1" si="12"/>
        <v>9.83783783783784E-2</v>
      </c>
      <c r="AR26" s="83">
        <f t="shared" ca="1" si="12"/>
        <v>8.7673956262425468E-2</v>
      </c>
      <c r="AS26" s="83">
        <f t="shared" ca="1" si="12"/>
        <v>1.0050687336055064E-3</v>
      </c>
      <c r="AT26" s="83">
        <f t="shared" ca="1" si="12"/>
        <v>4.8605905053824986E-3</v>
      </c>
      <c r="AU26" s="83">
        <f t="shared" ca="1" si="12"/>
        <v>6.308149777177214E-3</v>
      </c>
      <c r="AV26" s="83">
        <f t="shared" ca="1" si="12"/>
        <v>3.8813968948591248E-3</v>
      </c>
      <c r="AW26" s="83">
        <f t="shared" ca="1" si="12"/>
        <v>9.2900785568810026E-2</v>
      </c>
      <c r="AX26" s="83">
        <f t="shared" ca="1" si="12"/>
        <v>0.10560193100673841</v>
      </c>
    </row>
    <row r="27" spans="1:50" x14ac:dyDescent="0.25">
      <c r="A27" s="39" t="str">
        <f t="shared" si="0"/>
        <v>Saina PlayPAID</v>
      </c>
      <c r="B27" s="37" t="s">
        <v>125</v>
      </c>
      <c r="C27" s="37" t="s">
        <v>26</v>
      </c>
      <c r="D27" s="37" t="s">
        <v>102</v>
      </c>
      <c r="E27" s="37" t="s">
        <v>211</v>
      </c>
      <c r="F27" s="37" t="s">
        <v>212</v>
      </c>
      <c r="G27" s="28"/>
      <c r="H27" s="28">
        <v>0.05</v>
      </c>
      <c r="I27" s="29">
        <v>0.7</v>
      </c>
      <c r="J27" s="29">
        <v>0.3</v>
      </c>
      <c r="K27" s="29">
        <v>0.4</v>
      </c>
      <c r="L27" s="29">
        <v>0.6</v>
      </c>
      <c r="M27" s="29">
        <v>0.04</v>
      </c>
      <c r="N27" s="32">
        <f t="shared" si="1"/>
        <v>8.7000000000000008E-2</v>
      </c>
      <c r="T27" s="82" t="s">
        <v>1241</v>
      </c>
      <c r="U27" s="83">
        <f t="shared" ca="1" si="7"/>
        <v>0.10902956407501753</v>
      </c>
      <c r="V27" s="83">
        <f t="shared" ca="1" si="4"/>
        <v>0.15490134651484141</v>
      </c>
      <c r="W27" s="83">
        <f t="shared" ca="1" si="5"/>
        <v>0.17768855042472403</v>
      </c>
      <c r="X27" s="83">
        <f t="shared" ca="1" si="6"/>
        <v>0.11603325527876543</v>
      </c>
      <c r="Y27" s="83">
        <f t="shared" ca="1" si="7"/>
        <v>0.21532688019796095</v>
      </c>
      <c r="Z27" s="83">
        <f t="shared" ca="1" si="7"/>
        <v>0.17372960289652881</v>
      </c>
      <c r="AA27" s="83">
        <f t="shared" ca="1" si="7"/>
        <v>6.7856498323082173E-2</v>
      </c>
      <c r="AB27" s="83">
        <f t="shared" ca="1" si="7"/>
        <v>0.12693001206373422</v>
      </c>
      <c r="AC27" s="83">
        <f t="shared" ca="1" si="7"/>
        <v>9.8999527476980098E-2</v>
      </c>
      <c r="AD27" s="83">
        <f t="shared" ca="1" si="7"/>
        <v>9.4101644870386844E-2</v>
      </c>
      <c r="AE27" s="83">
        <f t="shared" ca="1" si="7"/>
        <v>8.3360230376635494E-2</v>
      </c>
      <c r="AF27" s="83">
        <f t="shared" ca="1" si="7"/>
        <v>8.7267728722618385E-2</v>
      </c>
      <c r="AG27" s="83">
        <f t="shared" ca="1" si="7"/>
        <v>0.12330900421893792</v>
      </c>
      <c r="AK27" s="82" t="s">
        <v>1251</v>
      </c>
      <c r="AL27" s="83">
        <f t="shared" ref="AL27:AX27" ca="1" si="13">AL15*RANDBETWEEN(90,105)/100</f>
        <v>9.0328853821038779E-2</v>
      </c>
      <c r="AM27" s="83">
        <f t="shared" ca="1" si="13"/>
        <v>8.5437788018433186E-2</v>
      </c>
      <c r="AN27" s="83">
        <f t="shared" ca="1" si="13"/>
        <v>6.7432129999026952E-2</v>
      </c>
      <c r="AO27" s="83">
        <f t="shared" ca="1" si="13"/>
        <v>6.1727039234788797E-2</v>
      </c>
      <c r="AP27" s="83">
        <f t="shared" ca="1" si="13"/>
        <v>7.2030855812148284E-2</v>
      </c>
      <c r="AQ27" s="83">
        <f t="shared" ca="1" si="13"/>
        <v>8.0895752895752918E-2</v>
      </c>
      <c r="AR27" s="83">
        <f t="shared" ca="1" si="13"/>
        <v>6.8886679920477131E-2</v>
      </c>
      <c r="AS27" s="83">
        <f t="shared" ca="1" si="13"/>
        <v>1.1281383744551603E-3</v>
      </c>
      <c r="AT27" s="83">
        <f t="shared" ca="1" si="13"/>
        <v>0.64019599350364553</v>
      </c>
      <c r="AU27" s="83">
        <f t="shared" ca="1" si="13"/>
        <v>1.0265141688961851E-3</v>
      </c>
      <c r="AV27" s="83">
        <f t="shared" ca="1" si="13"/>
        <v>6.4079665717013845E-2</v>
      </c>
      <c r="AW27" s="83">
        <f t="shared" ca="1" si="13"/>
        <v>8.2187954611579878E-2</v>
      </c>
      <c r="AX27" s="83">
        <f t="shared" ca="1" si="13"/>
        <v>7.9806899326159114E-2</v>
      </c>
    </row>
    <row r="28" spans="1:50" x14ac:dyDescent="0.25">
      <c r="A28" s="39" t="str">
        <f t="shared" si="0"/>
        <v>Shemaroo MePAID</v>
      </c>
      <c r="B28" s="37" t="s">
        <v>127</v>
      </c>
      <c r="C28" s="37" t="s">
        <v>128</v>
      </c>
      <c r="D28" s="37" t="s">
        <v>129</v>
      </c>
      <c r="E28" s="37" t="s">
        <v>211</v>
      </c>
      <c r="F28" s="37" t="s">
        <v>212</v>
      </c>
      <c r="G28" s="28"/>
      <c r="H28" s="31">
        <v>10</v>
      </c>
      <c r="I28" s="29">
        <v>0.75</v>
      </c>
      <c r="J28" s="29">
        <v>0.25</v>
      </c>
      <c r="K28" s="29">
        <v>0.38</v>
      </c>
      <c r="L28" s="29">
        <v>0.62</v>
      </c>
      <c r="M28" s="29">
        <v>0.08</v>
      </c>
      <c r="N28" s="32">
        <f t="shared" si="1"/>
        <v>15.819999999999999</v>
      </c>
      <c r="T28" s="82" t="s">
        <v>1242</v>
      </c>
      <c r="U28" s="83">
        <f t="shared" ca="1" si="7"/>
        <v>0.127272761204927</v>
      </c>
      <c r="V28" s="83">
        <f t="shared" ca="1" si="4"/>
        <v>9.6433886376590561E-2</v>
      </c>
      <c r="W28" s="83">
        <f t="shared" ca="1" si="5"/>
        <v>6.8320451806982041E-2</v>
      </c>
      <c r="X28" s="83">
        <f t="shared" ca="1" si="6"/>
        <v>3.0569166719545283E-2</v>
      </c>
      <c r="Y28" s="83">
        <f t="shared" ca="1" si="7"/>
        <v>7.7077140742963596E-2</v>
      </c>
      <c r="Z28" s="83">
        <f t="shared" ca="1" si="7"/>
        <v>9.9074556230771035E-2</v>
      </c>
      <c r="AA28" s="83">
        <f t="shared" ca="1" si="7"/>
        <v>7.6126316144647002E-2</v>
      </c>
      <c r="AB28" s="83">
        <f t="shared" ca="1" si="7"/>
        <v>0.10689802747622318</v>
      </c>
      <c r="AC28" s="83">
        <f t="shared" ca="1" si="7"/>
        <v>7.8544373090708289E-2</v>
      </c>
      <c r="AD28" s="83">
        <f t="shared" ca="1" si="7"/>
        <v>0.14790933263315256</v>
      </c>
      <c r="AE28" s="83">
        <f t="shared" ca="1" si="7"/>
        <v>7.9853541723423543E-2</v>
      </c>
      <c r="AF28" s="83">
        <f t="shared" ca="1" si="7"/>
        <v>7.223491462505742E-2</v>
      </c>
      <c r="AG28" s="83">
        <f t="shared" ca="1" si="7"/>
        <v>7.6487618333461516E-2</v>
      </c>
      <c r="AK28" s="82" t="s">
        <v>1252</v>
      </c>
      <c r="AL28" s="83">
        <f t="shared" ref="AL28:AX28" ca="1" si="14">AL16*RANDBETWEEN(90,105)/100</f>
        <v>6.3982388986804736E-2</v>
      </c>
      <c r="AM28" s="83">
        <f t="shared" ca="1" si="14"/>
        <v>3.6521739130434779E-2</v>
      </c>
      <c r="AN28" s="83">
        <f t="shared" ca="1" si="14"/>
        <v>1.939087282280821E-2</v>
      </c>
      <c r="AO28" s="83">
        <f t="shared" ca="1" si="14"/>
        <v>6.3608183508989405E-2</v>
      </c>
      <c r="AP28" s="83">
        <f t="shared" ca="1" si="14"/>
        <v>3.8851154667184168E-2</v>
      </c>
      <c r="AQ28" s="83">
        <f t="shared" ca="1" si="14"/>
        <v>4.1359073359073371E-2</v>
      </c>
      <c r="AR28" s="83">
        <f t="shared" ca="1" si="14"/>
        <v>3.4711729622266402E-2</v>
      </c>
      <c r="AS28" s="83">
        <f t="shared" ca="1" si="14"/>
        <v>9.3682819557028155E-4</v>
      </c>
      <c r="AT28" s="83">
        <f t="shared" ca="1" si="14"/>
        <v>0.36364053029221138</v>
      </c>
      <c r="AU28" s="83">
        <f t="shared" ca="1" si="14"/>
        <v>9.2720218989689369E-4</v>
      </c>
      <c r="AV28" s="83">
        <f t="shared" ca="1" si="14"/>
        <v>5.0508267040947352E-2</v>
      </c>
      <c r="AW28" s="83">
        <f t="shared" ca="1" si="14"/>
        <v>3.1771894093686359E-2</v>
      </c>
      <c r="AX28" s="83">
        <f t="shared" ca="1" si="14"/>
        <v>4.9205471185758826E-2</v>
      </c>
    </row>
    <row r="29" spans="1:50" x14ac:dyDescent="0.25">
      <c r="A29" s="39" t="str">
        <f t="shared" si="0"/>
        <v>Shemaroo MeFREE</v>
      </c>
      <c r="B29" s="37" t="s">
        <v>127</v>
      </c>
      <c r="C29" s="37" t="s">
        <v>128</v>
      </c>
      <c r="D29" s="37" t="s">
        <v>129</v>
      </c>
      <c r="E29" s="37" t="s">
        <v>219</v>
      </c>
      <c r="F29" s="37" t="s">
        <v>220</v>
      </c>
      <c r="G29" s="28"/>
      <c r="H29" s="31">
        <v>2</v>
      </c>
      <c r="I29" s="29">
        <v>0.73</v>
      </c>
      <c r="J29" s="29">
        <v>0.27</v>
      </c>
      <c r="K29" s="29">
        <v>0.38</v>
      </c>
      <c r="L29" s="29">
        <v>0.62</v>
      </c>
      <c r="M29" s="29">
        <v>0.06</v>
      </c>
      <c r="N29" s="32">
        <f t="shared" si="1"/>
        <v>3.2840000000000003</v>
      </c>
      <c r="U29" s="26">
        <f ca="1">SUM(U21:U28)</f>
        <v>0.98393237664690614</v>
      </c>
      <c r="V29" s="26">
        <f t="shared" ref="V29:AG29" ca="1" si="15">SUM(V21:V28)</f>
        <v>0.97403903559112903</v>
      </c>
      <c r="W29" s="26">
        <f t="shared" ca="1" si="15"/>
        <v>1.0592144908049947</v>
      </c>
      <c r="X29" s="26">
        <f t="shared" ca="1" si="15"/>
        <v>1.0777119887607751</v>
      </c>
      <c r="Y29" s="26">
        <f t="shared" ca="1" si="15"/>
        <v>0.99554077681361874</v>
      </c>
      <c r="Z29" s="26">
        <f t="shared" ca="1" si="15"/>
        <v>0.97347090756695798</v>
      </c>
      <c r="AA29" s="26">
        <f t="shared" ca="1" si="15"/>
        <v>0.97463010834107855</v>
      </c>
      <c r="AB29" s="26">
        <f t="shared" ca="1" si="15"/>
        <v>0.94722092837340921</v>
      </c>
      <c r="AC29" s="26">
        <f t="shared" ca="1" si="15"/>
        <v>0.95048099329190872</v>
      </c>
      <c r="AD29" s="26">
        <f t="shared" ca="1" si="15"/>
        <v>0.97809714330743114</v>
      </c>
      <c r="AE29" s="26">
        <f t="shared" ca="1" si="15"/>
        <v>0.96918237346825842</v>
      </c>
      <c r="AF29" s="26">
        <f t="shared" ca="1" si="15"/>
        <v>0.94448040282411638</v>
      </c>
      <c r="AG29" s="26">
        <f t="shared" ca="1" si="15"/>
        <v>0.99224748447197797</v>
      </c>
    </row>
    <row r="30" spans="1:50" x14ac:dyDescent="0.25">
      <c r="A30" s="39" t="str">
        <f t="shared" si="0"/>
        <v>Sony LivPAID</v>
      </c>
      <c r="B30" s="37" t="s">
        <v>132</v>
      </c>
      <c r="C30" s="37" t="s">
        <v>65</v>
      </c>
      <c r="D30" s="37" t="s">
        <v>57</v>
      </c>
      <c r="E30" s="37" t="s">
        <v>211</v>
      </c>
      <c r="F30" s="37" t="s">
        <v>212</v>
      </c>
      <c r="G30" s="28"/>
      <c r="H30" s="28">
        <v>12.14</v>
      </c>
      <c r="I30" s="29">
        <v>0.65</v>
      </c>
      <c r="J30" s="29">
        <v>0.35</v>
      </c>
      <c r="K30" s="29">
        <v>0.44</v>
      </c>
      <c r="L30" s="29">
        <v>0.56000000000000005</v>
      </c>
      <c r="M30" s="29">
        <v>0.05</v>
      </c>
      <c r="N30" s="32">
        <f t="shared" si="1"/>
        <v>21.682040000000004</v>
      </c>
    </row>
    <row r="31" spans="1:50" x14ac:dyDescent="0.25">
      <c r="A31" s="39" t="str">
        <f t="shared" si="0"/>
        <v>Sony LivFREE</v>
      </c>
      <c r="B31" s="37" t="s">
        <v>132</v>
      </c>
      <c r="C31" s="37" t="s">
        <v>65</v>
      </c>
      <c r="D31" s="37" t="s">
        <v>57</v>
      </c>
      <c r="E31" s="37" t="s">
        <v>219</v>
      </c>
      <c r="F31" s="37" t="s">
        <v>220</v>
      </c>
      <c r="G31" s="28"/>
      <c r="H31" s="28">
        <v>3</v>
      </c>
      <c r="I31" s="29">
        <v>0.66</v>
      </c>
      <c r="J31" s="29">
        <v>0.34</v>
      </c>
      <c r="K31" s="29">
        <v>0.44</v>
      </c>
      <c r="L31" s="29">
        <v>0.56000000000000005</v>
      </c>
      <c r="M31" s="29">
        <v>0.06</v>
      </c>
      <c r="N31" s="32">
        <f t="shared" si="1"/>
        <v>5.2679999999999998</v>
      </c>
      <c r="T31" s="82" t="s">
        <v>1234</v>
      </c>
      <c r="U31" s="83" t="s">
        <v>906</v>
      </c>
      <c r="V31" s="83" t="s">
        <v>64</v>
      </c>
      <c r="W31" s="83" t="s">
        <v>123</v>
      </c>
      <c r="X31" s="83" t="s">
        <v>1229</v>
      </c>
      <c r="Y31" s="83" t="s">
        <v>150</v>
      </c>
      <c r="Z31" s="83" t="s">
        <v>132</v>
      </c>
      <c r="AA31" s="83" t="s">
        <v>1230</v>
      </c>
      <c r="AB31" s="83" t="s">
        <v>1231</v>
      </c>
      <c r="AC31" s="83" t="s">
        <v>104</v>
      </c>
      <c r="AD31" s="83" t="s">
        <v>49</v>
      </c>
      <c r="AE31" s="83" t="s">
        <v>455</v>
      </c>
      <c r="AF31" s="83" t="s">
        <v>1232</v>
      </c>
      <c r="AG31" s="83" t="s">
        <v>1233</v>
      </c>
    </row>
    <row r="32" spans="1:50" x14ac:dyDescent="0.25">
      <c r="A32" s="39" t="str">
        <f t="shared" si="0"/>
        <v>Sun NxtPAID</v>
      </c>
      <c r="B32" s="37" t="s">
        <v>135</v>
      </c>
      <c r="C32" s="37" t="s">
        <v>136</v>
      </c>
      <c r="D32" s="37" t="s">
        <v>137</v>
      </c>
      <c r="E32" s="37" t="s">
        <v>211</v>
      </c>
      <c r="F32" s="37" t="s">
        <v>212</v>
      </c>
      <c r="G32" s="28"/>
      <c r="H32" s="28">
        <v>8.5299999999999994</v>
      </c>
      <c r="I32" s="29">
        <v>0.78</v>
      </c>
      <c r="J32" s="29">
        <v>0.22</v>
      </c>
      <c r="K32" s="29">
        <v>0.28000000000000003</v>
      </c>
      <c r="L32" s="29">
        <v>0.72</v>
      </c>
      <c r="M32" s="29">
        <v>0.05</v>
      </c>
      <c r="N32" s="32">
        <f t="shared" si="1"/>
        <v>12.64146</v>
      </c>
      <c r="T32" s="82" t="s">
        <v>1235</v>
      </c>
      <c r="U32" s="94">
        <f ca="1">U21/U$29</f>
        <v>0.1151453366039096</v>
      </c>
      <c r="V32" s="94">
        <f t="shared" ref="V32:AG32" ca="1" si="16">V21/V$29</f>
        <v>3.3277010331898345E-2</v>
      </c>
      <c r="W32" s="94">
        <f t="shared" ca="1" si="16"/>
        <v>3.6988172855720168E-2</v>
      </c>
      <c r="X32" s="94">
        <f t="shared" ca="1" si="16"/>
        <v>8.4897247357650113E-2</v>
      </c>
      <c r="Y32" s="94">
        <f t="shared" ca="1" si="16"/>
        <v>1.429331891880113E-2</v>
      </c>
      <c r="Z32" s="94">
        <f t="shared" ca="1" si="16"/>
        <v>4.1563542707486405E-2</v>
      </c>
      <c r="AA32" s="94">
        <f t="shared" ca="1" si="16"/>
        <v>3.3870326855217271E-2</v>
      </c>
      <c r="AB32" s="94">
        <f t="shared" ca="1" si="16"/>
        <v>3.2354505856460297E-2</v>
      </c>
      <c r="AC32" s="94">
        <f t="shared" ca="1" si="16"/>
        <v>0.12673497946254808</v>
      </c>
      <c r="AD32" s="94">
        <f t="shared" ca="1" si="16"/>
        <v>2.3196509747990691E-2</v>
      </c>
      <c r="AE32" s="94">
        <f t="shared" ca="1" si="16"/>
        <v>3.1097371203003762E-2</v>
      </c>
      <c r="AF32" s="94">
        <f t="shared" ca="1" si="16"/>
        <v>0.10050598257527525</v>
      </c>
      <c r="AG32" s="94">
        <f t="shared" ca="1" si="16"/>
        <v>5.0227151148953174E-2</v>
      </c>
    </row>
    <row r="33" spans="1:50" x14ac:dyDescent="0.25">
      <c r="A33" s="39" t="str">
        <f t="shared" si="0"/>
        <v>Sun NxtFREE</v>
      </c>
      <c r="B33" s="37" t="s">
        <v>135</v>
      </c>
      <c r="C33" s="37" t="s">
        <v>136</v>
      </c>
      <c r="D33" s="37" t="s">
        <v>137</v>
      </c>
      <c r="E33" s="37" t="s">
        <v>219</v>
      </c>
      <c r="F33" s="37" t="s">
        <v>220</v>
      </c>
      <c r="G33" s="28"/>
      <c r="H33" s="28">
        <v>3.4</v>
      </c>
      <c r="I33" s="29">
        <v>0.74</v>
      </c>
      <c r="J33" s="29">
        <v>0.26</v>
      </c>
      <c r="K33" s="29">
        <v>0.28000000000000003</v>
      </c>
      <c r="L33" s="29">
        <v>0.72</v>
      </c>
      <c r="M33" s="29">
        <v>0.09</v>
      </c>
      <c r="N33" s="32">
        <f t="shared" si="1"/>
        <v>4.6307999999999998</v>
      </c>
      <c r="T33" s="82" t="s">
        <v>1236</v>
      </c>
      <c r="U33" s="94">
        <f t="shared" ref="U33:AG39" ca="1" si="17">U22/U$29</f>
        <v>0.13283993097484548</v>
      </c>
      <c r="V33" s="94">
        <f t="shared" ca="1" si="17"/>
        <v>0.19445712340509175</v>
      </c>
      <c r="W33" s="94">
        <f t="shared" ca="1" si="17"/>
        <v>0.22624507399703275</v>
      </c>
      <c r="X33" s="94">
        <f t="shared" ca="1" si="17"/>
        <v>0.3020235498561295</v>
      </c>
      <c r="Y33" s="94">
        <f t="shared" ca="1" si="17"/>
        <v>0.10438595208389541</v>
      </c>
      <c r="Z33" s="94">
        <f t="shared" ca="1" si="17"/>
        <v>0.1088076505158548</v>
      </c>
      <c r="AA33" s="94">
        <f t="shared" ca="1" si="17"/>
        <v>0.19425510665979101</v>
      </c>
      <c r="AB33" s="94">
        <f t="shared" ca="1" si="17"/>
        <v>0.15641941942083415</v>
      </c>
      <c r="AC33" s="94">
        <f t="shared" ca="1" si="17"/>
        <v>0.1557452474080907</v>
      </c>
      <c r="AD33" s="94">
        <f t="shared" ca="1" si="17"/>
        <v>4.6295734943939959E-2</v>
      </c>
      <c r="AE33" s="94">
        <f t="shared" ca="1" si="17"/>
        <v>0.13590057080483919</v>
      </c>
      <c r="AF33" s="94">
        <f t="shared" ca="1" si="17"/>
        <v>0.22891218659768525</v>
      </c>
      <c r="AG33" s="94">
        <f t="shared" ca="1" si="17"/>
        <v>0.24522332111397085</v>
      </c>
    </row>
    <row r="34" spans="1:50" x14ac:dyDescent="0.25">
      <c r="A34" s="39" t="str">
        <f t="shared" si="0"/>
        <v>TVF PlayFREE</v>
      </c>
      <c r="B34" s="37" t="s">
        <v>140</v>
      </c>
      <c r="C34" s="37" t="s">
        <v>21</v>
      </c>
      <c r="D34" s="37" t="s">
        <v>57</v>
      </c>
      <c r="E34" s="37" t="s">
        <v>219</v>
      </c>
      <c r="F34" s="37" t="s">
        <v>220</v>
      </c>
      <c r="G34" s="28"/>
      <c r="H34" s="28">
        <v>1</v>
      </c>
      <c r="I34" s="29">
        <v>0.68</v>
      </c>
      <c r="J34" s="29">
        <v>0.32</v>
      </c>
      <c r="K34" s="29">
        <v>0.2</v>
      </c>
      <c r="L34" s="29">
        <v>0.8</v>
      </c>
      <c r="M34" s="29">
        <v>0.09</v>
      </c>
      <c r="N34" s="32">
        <f t="shared" si="1"/>
        <v>1.2100000000000002</v>
      </c>
      <c r="T34" s="82" t="s">
        <v>1237</v>
      </c>
      <c r="U34" s="94">
        <f t="shared" ca="1" si="17"/>
        <v>0.18914461940490385</v>
      </c>
      <c r="V34" s="94">
        <f t="shared" ca="1" si="17"/>
        <v>0.20328376020358649</v>
      </c>
      <c r="W34" s="94">
        <f t="shared" ca="1" si="17"/>
        <v>0.1747630218921489</v>
      </c>
      <c r="X34" s="94">
        <f t="shared" ca="1" si="17"/>
        <v>0.1970797352435969</v>
      </c>
      <c r="Y34" s="94">
        <f t="shared" ca="1" si="17"/>
        <v>0.311409843890813</v>
      </c>
      <c r="Z34" s="94">
        <f t="shared" ca="1" si="17"/>
        <v>0.22520913251035407</v>
      </c>
      <c r="AA34" s="94">
        <f t="shared" ca="1" si="17"/>
        <v>0.39902002190286551</v>
      </c>
      <c r="AB34" s="94">
        <f t="shared" ca="1" si="17"/>
        <v>0.18430239406899745</v>
      </c>
      <c r="AC34" s="94">
        <f t="shared" ca="1" si="17"/>
        <v>0.21925323395306701</v>
      </c>
      <c r="AD34" s="94">
        <f t="shared" ca="1" si="17"/>
        <v>0.27305388109630352</v>
      </c>
      <c r="AE34" s="94">
        <f t="shared" ca="1" si="17"/>
        <v>0.33326279342062315</v>
      </c>
      <c r="AF34" s="94">
        <f t="shared" ca="1" si="17"/>
        <v>0.10714458748028556</v>
      </c>
      <c r="AG34" s="94">
        <f t="shared" ca="1" si="17"/>
        <v>0.24956432582555846</v>
      </c>
    </row>
    <row r="35" spans="1:50" x14ac:dyDescent="0.25">
      <c r="A35" s="39" t="str">
        <f t="shared" si="0"/>
        <v>UlluPAID</v>
      </c>
      <c r="B35" s="37" t="s">
        <v>142</v>
      </c>
      <c r="C35" s="37" t="s">
        <v>61</v>
      </c>
      <c r="D35" s="37" t="s">
        <v>57</v>
      </c>
      <c r="E35" s="37" t="s">
        <v>211</v>
      </c>
      <c r="F35" s="37" t="s">
        <v>212</v>
      </c>
      <c r="G35" s="28"/>
      <c r="H35" s="28">
        <v>2.9</v>
      </c>
      <c r="I35" s="29">
        <v>0.8</v>
      </c>
      <c r="J35" s="29">
        <v>0.2</v>
      </c>
      <c r="K35" s="29">
        <v>0.27</v>
      </c>
      <c r="L35" s="29">
        <v>0.73</v>
      </c>
      <c r="M35" s="29">
        <v>0.05</v>
      </c>
      <c r="N35" s="32">
        <f t="shared" si="1"/>
        <v>4.2427000000000001</v>
      </c>
      <c r="T35" s="82" t="s">
        <v>1238</v>
      </c>
      <c r="U35" s="94">
        <f t="shared" ca="1" si="17"/>
        <v>0.10069493230462399</v>
      </c>
      <c r="V35" s="94">
        <f t="shared" ca="1" si="17"/>
        <v>0.10909319517799586</v>
      </c>
      <c r="W35" s="94">
        <f t="shared" ca="1" si="17"/>
        <v>8.1650451191677687E-2</v>
      </c>
      <c r="X35" s="94">
        <f t="shared" ca="1" si="17"/>
        <v>7.2100467657210343E-2</v>
      </c>
      <c r="Y35" s="94">
        <f t="shared" ca="1" si="17"/>
        <v>9.1818087802982465E-2</v>
      </c>
      <c r="Z35" s="94">
        <f t="shared" ca="1" si="17"/>
        <v>3.334256619321839E-2</v>
      </c>
      <c r="AA35" s="94">
        <f t="shared" ca="1" si="17"/>
        <v>7.7330681510581672E-2</v>
      </c>
      <c r="AB35" s="94">
        <f t="shared" ca="1" si="17"/>
        <v>8.2469664870699039E-2</v>
      </c>
      <c r="AC35" s="94">
        <f t="shared" ca="1" si="17"/>
        <v>8.0003791744589631E-2</v>
      </c>
      <c r="AD35" s="94">
        <f t="shared" ca="1" si="17"/>
        <v>8.3751072936164114E-2</v>
      </c>
      <c r="AE35" s="94">
        <f t="shared" ca="1" si="17"/>
        <v>0.17536016473098365</v>
      </c>
      <c r="AF35" s="94">
        <f t="shared" ca="1" si="17"/>
        <v>0.12387200951279377</v>
      </c>
      <c r="AG35" s="94">
        <f t="shared" ca="1" si="17"/>
        <v>9.5851268941624809E-2</v>
      </c>
    </row>
    <row r="36" spans="1:50" x14ac:dyDescent="0.25">
      <c r="A36" s="39" t="str">
        <f t="shared" si="0"/>
        <v>Vr OttPAID</v>
      </c>
      <c r="B36" s="37" t="s">
        <v>144</v>
      </c>
      <c r="C36" s="37" t="s">
        <v>28</v>
      </c>
      <c r="D36" s="37" t="s">
        <v>51</v>
      </c>
      <c r="E36" s="37" t="s">
        <v>211</v>
      </c>
      <c r="F36" s="37" t="s">
        <v>212</v>
      </c>
      <c r="G36" s="28"/>
      <c r="H36" s="28">
        <v>0.05</v>
      </c>
      <c r="I36" s="29">
        <v>0.71</v>
      </c>
      <c r="J36" s="29">
        <v>0.28999999999999998</v>
      </c>
      <c r="K36" s="29">
        <v>0.22</v>
      </c>
      <c r="L36" s="29">
        <v>0.78</v>
      </c>
      <c r="M36" s="29">
        <v>0.08</v>
      </c>
      <c r="N36" s="32">
        <f t="shared" si="1"/>
        <v>6.3900000000000012E-2</v>
      </c>
      <c r="T36" s="82" t="s">
        <v>1239</v>
      </c>
      <c r="U36" s="94">
        <f t="shared" ca="1" si="17"/>
        <v>6.8647963720213048E-2</v>
      </c>
      <c r="V36" s="94">
        <f t="shared" ca="1" si="17"/>
        <v>5.4914232943217643E-2</v>
      </c>
      <c r="W36" s="94">
        <f t="shared" ca="1" si="17"/>
        <v>5.0260121644933389E-2</v>
      </c>
      <c r="X36" s="94">
        <f t="shared" ca="1" si="17"/>
        <v>4.2636101578459568E-2</v>
      </c>
      <c r="Y36" s="94">
        <f t="shared" ca="1" si="17"/>
        <v>3.1726226096149654E-2</v>
      </c>
      <c r="Z36" s="94">
        <f t="shared" ca="1" si="17"/>
        <v>9.0034925501456864E-2</v>
      </c>
      <c r="AA36" s="94">
        <f t="shared" ca="1" si="17"/>
        <v>4.5087532927701152E-2</v>
      </c>
      <c r="AB36" s="94">
        <f t="shared" ca="1" si="17"/>
        <v>0.17792838097999139</v>
      </c>
      <c r="AC36" s="94">
        <f t="shared" ca="1" si="17"/>
        <v>0.14192427060319443</v>
      </c>
      <c r="AD36" s="94">
        <f t="shared" ca="1" si="17"/>
        <v>0.16151020419587728</v>
      </c>
      <c r="AE36" s="94">
        <f t="shared" ca="1" si="17"/>
        <v>4.6509270054240555E-2</v>
      </c>
      <c r="AF36" s="94">
        <f t="shared" ca="1" si="17"/>
        <v>5.1385723836494861E-2</v>
      </c>
      <c r="AG36" s="94">
        <f t="shared" ca="1" si="17"/>
        <v>6.1075683566142847E-2</v>
      </c>
    </row>
    <row r="37" spans="1:50" x14ac:dyDescent="0.25">
      <c r="A37" s="39" t="str">
        <f t="shared" si="0"/>
        <v>STAGEPAID</v>
      </c>
      <c r="B37" s="37" t="s">
        <v>146</v>
      </c>
      <c r="C37" s="37" t="s">
        <v>147</v>
      </c>
      <c r="D37" s="37" t="s">
        <v>148</v>
      </c>
      <c r="E37" s="37" t="s">
        <v>211</v>
      </c>
      <c r="F37" s="37" t="s">
        <v>212</v>
      </c>
      <c r="G37" s="28"/>
      <c r="H37" s="28">
        <v>10.3</v>
      </c>
      <c r="I37" s="29">
        <v>0.6</v>
      </c>
      <c r="J37" s="29">
        <v>0.4</v>
      </c>
      <c r="K37" s="29">
        <v>0.11</v>
      </c>
      <c r="L37" s="29">
        <v>0.89</v>
      </c>
      <c r="M37" s="29">
        <v>0.08</v>
      </c>
      <c r="N37" s="32">
        <f t="shared" si="1"/>
        <v>11.0107</v>
      </c>
      <c r="T37" s="82" t="s">
        <v>1240</v>
      </c>
      <c r="U37" s="94">
        <f t="shared" ca="1" si="17"/>
        <v>0.15336607290431842</v>
      </c>
      <c r="V37" s="94">
        <f t="shared" ca="1" si="17"/>
        <v>0.14694063237359797</v>
      </c>
      <c r="W37" s="94">
        <f t="shared" ca="1" si="17"/>
        <v>0.19783708151687579</v>
      </c>
      <c r="X37" s="94">
        <f t="shared" ca="1" si="17"/>
        <v>0.16523172900829527</v>
      </c>
      <c r="Y37" s="94">
        <f t="shared" ca="1" si="17"/>
        <v>0.15265281507492878</v>
      </c>
      <c r="Z37" s="94">
        <f t="shared" ca="1" si="17"/>
        <v>0.22080354677188871</v>
      </c>
      <c r="AA37" s="94">
        <f t="shared" ca="1" si="17"/>
        <v>0.1027056031372635</v>
      </c>
      <c r="AB37" s="94">
        <f t="shared" ca="1" si="17"/>
        <v>0.11966871627874837</v>
      </c>
      <c r="AC37" s="94">
        <f t="shared" ca="1" si="17"/>
        <v>8.9544735742977818E-2</v>
      </c>
      <c r="AD37" s="94">
        <f t="shared" ca="1" si="17"/>
        <v>0.16476218675751422</v>
      </c>
      <c r="AE37" s="94">
        <f t="shared" ca="1" si="17"/>
        <v>0.10946625934580334</v>
      </c>
      <c r="AF37" s="94">
        <f t="shared" ca="1" si="17"/>
        <v>0.21930078803484696</v>
      </c>
      <c r="AG37" s="94">
        <f t="shared" ca="1" si="17"/>
        <v>9.6700598536314672E-2</v>
      </c>
    </row>
    <row r="38" spans="1:50" x14ac:dyDescent="0.25">
      <c r="A38" s="39" t="str">
        <f t="shared" si="0"/>
        <v>Zee5PAID</v>
      </c>
      <c r="B38" s="37" t="s">
        <v>150</v>
      </c>
      <c r="C38" s="37" t="s">
        <v>65</v>
      </c>
      <c r="D38" s="37" t="s">
        <v>57</v>
      </c>
      <c r="E38" s="37" t="s">
        <v>211</v>
      </c>
      <c r="F38" s="37" t="s">
        <v>212</v>
      </c>
      <c r="G38" s="28"/>
      <c r="H38" s="28">
        <v>41.2</v>
      </c>
      <c r="I38" s="29">
        <v>0.65</v>
      </c>
      <c r="J38" s="29">
        <v>0.35</v>
      </c>
      <c r="K38" s="29">
        <v>0.3</v>
      </c>
      <c r="L38" s="29">
        <v>0.7</v>
      </c>
      <c r="M38" s="29">
        <v>7.0000000000000007E-2</v>
      </c>
      <c r="N38" s="32">
        <f t="shared" si="1"/>
        <v>60.152000000000001</v>
      </c>
      <c r="T38" s="82" t="s">
        <v>1241</v>
      </c>
      <c r="U38" s="94">
        <f t="shared" ca="1" si="17"/>
        <v>0.11081001770322257</v>
      </c>
      <c r="V38" s="94">
        <f t="shared" ca="1" si="17"/>
        <v>0.1590299165174979</v>
      </c>
      <c r="W38" s="94">
        <f t="shared" ca="1" si="17"/>
        <v>0.16775502220488139</v>
      </c>
      <c r="X38" s="94">
        <f t="shared" ca="1" si="17"/>
        <v>0.10766629348921708</v>
      </c>
      <c r="Y38" s="94">
        <f t="shared" ca="1" si="17"/>
        <v>0.21629137169764931</v>
      </c>
      <c r="Z38" s="94">
        <f t="shared" ca="1" si="17"/>
        <v>0.17846409332430843</v>
      </c>
      <c r="AA38" s="94">
        <f t="shared" ca="1" si="17"/>
        <v>6.962282176833319E-2</v>
      </c>
      <c r="AB38" s="94">
        <f t="shared" ca="1" si="17"/>
        <v>0.13400254181640764</v>
      </c>
      <c r="AC38" s="94">
        <f t="shared" ca="1" si="17"/>
        <v>0.10415729317648299</v>
      </c>
      <c r="AD38" s="94">
        <f t="shared" ca="1" si="17"/>
        <v>9.620889449915225E-2</v>
      </c>
      <c r="AE38" s="94">
        <f t="shared" ca="1" si="17"/>
        <v>8.6010881603559838E-2</v>
      </c>
      <c r="AF38" s="94">
        <f t="shared" ca="1" si="17"/>
        <v>9.2397606622304493E-2</v>
      </c>
      <c r="AG38" s="94">
        <f t="shared" ca="1" si="17"/>
        <v>0.1242724281478592</v>
      </c>
    </row>
    <row r="39" spans="1:50" x14ac:dyDescent="0.25">
      <c r="A39" s="39" t="str">
        <f t="shared" si="0"/>
        <v>Zee5RENT</v>
      </c>
      <c r="B39" s="37" t="s">
        <v>150</v>
      </c>
      <c r="C39" s="37" t="s">
        <v>65</v>
      </c>
      <c r="D39" s="37" t="s">
        <v>57</v>
      </c>
      <c r="E39" s="37" t="s">
        <v>233</v>
      </c>
      <c r="F39" s="37" t="s">
        <v>68</v>
      </c>
      <c r="G39" s="28"/>
      <c r="H39" s="28">
        <v>0.5</v>
      </c>
      <c r="I39" s="29">
        <v>0.75</v>
      </c>
      <c r="J39" s="29">
        <v>0.25</v>
      </c>
      <c r="K39" s="29">
        <v>0.3</v>
      </c>
      <c r="L39" s="29">
        <v>0.7</v>
      </c>
      <c r="M39" s="29">
        <v>0.09</v>
      </c>
      <c r="N39" s="32">
        <f t="shared" si="1"/>
        <v>0.7</v>
      </c>
      <c r="T39" s="82" t="s">
        <v>1242</v>
      </c>
      <c r="U39" s="94">
        <f t="shared" ca="1" si="17"/>
        <v>0.12935112638396296</v>
      </c>
      <c r="V39" s="94">
        <f t="shared" ca="1" si="17"/>
        <v>9.9004129047113948E-2</v>
      </c>
      <c r="W39" s="94">
        <f t="shared" ca="1" si="17"/>
        <v>6.4501054696730051E-2</v>
      </c>
      <c r="X39" s="94">
        <f t="shared" ca="1" si="17"/>
        <v>2.8364875809441206E-2</v>
      </c>
      <c r="Y39" s="94">
        <f t="shared" ca="1" si="17"/>
        <v>7.7422384434780084E-2</v>
      </c>
      <c r="Z39" s="94">
        <f t="shared" ca="1" si="17"/>
        <v>0.10177454247543234</v>
      </c>
      <c r="AA39" s="94">
        <f t="shared" ca="1" si="17"/>
        <v>7.8107905238246622E-2</v>
      </c>
      <c r="AB39" s="94">
        <f t="shared" ca="1" si="17"/>
        <v>0.11285437670786166</v>
      </c>
      <c r="AC39" s="94">
        <f t="shared" ca="1" si="17"/>
        <v>8.2636447909049338E-2</v>
      </c>
      <c r="AD39" s="94">
        <f t="shared" ca="1" si="17"/>
        <v>0.15122151582305804</v>
      </c>
      <c r="AE39" s="94">
        <f t="shared" ca="1" si="17"/>
        <v>8.2392688836946559E-2</v>
      </c>
      <c r="AF39" s="94">
        <f t="shared" ca="1" si="17"/>
        <v>7.6481115340313946E-2</v>
      </c>
      <c r="AG39" s="94">
        <f t="shared" ca="1" si="17"/>
        <v>7.708522271957606E-2</v>
      </c>
    </row>
    <row r="40" spans="1:50" x14ac:dyDescent="0.25">
      <c r="A40" s="39" t="str">
        <f t="shared" si="0"/>
        <v>Zee5FREE</v>
      </c>
      <c r="B40" s="37" t="s">
        <v>150</v>
      </c>
      <c r="C40" s="37" t="s">
        <v>65</v>
      </c>
      <c r="D40" s="37" t="s">
        <v>57</v>
      </c>
      <c r="E40" s="37" t="s">
        <v>219</v>
      </c>
      <c r="F40" s="37" t="s">
        <v>220</v>
      </c>
      <c r="G40" s="28"/>
      <c r="H40" s="28">
        <v>16.73</v>
      </c>
      <c r="I40" s="29">
        <v>0.68</v>
      </c>
      <c r="J40" s="29">
        <v>0.32</v>
      </c>
      <c r="K40" s="29">
        <v>0.3</v>
      </c>
      <c r="L40" s="29">
        <v>0.7</v>
      </c>
      <c r="M40" s="29">
        <v>7.0000000000000007E-2</v>
      </c>
      <c r="N40" s="32">
        <f t="shared" si="1"/>
        <v>24.425800000000002</v>
      </c>
    </row>
    <row r="41" spans="1:50" x14ac:dyDescent="0.25">
      <c r="A41" s="39" t="str">
        <f t="shared" si="0"/>
        <v>Apple TVPAID</v>
      </c>
      <c r="B41" s="38" t="s">
        <v>232</v>
      </c>
      <c r="C41" s="28" t="s">
        <v>20</v>
      </c>
      <c r="D41" s="37" t="s">
        <v>57</v>
      </c>
      <c r="E41" s="37" t="s">
        <v>211</v>
      </c>
      <c r="F41" s="37" t="s">
        <v>212</v>
      </c>
      <c r="G41" s="38"/>
      <c r="H41" s="28">
        <v>1</v>
      </c>
      <c r="I41" s="29">
        <v>0.6</v>
      </c>
      <c r="J41" s="29">
        <v>0.4</v>
      </c>
      <c r="K41" s="29">
        <v>0.41</v>
      </c>
      <c r="L41" s="29">
        <v>0.59000000000000008</v>
      </c>
      <c r="M41" s="29">
        <v>7.0000000000000007E-2</v>
      </c>
      <c r="N41" s="32">
        <f t="shared" si="1"/>
        <v>1.669</v>
      </c>
    </row>
    <row r="42" spans="1:50" x14ac:dyDescent="0.25">
      <c r="A42" s="39" t="str">
        <f t="shared" si="0"/>
        <v>Etv WinFREE</v>
      </c>
      <c r="B42" s="37" t="s">
        <v>100</v>
      </c>
      <c r="C42" s="37" t="s">
        <v>101</v>
      </c>
      <c r="D42" s="37" t="s">
        <v>102</v>
      </c>
      <c r="E42" s="37" t="s">
        <v>219</v>
      </c>
      <c r="F42" s="37" t="s">
        <v>212</v>
      </c>
      <c r="G42" s="28"/>
      <c r="H42" s="28">
        <v>0.9</v>
      </c>
      <c r="I42" s="29">
        <v>0.75</v>
      </c>
      <c r="J42" s="29">
        <v>0.25</v>
      </c>
      <c r="K42" s="29">
        <v>0.2</v>
      </c>
      <c r="L42" s="29">
        <v>0.8</v>
      </c>
      <c r="M42" s="29">
        <v>7.0000000000000007E-2</v>
      </c>
      <c r="N42" s="32">
        <f t="shared" si="1"/>
        <v>1.1430000000000002</v>
      </c>
    </row>
    <row r="43" spans="1:50" x14ac:dyDescent="0.25">
      <c r="A43" s="39" t="str">
        <f t="shared" si="0"/>
        <v>Jio HotstarPAID</v>
      </c>
      <c r="B43" s="37" t="s">
        <v>906</v>
      </c>
      <c r="C43" s="37" t="s">
        <v>65</v>
      </c>
      <c r="D43" s="37" t="s">
        <v>57</v>
      </c>
      <c r="E43" s="37" t="s">
        <v>211</v>
      </c>
      <c r="F43" s="37" t="s">
        <v>212</v>
      </c>
      <c r="H43" s="73">
        <v>88.46</v>
      </c>
      <c r="I43" s="29">
        <v>0.66999999999999993</v>
      </c>
      <c r="J43" s="29">
        <v>0.32999999999999996</v>
      </c>
      <c r="K43" s="29">
        <v>0.28000000000000003</v>
      </c>
      <c r="L43" s="29">
        <v>0.72</v>
      </c>
      <c r="M43" s="29">
        <v>6.5000000000000002E-2</v>
      </c>
      <c r="N43" s="32">
        <f t="shared" si="1"/>
        <v>127.11702000000001</v>
      </c>
    </row>
    <row r="44" spans="1:50" x14ac:dyDescent="0.25">
      <c r="A44" s="39" t="str">
        <f t="shared" ref="A44:A45" si="18">B44&amp;E44</f>
        <v>Jio Hotstar SparksFREE</v>
      </c>
      <c r="B44" s="37" t="s">
        <v>1047</v>
      </c>
      <c r="C44" s="37" t="s">
        <v>65</v>
      </c>
      <c r="D44" s="37" t="s">
        <v>57</v>
      </c>
      <c r="E44" s="37" t="s">
        <v>219</v>
      </c>
      <c r="F44" s="37" t="s">
        <v>220</v>
      </c>
      <c r="G44" s="28"/>
      <c r="H44" s="28">
        <v>41</v>
      </c>
      <c r="I44" s="29">
        <v>0.625</v>
      </c>
      <c r="J44" s="29">
        <v>0.375</v>
      </c>
      <c r="K44" s="29">
        <v>0.28000000000000003</v>
      </c>
      <c r="L44" s="29">
        <v>0.72</v>
      </c>
      <c r="M44" s="29">
        <v>6.5000000000000002E-2</v>
      </c>
      <c r="N44" s="32">
        <f t="shared" ref="N44:N45" si="19">H44*K44*3+H44*L44*1.1-H44*M44*3</f>
        <v>58.917000000000009</v>
      </c>
    </row>
    <row r="45" spans="1:50" x14ac:dyDescent="0.25">
      <c r="A45" s="39" t="str">
        <f t="shared" si="18"/>
        <v>Manorama MaxFREE</v>
      </c>
      <c r="B45" s="51" t="s">
        <v>117</v>
      </c>
      <c r="C45" s="37" t="s">
        <v>118</v>
      </c>
      <c r="D45" s="37" t="s">
        <v>119</v>
      </c>
      <c r="E45" s="37" t="s">
        <v>219</v>
      </c>
      <c r="F45" s="37" t="s">
        <v>212</v>
      </c>
      <c r="G45" s="28"/>
      <c r="H45" s="28">
        <v>0.1</v>
      </c>
      <c r="I45" s="29">
        <v>0.74</v>
      </c>
      <c r="J45" s="29">
        <v>0.26</v>
      </c>
      <c r="K45" s="29">
        <v>0.31</v>
      </c>
      <c r="L45" s="29">
        <v>0.69</v>
      </c>
      <c r="M45" s="29">
        <v>0.06</v>
      </c>
      <c r="N45" s="32">
        <f t="shared" si="19"/>
        <v>0.15089999999999998</v>
      </c>
      <c r="T45" s="82" t="s">
        <v>1238</v>
      </c>
      <c r="U45" s="83">
        <f ca="1">U33*RANDBETWEEN(90,105)/100</f>
        <v>0.12619793442610319</v>
      </c>
      <c r="V45" s="83">
        <f t="shared" ref="V45" ca="1" si="20">V33*RANDBETWEEN(80,110)/100</f>
        <v>0.1905679809369899</v>
      </c>
      <c r="W45" s="83">
        <f t="shared" ref="W45" ca="1" si="21">W33*RANDBETWEEN(95,115)/100</f>
        <v>0.2375573276968844</v>
      </c>
      <c r="X45" s="83">
        <f t="shared" ref="X45" ca="1" si="22">X33*RANDBETWEEN(98,118)/100</f>
        <v>0.3141044918503747</v>
      </c>
      <c r="Y45" s="83">
        <f t="shared" ref="Y45:AG45" ca="1" si="23">Y33*RANDBETWEEN(90,105)/100</f>
        <v>9.9166654479700647E-2</v>
      </c>
      <c r="Z45" s="83">
        <f t="shared" ca="1" si="23"/>
        <v>0.10227919148490351</v>
      </c>
      <c r="AA45" s="83">
        <f t="shared" ca="1" si="23"/>
        <v>0.17871469812700774</v>
      </c>
      <c r="AB45" s="83">
        <f t="shared" ca="1" si="23"/>
        <v>0.14859844844979245</v>
      </c>
      <c r="AC45" s="83">
        <f t="shared" ca="1" si="23"/>
        <v>0.14017072266728164</v>
      </c>
      <c r="AD45" s="83">
        <f t="shared" ca="1" si="23"/>
        <v>4.3980948196742961E-2</v>
      </c>
      <c r="AE45" s="83">
        <f t="shared" ca="1" si="23"/>
        <v>0.14269559934508114</v>
      </c>
      <c r="AF45" s="83">
        <f t="shared" ca="1" si="23"/>
        <v>0.21975569913377782</v>
      </c>
      <c r="AG45" s="83">
        <f t="shared" ca="1" si="23"/>
        <v>0.23541438826941202</v>
      </c>
      <c r="AK45" s="82" t="s">
        <v>1248</v>
      </c>
      <c r="AL45" s="83">
        <f ca="1">AL33*RANDBETWEEN(90,105)/100</f>
        <v>0</v>
      </c>
      <c r="AM45" s="83">
        <f t="shared" ref="AM45:AX45" ca="1" si="24">AM33*RANDBETWEEN(90,105)/100</f>
        <v>0</v>
      </c>
      <c r="AN45" s="83">
        <f t="shared" ca="1" si="24"/>
        <v>0</v>
      </c>
      <c r="AO45" s="83">
        <f t="shared" ca="1" si="24"/>
        <v>0</v>
      </c>
      <c r="AP45" s="83">
        <f t="shared" ca="1" si="24"/>
        <v>0</v>
      </c>
      <c r="AQ45" s="83">
        <f t="shared" ca="1" si="24"/>
        <v>0</v>
      </c>
      <c r="AR45" s="83">
        <f t="shared" ca="1" si="24"/>
        <v>0</v>
      </c>
      <c r="AS45" s="83">
        <f t="shared" ca="1" si="24"/>
        <v>0</v>
      </c>
      <c r="AT45" s="83">
        <f t="shared" ca="1" si="24"/>
        <v>0</v>
      </c>
      <c r="AU45" s="83">
        <f t="shared" ca="1" si="24"/>
        <v>0</v>
      </c>
      <c r="AV45" s="83">
        <f t="shared" ca="1" si="24"/>
        <v>0</v>
      </c>
      <c r="AW45" s="83">
        <f t="shared" ca="1" si="24"/>
        <v>0</v>
      </c>
      <c r="AX45" s="83">
        <f t="shared" ca="1" si="24"/>
        <v>0</v>
      </c>
    </row>
    <row r="46" spans="1:50" x14ac:dyDescent="0.25">
      <c r="H46" s="7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80B1-E759-4E8A-9BAC-36726A26A651}">
  <sheetPr codeName="Sheet8" filterMode="1"/>
  <dimension ref="A1:M688"/>
  <sheetViews>
    <sheetView topLeftCell="A172" zoomScaleNormal="100" workbookViewId="0">
      <selection activeCell="A638" sqref="A638"/>
    </sheetView>
  </sheetViews>
  <sheetFormatPr defaultColWidth="8.85546875" defaultRowHeight="15" x14ac:dyDescent="0.25"/>
  <cols>
    <col min="1" max="1" width="28.7109375" bestFit="1" customWidth="1"/>
    <col min="2" max="2" width="6.5703125" bestFit="1" customWidth="1"/>
    <col min="3" max="3" width="7.140625" bestFit="1" customWidth="1"/>
    <col min="4" max="4" width="13.28515625" bestFit="1" customWidth="1"/>
    <col min="6" max="6" width="31.28515625" hidden="1" customWidth="1"/>
    <col min="7" max="13" width="0" hidden="1" customWidth="1"/>
  </cols>
  <sheetData>
    <row r="1" spans="1:13" x14ac:dyDescent="0.25">
      <c r="A1" s="109" t="s">
        <v>16</v>
      </c>
      <c r="B1" s="109" t="s">
        <v>1</v>
      </c>
      <c r="C1" s="109" t="s">
        <v>2</v>
      </c>
      <c r="F1" s="24" t="s">
        <v>16</v>
      </c>
      <c r="G1" s="24" t="s">
        <v>1</v>
      </c>
      <c r="H1" s="24" t="s">
        <v>2</v>
      </c>
      <c r="I1" s="40" t="s">
        <v>249</v>
      </c>
      <c r="J1" s="40" t="s">
        <v>250</v>
      </c>
      <c r="K1" s="40" t="s">
        <v>48</v>
      </c>
      <c r="L1" s="40" t="s">
        <v>55</v>
      </c>
      <c r="M1" s="40" t="s">
        <v>251</v>
      </c>
    </row>
    <row r="2" spans="1:13" hidden="1" x14ac:dyDescent="0.25">
      <c r="A2" t="s">
        <v>46</v>
      </c>
      <c r="B2" s="111">
        <v>0.7</v>
      </c>
      <c r="C2" s="111">
        <v>0.3</v>
      </c>
      <c r="D2" s="41"/>
      <c r="E2" s="41"/>
      <c r="F2" t="s">
        <v>46</v>
      </c>
      <c r="G2" s="13">
        <v>0.7</v>
      </c>
      <c r="H2" s="13">
        <v>0.3</v>
      </c>
      <c r="I2" s="16">
        <v>0.15</v>
      </c>
      <c r="J2" s="16">
        <v>0.25</v>
      </c>
      <c r="K2" s="16">
        <v>0.3</v>
      </c>
      <c r="L2" s="16">
        <v>0.2</v>
      </c>
      <c r="M2" s="16">
        <v>0.1</v>
      </c>
    </row>
    <row r="3" spans="1:13" hidden="1" x14ac:dyDescent="0.25">
      <c r="A3" t="s">
        <v>958</v>
      </c>
      <c r="B3" s="112">
        <v>0.7</v>
      </c>
      <c r="C3" s="112">
        <v>0.3</v>
      </c>
      <c r="F3" t="s">
        <v>52</v>
      </c>
      <c r="G3" s="13">
        <v>0.6</v>
      </c>
      <c r="H3" s="13">
        <v>0.4</v>
      </c>
      <c r="I3" s="16">
        <v>0.1</v>
      </c>
      <c r="J3" s="16">
        <v>0.3</v>
      </c>
      <c r="K3" s="16">
        <v>0.25</v>
      </c>
      <c r="L3" s="16">
        <v>0.2</v>
      </c>
      <c r="M3" s="16">
        <v>0.15</v>
      </c>
    </row>
    <row r="4" spans="1:13" hidden="1" x14ac:dyDescent="0.25">
      <c r="A4" t="s">
        <v>1098</v>
      </c>
      <c r="B4" s="112">
        <v>0.5</v>
      </c>
      <c r="C4" s="112">
        <v>0.5</v>
      </c>
      <c r="F4" t="s">
        <v>58</v>
      </c>
      <c r="G4" s="13">
        <v>0.65</v>
      </c>
      <c r="H4" s="13">
        <v>0.35</v>
      </c>
      <c r="I4" s="16">
        <v>0.05</v>
      </c>
      <c r="J4" s="16">
        <v>0.2</v>
      </c>
      <c r="K4" s="16">
        <v>0.35</v>
      </c>
      <c r="L4" s="16">
        <v>0.25</v>
      </c>
      <c r="M4" s="16">
        <v>0.15</v>
      </c>
    </row>
    <row r="5" spans="1:13" hidden="1" x14ac:dyDescent="0.25">
      <c r="A5" t="s">
        <v>955</v>
      </c>
      <c r="B5" s="112">
        <v>0.55000000000000004</v>
      </c>
      <c r="C5" s="112">
        <v>0.45</v>
      </c>
      <c r="F5" t="s">
        <v>62</v>
      </c>
      <c r="G5" s="13">
        <v>0.57999999999999996</v>
      </c>
      <c r="H5" s="13">
        <v>0.42</v>
      </c>
      <c r="I5" s="16">
        <v>0.1</v>
      </c>
      <c r="J5" s="16">
        <v>0.25</v>
      </c>
      <c r="K5" s="16">
        <v>0.3</v>
      </c>
      <c r="L5" s="16">
        <v>0.2</v>
      </c>
      <c r="M5" s="16">
        <v>0.15</v>
      </c>
    </row>
    <row r="6" spans="1:13" hidden="1" x14ac:dyDescent="0.25">
      <c r="A6" t="s">
        <v>959</v>
      </c>
      <c r="B6" s="112">
        <v>0.55000000000000004</v>
      </c>
      <c r="C6" s="112">
        <v>0.45</v>
      </c>
      <c r="F6" t="s">
        <v>66</v>
      </c>
      <c r="G6" s="13">
        <v>0.62</v>
      </c>
      <c r="H6" s="13">
        <v>0.38</v>
      </c>
      <c r="I6" s="16">
        <v>0.2</v>
      </c>
      <c r="J6" s="16">
        <v>0.3</v>
      </c>
      <c r="K6" s="16">
        <v>0.25</v>
      </c>
      <c r="L6" s="16">
        <v>0.15</v>
      </c>
      <c r="M6" s="16">
        <v>0.1</v>
      </c>
    </row>
    <row r="7" spans="1:13" hidden="1" x14ac:dyDescent="0.25">
      <c r="A7" t="s">
        <v>1072</v>
      </c>
      <c r="B7" s="112">
        <v>0.6</v>
      </c>
      <c r="C7" s="112">
        <v>0.4</v>
      </c>
      <c r="F7" t="s">
        <v>69</v>
      </c>
      <c r="G7" s="13">
        <v>0.7</v>
      </c>
      <c r="H7" s="13">
        <v>0.3</v>
      </c>
      <c r="I7" s="16">
        <v>0.05</v>
      </c>
      <c r="J7" s="16">
        <v>0.2</v>
      </c>
      <c r="K7" s="16">
        <v>0.3</v>
      </c>
      <c r="L7" s="16">
        <v>0.25</v>
      </c>
      <c r="M7" s="16">
        <v>0.2</v>
      </c>
    </row>
    <row r="8" spans="1:13" hidden="1" x14ac:dyDescent="0.25">
      <c r="A8" t="s">
        <v>849</v>
      </c>
      <c r="B8" s="110">
        <v>0.55000000000000004</v>
      </c>
      <c r="C8" s="110">
        <v>0.44999999999999996</v>
      </c>
      <c r="F8" t="s">
        <v>74</v>
      </c>
      <c r="G8" s="13">
        <v>0.55000000000000004</v>
      </c>
      <c r="H8" s="13">
        <v>0.45</v>
      </c>
      <c r="I8" s="16">
        <v>0.1</v>
      </c>
      <c r="J8" s="16">
        <v>0.25</v>
      </c>
      <c r="K8" s="16">
        <v>0.3</v>
      </c>
      <c r="L8" s="16">
        <v>0.2</v>
      </c>
      <c r="M8" s="16">
        <v>0.15</v>
      </c>
    </row>
    <row r="9" spans="1:13" hidden="1" x14ac:dyDescent="0.25">
      <c r="A9" t="s">
        <v>1051</v>
      </c>
      <c r="B9" s="26">
        <v>0.6</v>
      </c>
      <c r="C9" s="26">
        <v>0.4</v>
      </c>
      <c r="F9" t="s">
        <v>78</v>
      </c>
      <c r="G9" s="13">
        <v>0.48</v>
      </c>
      <c r="H9" s="13">
        <v>0.52</v>
      </c>
      <c r="I9" s="16">
        <v>0.15</v>
      </c>
      <c r="J9" s="16">
        <v>0.3</v>
      </c>
      <c r="K9" s="16">
        <v>0.25</v>
      </c>
      <c r="L9" s="16">
        <v>0.2</v>
      </c>
      <c r="M9" s="16">
        <v>0.1</v>
      </c>
    </row>
    <row r="10" spans="1:13" hidden="1" x14ac:dyDescent="0.25">
      <c r="A10" t="s">
        <v>1087</v>
      </c>
      <c r="B10" s="111">
        <v>0.53</v>
      </c>
      <c r="C10" s="111">
        <v>0.47</v>
      </c>
      <c r="F10" t="s">
        <v>80</v>
      </c>
      <c r="G10" s="13">
        <v>0.67</v>
      </c>
      <c r="H10" s="13">
        <v>0.33</v>
      </c>
      <c r="I10" s="16">
        <v>0.1</v>
      </c>
      <c r="J10" s="16">
        <v>0.25</v>
      </c>
      <c r="K10" s="16">
        <v>0.3</v>
      </c>
      <c r="L10" s="16">
        <v>0.2</v>
      </c>
      <c r="M10" s="16">
        <v>0.15</v>
      </c>
    </row>
    <row r="11" spans="1:13" hidden="1" x14ac:dyDescent="0.25">
      <c r="A11" t="s">
        <v>1101</v>
      </c>
      <c r="B11" s="112">
        <v>0.52</v>
      </c>
      <c r="C11" s="112">
        <v>0.48</v>
      </c>
      <c r="F11" t="s">
        <v>84</v>
      </c>
      <c r="G11" s="13">
        <v>0.64</v>
      </c>
      <c r="H11" s="13">
        <v>0.36</v>
      </c>
      <c r="I11" s="16">
        <v>0.05</v>
      </c>
      <c r="J11" s="16">
        <v>0.15</v>
      </c>
      <c r="K11" s="16">
        <v>0.35</v>
      </c>
      <c r="L11" s="16">
        <v>0.3</v>
      </c>
      <c r="M11" s="16">
        <v>0.15</v>
      </c>
    </row>
    <row r="12" spans="1:13" hidden="1" x14ac:dyDescent="0.25">
      <c r="A12" t="s">
        <v>963</v>
      </c>
      <c r="B12" s="112">
        <v>0.55000000000000004</v>
      </c>
      <c r="C12" s="112">
        <v>0.45</v>
      </c>
      <c r="F12" t="s">
        <v>87</v>
      </c>
      <c r="G12" s="13">
        <v>0.59</v>
      </c>
      <c r="H12" s="13">
        <v>0.41</v>
      </c>
      <c r="I12" s="16">
        <v>0.05</v>
      </c>
      <c r="J12" s="16">
        <v>0.2</v>
      </c>
      <c r="K12" s="16">
        <v>0.3</v>
      </c>
      <c r="L12" s="16">
        <v>0.25</v>
      </c>
      <c r="M12" s="16">
        <v>0.2</v>
      </c>
    </row>
    <row r="13" spans="1:13" hidden="1" x14ac:dyDescent="0.25">
      <c r="A13" t="s">
        <v>1097</v>
      </c>
      <c r="B13" s="112">
        <v>0.55000000000000004</v>
      </c>
      <c r="C13" s="112">
        <v>0.45</v>
      </c>
      <c r="F13" t="s">
        <v>90</v>
      </c>
      <c r="G13" s="13">
        <v>0.72</v>
      </c>
      <c r="H13" s="13">
        <v>0.28000000000000003</v>
      </c>
      <c r="I13" s="16">
        <v>0.1</v>
      </c>
      <c r="J13" s="16">
        <v>0.2</v>
      </c>
      <c r="K13" s="16">
        <v>0.35</v>
      </c>
      <c r="L13" s="16">
        <v>0.2</v>
      </c>
      <c r="M13" s="16">
        <v>0.15</v>
      </c>
    </row>
    <row r="14" spans="1:13" hidden="1" x14ac:dyDescent="0.25">
      <c r="A14" s="44" t="s">
        <v>1081</v>
      </c>
      <c r="B14" s="45">
        <v>0.7</v>
      </c>
      <c r="C14" s="45">
        <v>0.3</v>
      </c>
      <c r="F14" t="s">
        <v>92</v>
      </c>
      <c r="G14" s="13">
        <v>0.53</v>
      </c>
      <c r="H14" s="13">
        <v>0.47</v>
      </c>
      <c r="I14" s="16">
        <v>0.15</v>
      </c>
      <c r="J14" s="16">
        <v>0.25</v>
      </c>
      <c r="K14" s="16">
        <v>0.3</v>
      </c>
      <c r="L14" s="16">
        <v>0.2</v>
      </c>
      <c r="M14" s="16">
        <v>0.1</v>
      </c>
    </row>
    <row r="15" spans="1:13" hidden="1" x14ac:dyDescent="0.25">
      <c r="A15" t="s">
        <v>1091</v>
      </c>
      <c r="B15" s="111">
        <v>0.68</v>
      </c>
      <c r="C15" s="111">
        <v>0.32</v>
      </c>
      <c r="F15" t="s">
        <v>93</v>
      </c>
      <c r="G15" s="13">
        <v>0.45</v>
      </c>
      <c r="H15" s="13">
        <v>0.55000000000000004</v>
      </c>
      <c r="I15" s="16">
        <v>0.1</v>
      </c>
      <c r="J15" s="16">
        <v>0.3</v>
      </c>
      <c r="K15" s="16">
        <v>0.25</v>
      </c>
      <c r="L15" s="16">
        <v>0.2</v>
      </c>
      <c r="M15" s="16">
        <v>0.15</v>
      </c>
    </row>
    <row r="16" spans="1:13" hidden="1" x14ac:dyDescent="0.25">
      <c r="A16" t="s">
        <v>1054</v>
      </c>
      <c r="B16" s="26">
        <v>0.53</v>
      </c>
      <c r="C16" s="26">
        <v>0.47</v>
      </c>
      <c r="F16" t="s">
        <v>96</v>
      </c>
      <c r="G16" s="13">
        <v>0.4</v>
      </c>
      <c r="H16" s="13">
        <v>0.6</v>
      </c>
      <c r="I16" s="16">
        <v>0.05</v>
      </c>
      <c r="J16" s="16">
        <v>0.15</v>
      </c>
      <c r="K16" s="16">
        <v>0.3</v>
      </c>
      <c r="L16" s="16">
        <v>0.25</v>
      </c>
      <c r="M16" s="16">
        <v>0.25</v>
      </c>
    </row>
    <row r="17" spans="1:13" hidden="1" x14ac:dyDescent="0.25">
      <c r="A17" t="s">
        <v>1103</v>
      </c>
      <c r="B17" s="26">
        <v>0.55000000000000004</v>
      </c>
      <c r="C17" s="26">
        <v>0.45</v>
      </c>
      <c r="F17" t="s">
        <v>97</v>
      </c>
      <c r="G17" s="13">
        <v>0.68</v>
      </c>
      <c r="H17" s="13">
        <v>0.32</v>
      </c>
      <c r="I17" s="16">
        <v>0.05</v>
      </c>
      <c r="J17" s="16">
        <v>0.2</v>
      </c>
      <c r="K17" s="16">
        <v>0.35</v>
      </c>
      <c r="L17" s="16">
        <v>0.25</v>
      </c>
      <c r="M17" s="16">
        <v>0.15</v>
      </c>
    </row>
    <row r="18" spans="1:13" x14ac:dyDescent="0.25">
      <c r="A18" s="44" t="s">
        <v>1078</v>
      </c>
      <c r="B18" s="45">
        <v>0.73</v>
      </c>
      <c r="C18" s="45">
        <v>0.27</v>
      </c>
      <c r="F18" t="s">
        <v>99</v>
      </c>
      <c r="G18" s="13">
        <v>0.66</v>
      </c>
      <c r="H18" s="13">
        <v>0.34</v>
      </c>
      <c r="I18" s="16">
        <v>0.1</v>
      </c>
      <c r="J18" s="16">
        <v>0.2</v>
      </c>
      <c r="K18" s="16">
        <v>0.3</v>
      </c>
      <c r="L18" s="16">
        <v>0.25</v>
      </c>
      <c r="M18" s="16">
        <v>0.15</v>
      </c>
    </row>
    <row r="19" spans="1:13" hidden="1" x14ac:dyDescent="0.25">
      <c r="A19" t="s">
        <v>964</v>
      </c>
      <c r="B19" s="112">
        <v>0.55000000000000004</v>
      </c>
      <c r="C19" s="112">
        <v>0.45</v>
      </c>
      <c r="F19" t="s">
        <v>103</v>
      </c>
      <c r="G19" s="13">
        <v>0.71</v>
      </c>
      <c r="H19" s="13">
        <v>0.28999999999999998</v>
      </c>
      <c r="I19" s="16">
        <v>0.05</v>
      </c>
      <c r="J19" s="16">
        <v>0.15</v>
      </c>
      <c r="K19" s="16">
        <v>0.35</v>
      </c>
      <c r="L19" s="16">
        <v>0.3</v>
      </c>
      <c r="M19" s="16">
        <v>0.15</v>
      </c>
    </row>
    <row r="20" spans="1:13" hidden="1" x14ac:dyDescent="0.25">
      <c r="A20" s="44" t="s">
        <v>1065</v>
      </c>
      <c r="B20" s="45">
        <v>0.72</v>
      </c>
      <c r="C20" s="45">
        <v>0.28000000000000003</v>
      </c>
      <c r="F20" t="s">
        <v>106</v>
      </c>
      <c r="G20" s="13">
        <v>0.5</v>
      </c>
      <c r="H20" s="13">
        <v>0.5</v>
      </c>
      <c r="I20" s="16">
        <v>0.15</v>
      </c>
      <c r="J20" s="16">
        <v>0.25</v>
      </c>
      <c r="K20" s="16">
        <v>0.3</v>
      </c>
      <c r="L20" s="16">
        <v>0.2</v>
      </c>
      <c r="M20" s="16">
        <v>0.1</v>
      </c>
    </row>
    <row r="21" spans="1:13" hidden="1" x14ac:dyDescent="0.25">
      <c r="A21" s="113" t="s">
        <v>381</v>
      </c>
      <c r="B21" s="111">
        <v>0.55000000000000004</v>
      </c>
      <c r="C21" s="111">
        <v>0.45</v>
      </c>
      <c r="F21" t="s">
        <v>108</v>
      </c>
      <c r="G21" s="13">
        <v>0.54</v>
      </c>
      <c r="H21" s="13">
        <v>0.46</v>
      </c>
      <c r="I21" s="16">
        <v>0.2</v>
      </c>
      <c r="J21" s="16">
        <v>0.3</v>
      </c>
      <c r="K21" s="16">
        <v>0.25</v>
      </c>
      <c r="L21" s="16">
        <v>0.15</v>
      </c>
      <c r="M21" s="16">
        <v>0.1</v>
      </c>
    </row>
    <row r="22" spans="1:13" hidden="1" x14ac:dyDescent="0.25">
      <c r="A22" t="s">
        <v>243</v>
      </c>
      <c r="B22" s="110">
        <v>0.54</v>
      </c>
      <c r="C22" s="110">
        <v>0.45999999999999996</v>
      </c>
      <c r="F22" t="s">
        <v>110</v>
      </c>
      <c r="G22" s="13">
        <v>0.45</v>
      </c>
      <c r="H22" s="13">
        <v>0.55000000000000004</v>
      </c>
      <c r="I22" s="16">
        <v>0.1</v>
      </c>
      <c r="J22" s="16">
        <v>0.25</v>
      </c>
      <c r="K22" s="16">
        <v>0.3</v>
      </c>
      <c r="L22" s="16">
        <v>0.2</v>
      </c>
      <c r="M22" s="16">
        <v>0.15</v>
      </c>
    </row>
    <row r="23" spans="1:13" hidden="1" x14ac:dyDescent="0.25">
      <c r="A23" t="s">
        <v>1552</v>
      </c>
      <c r="B23" s="110">
        <v>0.62</v>
      </c>
      <c r="C23" s="110">
        <v>0.38</v>
      </c>
      <c r="F23" t="s">
        <v>111</v>
      </c>
      <c r="G23" s="13">
        <v>0.6</v>
      </c>
      <c r="H23" s="13">
        <v>0.4</v>
      </c>
      <c r="I23" s="16">
        <v>0.05</v>
      </c>
      <c r="J23" s="16">
        <v>0.2</v>
      </c>
      <c r="K23" s="16">
        <v>0.35</v>
      </c>
      <c r="L23" s="16">
        <v>0.25</v>
      </c>
      <c r="M23" s="16">
        <v>0.15</v>
      </c>
    </row>
    <row r="24" spans="1:13" hidden="1" x14ac:dyDescent="0.25">
      <c r="A24" t="s">
        <v>307</v>
      </c>
      <c r="B24" s="110">
        <v>0.53</v>
      </c>
      <c r="C24" s="110">
        <v>0.47</v>
      </c>
      <c r="F24" t="s">
        <v>113</v>
      </c>
      <c r="G24" s="13">
        <v>0.55000000000000004</v>
      </c>
      <c r="H24" s="13">
        <v>0.45</v>
      </c>
      <c r="I24" s="16">
        <v>0.75</v>
      </c>
      <c r="J24" s="16">
        <v>0.1</v>
      </c>
      <c r="K24" s="16">
        <v>0.05</v>
      </c>
      <c r="L24" s="16">
        <v>0.05</v>
      </c>
      <c r="M24" s="16">
        <v>0.05</v>
      </c>
    </row>
    <row r="25" spans="1:13" hidden="1" x14ac:dyDescent="0.25">
      <c r="A25" t="s">
        <v>52</v>
      </c>
      <c r="B25" s="111">
        <v>0.6</v>
      </c>
      <c r="C25" s="111">
        <v>0.4</v>
      </c>
      <c r="F25" t="s">
        <v>116</v>
      </c>
      <c r="G25" s="13">
        <v>0.48</v>
      </c>
      <c r="H25" s="13">
        <v>0.52</v>
      </c>
      <c r="I25" s="16">
        <v>0.8</v>
      </c>
      <c r="J25" s="16">
        <v>0.05</v>
      </c>
      <c r="K25" s="16">
        <v>0.05</v>
      </c>
      <c r="L25" s="16">
        <v>0.05</v>
      </c>
      <c r="M25" s="16">
        <v>0.05</v>
      </c>
    </row>
    <row r="26" spans="1:13" hidden="1" x14ac:dyDescent="0.25">
      <c r="A26" t="s">
        <v>52</v>
      </c>
      <c r="B26" s="111">
        <v>0.57999999999999996</v>
      </c>
      <c r="C26" s="111">
        <v>0.42</v>
      </c>
      <c r="F26" t="s">
        <v>120</v>
      </c>
      <c r="G26" s="13">
        <v>0.5</v>
      </c>
      <c r="H26" s="13">
        <v>0.5</v>
      </c>
      <c r="I26" s="16">
        <v>0.8</v>
      </c>
      <c r="J26" s="16">
        <v>7.0000000000000007E-2</v>
      </c>
      <c r="K26" s="16">
        <v>0.03</v>
      </c>
      <c r="L26" s="16">
        <v>0.05</v>
      </c>
      <c r="M26" s="16">
        <v>0.05</v>
      </c>
    </row>
    <row r="27" spans="1:13" hidden="1" x14ac:dyDescent="0.25">
      <c r="A27" t="s">
        <v>1221</v>
      </c>
      <c r="B27" s="45">
        <v>0.6</v>
      </c>
      <c r="C27" s="45">
        <v>0.4</v>
      </c>
      <c r="F27" t="s">
        <v>122</v>
      </c>
      <c r="G27" s="13">
        <v>0.65</v>
      </c>
      <c r="H27" s="13">
        <v>0.35</v>
      </c>
      <c r="I27" s="16">
        <v>0.15</v>
      </c>
      <c r="J27" s="16">
        <v>0.25</v>
      </c>
      <c r="K27" s="16">
        <v>0.3</v>
      </c>
      <c r="L27" s="16">
        <v>0.2</v>
      </c>
      <c r="M27" s="16">
        <v>0.1</v>
      </c>
    </row>
    <row r="28" spans="1:13" x14ac:dyDescent="0.25">
      <c r="A28" t="s">
        <v>1417</v>
      </c>
      <c r="B28" s="26">
        <v>0.54666666666666675</v>
      </c>
      <c r="C28" s="26">
        <v>0.45333333333333337</v>
      </c>
      <c r="F28" t="s">
        <v>124</v>
      </c>
      <c r="G28" s="13">
        <v>0.45</v>
      </c>
      <c r="H28" s="13">
        <v>0.55000000000000004</v>
      </c>
      <c r="I28" s="16">
        <v>0.2</v>
      </c>
      <c r="J28" s="16">
        <v>0.35</v>
      </c>
      <c r="K28" s="16">
        <v>0.25</v>
      </c>
      <c r="L28" s="16">
        <v>0.15</v>
      </c>
      <c r="M28" s="16">
        <v>0.05</v>
      </c>
    </row>
    <row r="29" spans="1:13" x14ac:dyDescent="0.25">
      <c r="A29" t="s">
        <v>1148</v>
      </c>
      <c r="B29" s="45">
        <v>0.7</v>
      </c>
      <c r="C29" s="45">
        <v>0.3</v>
      </c>
      <c r="F29" t="s">
        <v>126</v>
      </c>
      <c r="G29" s="13">
        <v>0.53</v>
      </c>
      <c r="H29" s="13">
        <v>0.47</v>
      </c>
      <c r="I29" s="16">
        <v>0.1</v>
      </c>
      <c r="J29" s="16">
        <v>0.3</v>
      </c>
      <c r="K29" s="16">
        <v>0.25</v>
      </c>
      <c r="L29" s="16">
        <v>0.2</v>
      </c>
      <c r="M29" s="16">
        <v>0.15</v>
      </c>
    </row>
    <row r="30" spans="1:13" hidden="1" x14ac:dyDescent="0.25">
      <c r="A30" t="s">
        <v>1418</v>
      </c>
      <c r="B30" s="26">
        <v>0.55604801085332789</v>
      </c>
      <c r="C30" s="26">
        <v>0.44395198914667233</v>
      </c>
      <c r="F30" t="s">
        <v>130</v>
      </c>
      <c r="G30" s="13">
        <v>0.56000000000000005</v>
      </c>
      <c r="H30" s="13">
        <v>0.44</v>
      </c>
      <c r="I30" s="16">
        <v>0.05</v>
      </c>
      <c r="J30" s="16">
        <v>0.2</v>
      </c>
      <c r="K30" s="16">
        <v>0.3</v>
      </c>
      <c r="L30" s="16">
        <v>0.25</v>
      </c>
      <c r="M30" s="16">
        <v>0.2</v>
      </c>
    </row>
    <row r="31" spans="1:13" hidden="1" x14ac:dyDescent="0.25">
      <c r="A31" s="117" t="s">
        <v>1777</v>
      </c>
      <c r="B31" s="26">
        <v>0.57846850905543157</v>
      </c>
      <c r="C31" s="26">
        <v>0.42153149094456854</v>
      </c>
      <c r="F31" t="s">
        <v>131</v>
      </c>
      <c r="G31" s="13">
        <v>0.62</v>
      </c>
      <c r="H31" s="13">
        <v>0.38</v>
      </c>
      <c r="I31" s="16">
        <v>0.1</v>
      </c>
      <c r="J31" s="16">
        <v>0.25</v>
      </c>
      <c r="K31" s="16">
        <v>0.3</v>
      </c>
      <c r="L31" s="16">
        <v>0.2</v>
      </c>
      <c r="M31" s="16">
        <v>0.15</v>
      </c>
    </row>
    <row r="32" spans="1:13" hidden="1" x14ac:dyDescent="0.25">
      <c r="A32" t="s">
        <v>1770</v>
      </c>
      <c r="B32" s="26">
        <v>0.55518889925373127</v>
      </c>
      <c r="C32" s="26">
        <v>0.44481110074626884</v>
      </c>
      <c r="F32" t="s">
        <v>133</v>
      </c>
      <c r="G32" s="13">
        <v>0.4</v>
      </c>
      <c r="H32" s="13">
        <v>0.6</v>
      </c>
      <c r="I32" s="16">
        <v>0.1</v>
      </c>
      <c r="J32" s="16">
        <v>0.2</v>
      </c>
      <c r="K32" s="16">
        <v>0.3</v>
      </c>
      <c r="L32" s="16">
        <v>0.25</v>
      </c>
      <c r="M32" s="16">
        <v>0.15</v>
      </c>
    </row>
    <row r="33" spans="1:13" hidden="1" x14ac:dyDescent="0.25">
      <c r="A33" t="s">
        <v>58</v>
      </c>
      <c r="B33" s="111">
        <v>0.65</v>
      </c>
      <c r="C33" s="111">
        <v>0.35</v>
      </c>
      <c r="F33" t="s">
        <v>134</v>
      </c>
      <c r="G33" s="13">
        <v>0.4</v>
      </c>
      <c r="H33" s="13">
        <v>0.6</v>
      </c>
      <c r="I33" s="16">
        <v>0.2</v>
      </c>
      <c r="J33" s="16">
        <v>0.35</v>
      </c>
      <c r="K33" s="16">
        <v>0.25</v>
      </c>
      <c r="L33" s="16">
        <v>0.15</v>
      </c>
      <c r="M33" s="16">
        <v>0.05</v>
      </c>
    </row>
    <row r="34" spans="1:13" hidden="1" x14ac:dyDescent="0.25">
      <c r="A34" t="s">
        <v>62</v>
      </c>
      <c r="B34" s="111">
        <v>0.57999999999999996</v>
      </c>
      <c r="C34" s="111">
        <v>0.42</v>
      </c>
      <c r="F34" t="s">
        <v>138</v>
      </c>
      <c r="G34" s="13">
        <v>0.47</v>
      </c>
      <c r="H34" s="13">
        <v>0.53</v>
      </c>
      <c r="I34" s="16">
        <v>0.2</v>
      </c>
      <c r="J34" s="16">
        <v>0.35</v>
      </c>
      <c r="K34" s="16">
        <v>0.25</v>
      </c>
      <c r="L34" s="16">
        <v>0.15</v>
      </c>
      <c r="M34" s="16">
        <v>0.05</v>
      </c>
    </row>
    <row r="35" spans="1:13" hidden="1" x14ac:dyDescent="0.25">
      <c r="A35" t="s">
        <v>1150</v>
      </c>
      <c r="B35" s="45">
        <v>0.66</v>
      </c>
      <c r="C35" s="45">
        <v>0.34</v>
      </c>
      <c r="F35" t="s">
        <v>139</v>
      </c>
      <c r="G35" s="13">
        <v>0.52</v>
      </c>
      <c r="H35" s="13">
        <v>0.48</v>
      </c>
      <c r="I35" s="16">
        <v>0.15</v>
      </c>
      <c r="J35" s="16">
        <v>0.3</v>
      </c>
      <c r="K35" s="16">
        <v>0.25</v>
      </c>
      <c r="L35" s="16">
        <v>0.2</v>
      </c>
      <c r="M35" s="16">
        <v>0.1</v>
      </c>
    </row>
    <row r="36" spans="1:13" hidden="1" x14ac:dyDescent="0.25">
      <c r="A36" t="s">
        <v>66</v>
      </c>
      <c r="B36" s="111">
        <v>0.62</v>
      </c>
      <c r="C36" s="111">
        <v>0.38</v>
      </c>
      <c r="F36" t="s">
        <v>141</v>
      </c>
      <c r="G36" s="13">
        <v>0.57999999999999996</v>
      </c>
      <c r="H36" s="13">
        <v>0.42</v>
      </c>
      <c r="I36" s="16">
        <v>0.05</v>
      </c>
      <c r="J36" s="16">
        <v>0.2</v>
      </c>
      <c r="K36" s="16">
        <v>0.3</v>
      </c>
      <c r="L36" s="16">
        <v>0.25</v>
      </c>
      <c r="M36" s="16">
        <v>0.2</v>
      </c>
    </row>
    <row r="37" spans="1:13" hidden="1" x14ac:dyDescent="0.25">
      <c r="A37" t="s">
        <v>1149</v>
      </c>
      <c r="B37" s="45">
        <v>0.69</v>
      </c>
      <c r="C37" s="45">
        <v>0.31</v>
      </c>
      <c r="F37" t="s">
        <v>143</v>
      </c>
      <c r="G37" s="13">
        <v>0.54</v>
      </c>
      <c r="H37" s="13">
        <v>0.46</v>
      </c>
      <c r="I37" s="16">
        <v>0.1</v>
      </c>
      <c r="J37" s="16">
        <v>0.3</v>
      </c>
      <c r="K37" s="16">
        <v>0.25</v>
      </c>
      <c r="L37" s="16">
        <v>0.2</v>
      </c>
      <c r="M37" s="16">
        <v>0.15</v>
      </c>
    </row>
    <row r="38" spans="1:13" hidden="1" x14ac:dyDescent="0.25">
      <c r="A38" t="s">
        <v>274</v>
      </c>
      <c r="B38" s="110">
        <v>0.55000000000000004</v>
      </c>
      <c r="C38" s="110">
        <v>0.44999999999999996</v>
      </c>
      <c r="F38" t="s">
        <v>145</v>
      </c>
      <c r="G38" s="13">
        <v>0.37</v>
      </c>
      <c r="H38" s="13">
        <v>0.63</v>
      </c>
      <c r="I38" s="16">
        <v>0.05</v>
      </c>
      <c r="J38" s="16">
        <v>0.15</v>
      </c>
      <c r="K38" s="16">
        <v>0.3</v>
      </c>
      <c r="L38" s="16">
        <v>0.25</v>
      </c>
      <c r="M38" s="16">
        <v>0.25</v>
      </c>
    </row>
    <row r="39" spans="1:13" hidden="1" x14ac:dyDescent="0.25">
      <c r="A39" t="s">
        <v>938</v>
      </c>
      <c r="B39" s="26">
        <v>0.51</v>
      </c>
      <c r="C39" s="26">
        <v>0.49</v>
      </c>
      <c r="F39" t="s">
        <v>149</v>
      </c>
      <c r="G39" s="13">
        <v>0.61</v>
      </c>
      <c r="H39" s="13">
        <v>0.39</v>
      </c>
      <c r="I39" s="16">
        <v>0.05</v>
      </c>
      <c r="J39" s="16">
        <v>0.2</v>
      </c>
      <c r="K39" s="16">
        <v>0.35</v>
      </c>
      <c r="L39" s="16">
        <v>0.25</v>
      </c>
      <c r="M39" s="16">
        <v>0.15</v>
      </c>
    </row>
    <row r="40" spans="1:13" hidden="1" x14ac:dyDescent="0.25">
      <c r="A40" t="s">
        <v>922</v>
      </c>
      <c r="B40" s="112">
        <v>0.53</v>
      </c>
      <c r="C40" s="112">
        <v>0.47</v>
      </c>
      <c r="F40" t="s">
        <v>151</v>
      </c>
      <c r="G40" s="13">
        <v>0.42</v>
      </c>
      <c r="H40" s="13">
        <v>0.57999999999999996</v>
      </c>
      <c r="I40" s="16">
        <v>0.1</v>
      </c>
      <c r="J40" s="16">
        <v>0.2</v>
      </c>
      <c r="K40" s="16">
        <v>0.3</v>
      </c>
      <c r="L40" s="16">
        <v>0.25</v>
      </c>
      <c r="M40" s="16">
        <v>0.15</v>
      </c>
    </row>
    <row r="41" spans="1:13" x14ac:dyDescent="0.25">
      <c r="A41" t="s">
        <v>69</v>
      </c>
      <c r="B41" s="111">
        <v>0.7</v>
      </c>
      <c r="C41" s="111">
        <v>0.3</v>
      </c>
      <c r="F41" t="s">
        <v>152</v>
      </c>
      <c r="G41" s="13">
        <v>0.47</v>
      </c>
      <c r="H41" s="13">
        <v>0.53</v>
      </c>
      <c r="I41" s="16">
        <v>0.1</v>
      </c>
      <c r="J41" s="16">
        <v>0.2</v>
      </c>
      <c r="K41" s="16">
        <v>0.3</v>
      </c>
      <c r="L41" s="16">
        <v>0.25</v>
      </c>
      <c r="M41" s="16">
        <v>0.15</v>
      </c>
    </row>
    <row r="42" spans="1:13" x14ac:dyDescent="0.25">
      <c r="A42" t="s">
        <v>1220</v>
      </c>
      <c r="B42" s="45">
        <v>0.7</v>
      </c>
      <c r="C42" s="45">
        <v>0.3</v>
      </c>
      <c r="F42" t="s">
        <v>153</v>
      </c>
      <c r="G42" s="13">
        <v>0.5</v>
      </c>
      <c r="H42" s="13">
        <v>0.5</v>
      </c>
      <c r="I42" s="16">
        <v>0.05</v>
      </c>
      <c r="J42" s="16">
        <v>0.15</v>
      </c>
      <c r="K42" s="16">
        <v>0.3</v>
      </c>
      <c r="L42" s="16">
        <v>0.25</v>
      </c>
      <c r="M42" s="16">
        <v>0.25</v>
      </c>
    </row>
    <row r="43" spans="1:13" x14ac:dyDescent="0.25">
      <c r="A43" t="s">
        <v>1476</v>
      </c>
      <c r="B43" s="110">
        <v>0.64250000000000007</v>
      </c>
      <c r="C43" s="110">
        <v>0.35750000000000004</v>
      </c>
      <c r="F43" t="s">
        <v>154</v>
      </c>
      <c r="G43" s="13">
        <v>0.3</v>
      </c>
      <c r="H43" s="13">
        <v>0.7</v>
      </c>
      <c r="I43" s="16">
        <v>0.1</v>
      </c>
      <c r="J43" s="16">
        <v>0.25</v>
      </c>
      <c r="K43" s="16">
        <v>0.3</v>
      </c>
      <c r="L43" s="16">
        <v>0.2</v>
      </c>
      <c r="M43" s="16">
        <v>0.15</v>
      </c>
    </row>
    <row r="44" spans="1:13" hidden="1" x14ac:dyDescent="0.25">
      <c r="A44" t="s">
        <v>1175</v>
      </c>
      <c r="B44" s="45">
        <v>0.72</v>
      </c>
      <c r="C44" s="45">
        <v>0.28000000000000003</v>
      </c>
      <c r="F44" s="25" t="s">
        <v>155</v>
      </c>
      <c r="G44" s="13">
        <v>0.33</v>
      </c>
      <c r="H44" s="13">
        <v>0.67</v>
      </c>
      <c r="I44" s="16">
        <v>0.05</v>
      </c>
      <c r="J44" s="16">
        <v>0.2</v>
      </c>
      <c r="K44" s="16">
        <v>0.3</v>
      </c>
      <c r="L44" s="16">
        <v>0.25</v>
      </c>
      <c r="M44" s="16">
        <v>0.2</v>
      </c>
    </row>
    <row r="45" spans="1:13" hidden="1" x14ac:dyDescent="0.25">
      <c r="A45" t="s">
        <v>293</v>
      </c>
      <c r="B45" s="110">
        <v>0.55000000000000004</v>
      </c>
      <c r="C45" s="110">
        <v>0.44999999999999996</v>
      </c>
      <c r="F45" t="s">
        <v>156</v>
      </c>
      <c r="G45" s="13">
        <v>0.66</v>
      </c>
      <c r="H45" s="13">
        <v>0.34</v>
      </c>
      <c r="I45" s="16">
        <v>0.1</v>
      </c>
      <c r="J45" s="16">
        <v>0.25</v>
      </c>
      <c r="K45" s="16">
        <v>0.3</v>
      </c>
      <c r="L45" s="16">
        <v>0.2</v>
      </c>
      <c r="M45" s="16">
        <v>0.15</v>
      </c>
    </row>
    <row r="46" spans="1:13" hidden="1" x14ac:dyDescent="0.25">
      <c r="A46" t="s">
        <v>272</v>
      </c>
      <c r="B46" s="111">
        <v>0.57999999999999996</v>
      </c>
      <c r="C46" s="111">
        <v>0.42</v>
      </c>
      <c r="F46" t="s">
        <v>157</v>
      </c>
      <c r="G46" s="13">
        <v>0.5</v>
      </c>
      <c r="H46" s="13">
        <v>0.5</v>
      </c>
      <c r="I46" s="16">
        <v>0.15</v>
      </c>
      <c r="J46" s="16">
        <v>0.25</v>
      </c>
      <c r="K46" s="16">
        <v>0.3</v>
      </c>
      <c r="L46" s="16">
        <v>0.2</v>
      </c>
      <c r="M46" s="16">
        <v>0.1</v>
      </c>
    </row>
    <row r="47" spans="1:13" hidden="1" x14ac:dyDescent="0.25">
      <c r="A47" t="s">
        <v>871</v>
      </c>
      <c r="B47" s="110">
        <v>0.55000000000000004</v>
      </c>
      <c r="C47" s="110">
        <v>0.45</v>
      </c>
      <c r="F47" t="s">
        <v>158</v>
      </c>
      <c r="G47" s="13">
        <v>0.45</v>
      </c>
      <c r="H47" s="13">
        <v>0.55000000000000004</v>
      </c>
      <c r="I47" s="16">
        <v>0.1</v>
      </c>
      <c r="J47" s="16">
        <v>0.2</v>
      </c>
      <c r="K47" s="16">
        <v>0.3</v>
      </c>
      <c r="L47" s="16">
        <v>0.25</v>
      </c>
      <c r="M47" s="16">
        <v>0.15</v>
      </c>
    </row>
    <row r="48" spans="1:13" hidden="1" x14ac:dyDescent="0.25">
      <c r="A48" t="s">
        <v>867</v>
      </c>
      <c r="B48" s="110">
        <v>0.56000000000000005</v>
      </c>
      <c r="C48" s="110">
        <v>0.44</v>
      </c>
      <c r="F48" t="s">
        <v>159</v>
      </c>
      <c r="G48" s="13">
        <v>0.7</v>
      </c>
      <c r="H48" s="13">
        <v>0.3</v>
      </c>
      <c r="I48" s="16">
        <v>0.05</v>
      </c>
      <c r="J48" s="16">
        <v>0.15</v>
      </c>
      <c r="K48" s="16">
        <v>0.35</v>
      </c>
      <c r="L48" s="16">
        <v>0.3</v>
      </c>
      <c r="M48" s="16">
        <v>0.15</v>
      </c>
    </row>
    <row r="49" spans="1:13" hidden="1" x14ac:dyDescent="0.25">
      <c r="A49" t="s">
        <v>1258</v>
      </c>
      <c r="B49" s="96">
        <v>0.53</v>
      </c>
      <c r="C49" s="96">
        <v>0.47</v>
      </c>
      <c r="F49" t="s">
        <v>160</v>
      </c>
      <c r="G49" s="13">
        <v>0.5</v>
      </c>
      <c r="H49" s="13">
        <v>0.5</v>
      </c>
      <c r="I49" s="16">
        <v>0.05</v>
      </c>
      <c r="J49" s="16">
        <v>0.2</v>
      </c>
      <c r="K49" s="16">
        <v>0.3</v>
      </c>
      <c r="L49" s="16">
        <v>0.25</v>
      </c>
      <c r="M49" s="16">
        <v>0.2</v>
      </c>
    </row>
    <row r="50" spans="1:13" hidden="1" x14ac:dyDescent="0.25">
      <c r="A50" t="s">
        <v>929</v>
      </c>
      <c r="B50" s="110">
        <v>0.56999999999999995</v>
      </c>
      <c r="C50" s="110">
        <v>0.43</v>
      </c>
      <c r="F50" t="s">
        <v>161</v>
      </c>
      <c r="G50" s="13">
        <v>0.4</v>
      </c>
      <c r="H50" s="13">
        <v>0.6</v>
      </c>
      <c r="I50" s="16">
        <v>0.05</v>
      </c>
      <c r="J50" s="16">
        <v>0.2</v>
      </c>
      <c r="K50" s="16">
        <v>0.3</v>
      </c>
      <c r="L50" s="16">
        <v>0.25</v>
      </c>
      <c r="M50" s="16">
        <v>0.2</v>
      </c>
    </row>
    <row r="51" spans="1:13" hidden="1" x14ac:dyDescent="0.25">
      <c r="A51" s="58" t="s">
        <v>1422</v>
      </c>
      <c r="B51" s="26">
        <v>0.55654284573453616</v>
      </c>
      <c r="C51" s="26">
        <v>0.44345715426546423</v>
      </c>
      <c r="F51" t="s">
        <v>162</v>
      </c>
      <c r="G51" s="13">
        <v>0.7</v>
      </c>
      <c r="H51" s="13">
        <v>0.3</v>
      </c>
      <c r="I51" s="15">
        <v>0.05</v>
      </c>
      <c r="J51" s="15">
        <v>0.15</v>
      </c>
      <c r="K51" s="15">
        <v>0.35</v>
      </c>
      <c r="L51" s="15">
        <v>0.3</v>
      </c>
      <c r="M51" s="15">
        <v>0.15</v>
      </c>
    </row>
    <row r="52" spans="1:13" hidden="1" x14ac:dyDescent="0.25">
      <c r="A52" s="58" t="s">
        <v>1521</v>
      </c>
      <c r="B52" s="26">
        <v>0.55654284573453616</v>
      </c>
      <c r="C52" s="26">
        <v>0.44345715426546423</v>
      </c>
      <c r="F52" t="s">
        <v>163</v>
      </c>
      <c r="G52" s="13">
        <v>0.75</v>
      </c>
      <c r="H52" s="13">
        <v>0.25</v>
      </c>
      <c r="I52" s="15">
        <v>0.1</v>
      </c>
      <c r="J52" s="15">
        <v>0.2</v>
      </c>
      <c r="K52" s="15">
        <v>0.3</v>
      </c>
      <c r="L52" s="15">
        <v>0.25</v>
      </c>
      <c r="M52" s="15">
        <v>0.15</v>
      </c>
    </row>
    <row r="53" spans="1:13" hidden="1" x14ac:dyDescent="0.25">
      <c r="A53" t="s">
        <v>873</v>
      </c>
      <c r="B53" s="110">
        <v>0.53</v>
      </c>
      <c r="C53" s="110">
        <v>0.47</v>
      </c>
      <c r="F53" t="s">
        <v>164</v>
      </c>
      <c r="G53" s="13">
        <v>0.4</v>
      </c>
      <c r="H53" s="13">
        <v>0.6</v>
      </c>
      <c r="I53" s="15">
        <v>0.1</v>
      </c>
      <c r="J53" s="15">
        <v>0.25</v>
      </c>
      <c r="K53" s="15">
        <v>0.3</v>
      </c>
      <c r="L53" s="15">
        <v>0.2</v>
      </c>
      <c r="M53" s="15">
        <v>0.15</v>
      </c>
    </row>
    <row r="54" spans="1:13" hidden="1" x14ac:dyDescent="0.25">
      <c r="A54" t="s">
        <v>262</v>
      </c>
      <c r="B54" s="111">
        <v>0.67</v>
      </c>
      <c r="C54" s="111">
        <v>0.33</v>
      </c>
      <c r="F54" t="s">
        <v>165</v>
      </c>
      <c r="G54" s="13">
        <v>0.48</v>
      </c>
      <c r="H54" s="13">
        <v>0.52</v>
      </c>
      <c r="I54" s="15">
        <v>0.05</v>
      </c>
      <c r="J54" s="15">
        <v>0.25</v>
      </c>
      <c r="K54" s="15">
        <v>0.35</v>
      </c>
      <c r="L54" s="15">
        <v>0.2</v>
      </c>
      <c r="M54" s="15">
        <v>0.15</v>
      </c>
    </row>
    <row r="55" spans="1:13" hidden="1" x14ac:dyDescent="0.25">
      <c r="A55" t="s">
        <v>74</v>
      </c>
      <c r="B55" s="111">
        <v>0.55000000000000004</v>
      </c>
      <c r="C55" s="111">
        <v>0.45</v>
      </c>
      <c r="F55" t="s">
        <v>166</v>
      </c>
      <c r="G55" s="13">
        <v>0.72</v>
      </c>
      <c r="H55" s="13">
        <v>0.28000000000000003</v>
      </c>
      <c r="I55" s="15">
        <v>0.05</v>
      </c>
      <c r="J55" s="15">
        <v>0.15</v>
      </c>
      <c r="K55" s="15">
        <v>0.35</v>
      </c>
      <c r="L55" s="15">
        <v>0.3</v>
      </c>
      <c r="M55" s="15">
        <v>0.15</v>
      </c>
    </row>
    <row r="56" spans="1:13" hidden="1" x14ac:dyDescent="0.25">
      <c r="A56" s="8" t="s">
        <v>1779</v>
      </c>
      <c r="B56" s="26">
        <v>0.60499999999999998</v>
      </c>
      <c r="C56" s="26">
        <v>0.39500000000000002</v>
      </c>
      <c r="F56" t="s">
        <v>167</v>
      </c>
      <c r="G56" s="13">
        <v>0.67</v>
      </c>
      <c r="H56" s="13">
        <v>0.33</v>
      </c>
      <c r="I56" s="15">
        <v>0.1</v>
      </c>
      <c r="J56" s="15">
        <v>0.2</v>
      </c>
      <c r="K56" s="15">
        <v>0.3</v>
      </c>
      <c r="L56" s="15">
        <v>0.25</v>
      </c>
      <c r="M56" s="15">
        <v>0.15</v>
      </c>
    </row>
    <row r="57" spans="1:13" hidden="1" x14ac:dyDescent="0.25">
      <c r="A57" t="s">
        <v>78</v>
      </c>
      <c r="B57" s="111">
        <v>0.48</v>
      </c>
      <c r="C57" s="111">
        <v>0.52</v>
      </c>
      <c r="F57" t="s">
        <v>168</v>
      </c>
      <c r="G57" s="13">
        <v>0.64</v>
      </c>
      <c r="H57" s="13">
        <v>0.36</v>
      </c>
      <c r="I57" s="16">
        <v>0.05</v>
      </c>
      <c r="J57" s="16">
        <v>0.2</v>
      </c>
      <c r="K57" s="16">
        <v>0.3</v>
      </c>
      <c r="L57" s="16">
        <v>0.25</v>
      </c>
      <c r="M57" s="16">
        <v>0.2</v>
      </c>
    </row>
    <row r="58" spans="1:13" hidden="1" x14ac:dyDescent="0.25">
      <c r="A58" t="s">
        <v>1138</v>
      </c>
      <c r="B58" s="45">
        <v>0.66</v>
      </c>
      <c r="C58" s="45">
        <v>0.34</v>
      </c>
      <c r="F58" t="s">
        <v>169</v>
      </c>
      <c r="G58" s="13">
        <v>0.69</v>
      </c>
      <c r="H58" s="13">
        <v>0.31</v>
      </c>
      <c r="I58" s="16">
        <v>0.05</v>
      </c>
      <c r="J58" s="16">
        <v>0.15</v>
      </c>
      <c r="K58" s="16">
        <v>0.35</v>
      </c>
      <c r="L58" s="16">
        <v>0.3</v>
      </c>
      <c r="M58" s="16">
        <v>0.15</v>
      </c>
    </row>
    <row r="59" spans="1:13" hidden="1" x14ac:dyDescent="0.25">
      <c r="A59" t="s">
        <v>921</v>
      </c>
      <c r="B59" s="111">
        <v>0.53</v>
      </c>
      <c r="C59" s="111">
        <v>0.47</v>
      </c>
      <c r="F59" t="s">
        <v>170</v>
      </c>
      <c r="G59" s="13">
        <v>0.57999999999999996</v>
      </c>
      <c r="H59" s="13">
        <v>0.42</v>
      </c>
      <c r="I59" s="16">
        <v>0.05</v>
      </c>
      <c r="J59" s="16">
        <v>0.2</v>
      </c>
      <c r="K59" s="16">
        <v>0.3</v>
      </c>
      <c r="L59" s="16">
        <v>0.25</v>
      </c>
      <c r="M59" s="16">
        <v>0.2</v>
      </c>
    </row>
    <row r="60" spans="1:13" hidden="1" x14ac:dyDescent="0.25">
      <c r="A60" t="s">
        <v>502</v>
      </c>
      <c r="B60" s="110">
        <v>0.55000000000000004</v>
      </c>
      <c r="C60" s="110">
        <v>0.44999999999999996</v>
      </c>
      <c r="F60" t="s">
        <v>171</v>
      </c>
      <c r="G60" s="13">
        <v>0.55000000000000004</v>
      </c>
      <c r="H60" s="13">
        <v>0.45</v>
      </c>
      <c r="I60" s="16">
        <v>0.05</v>
      </c>
      <c r="J60" s="16">
        <v>0.2</v>
      </c>
      <c r="K60" s="16">
        <v>0.3</v>
      </c>
      <c r="L60" s="16">
        <v>0.25</v>
      </c>
      <c r="M60" s="16">
        <v>0.2</v>
      </c>
    </row>
    <row r="61" spans="1:13" hidden="1" x14ac:dyDescent="0.25">
      <c r="A61" t="s">
        <v>870</v>
      </c>
      <c r="B61" s="110">
        <v>0.53</v>
      </c>
      <c r="C61" s="110">
        <v>0.47</v>
      </c>
      <c r="F61" t="s">
        <v>172</v>
      </c>
      <c r="G61" s="13">
        <v>0.4</v>
      </c>
      <c r="H61" s="13">
        <v>0.6</v>
      </c>
      <c r="I61" s="16">
        <v>0.1</v>
      </c>
      <c r="J61" s="16">
        <v>0.2</v>
      </c>
      <c r="K61" s="16">
        <v>0.3</v>
      </c>
      <c r="L61" s="16">
        <v>0.25</v>
      </c>
      <c r="M61" s="16">
        <v>0.15</v>
      </c>
    </row>
    <row r="62" spans="1:13" x14ac:dyDescent="0.25">
      <c r="A62" t="s">
        <v>976</v>
      </c>
      <c r="B62" s="112">
        <v>0.55000000000000004</v>
      </c>
      <c r="C62" s="112">
        <v>0.45</v>
      </c>
      <c r="F62" t="s">
        <v>173</v>
      </c>
      <c r="G62" s="13">
        <v>0.55000000000000004</v>
      </c>
      <c r="H62" s="13">
        <v>0.45</v>
      </c>
      <c r="I62" s="16">
        <v>0.05</v>
      </c>
      <c r="J62" s="16">
        <v>0.15</v>
      </c>
      <c r="K62" s="16">
        <v>0.35</v>
      </c>
      <c r="L62" s="16">
        <v>0.3</v>
      </c>
      <c r="M62" s="16">
        <v>0.15</v>
      </c>
    </row>
    <row r="63" spans="1:13" hidden="1" x14ac:dyDescent="0.25">
      <c r="A63" t="s">
        <v>80</v>
      </c>
      <c r="B63" s="111">
        <v>0.67</v>
      </c>
      <c r="C63" s="111">
        <v>0.33</v>
      </c>
      <c r="F63" t="s">
        <v>174</v>
      </c>
      <c r="G63" s="13">
        <v>0.7</v>
      </c>
      <c r="H63" s="13">
        <v>0.3</v>
      </c>
      <c r="I63" s="16">
        <v>0.05</v>
      </c>
      <c r="J63" s="16">
        <v>0.1</v>
      </c>
      <c r="K63" s="16">
        <v>0.25</v>
      </c>
      <c r="L63" s="16">
        <v>0.3</v>
      </c>
      <c r="M63" s="16">
        <v>0.3</v>
      </c>
    </row>
    <row r="64" spans="1:13" hidden="1" x14ac:dyDescent="0.25">
      <c r="A64" t="s">
        <v>1181</v>
      </c>
      <c r="B64" s="45">
        <v>0.68</v>
      </c>
      <c r="C64" s="45">
        <v>0.32</v>
      </c>
      <c r="F64" t="s">
        <v>175</v>
      </c>
      <c r="G64" s="13">
        <v>0.72</v>
      </c>
      <c r="H64" s="13">
        <v>0.28000000000000003</v>
      </c>
      <c r="I64" s="16">
        <v>0.05</v>
      </c>
      <c r="J64" s="16">
        <v>0.2</v>
      </c>
      <c r="K64" s="16">
        <v>0.3</v>
      </c>
      <c r="L64" s="16">
        <v>0.25</v>
      </c>
      <c r="M64" s="16">
        <v>0.2</v>
      </c>
    </row>
    <row r="65" spans="1:13" hidden="1" x14ac:dyDescent="0.25">
      <c r="A65" t="s">
        <v>84</v>
      </c>
      <c r="B65" s="111">
        <v>0.64</v>
      </c>
      <c r="C65" s="111">
        <v>0.36</v>
      </c>
      <c r="F65" t="s">
        <v>176</v>
      </c>
      <c r="G65" s="13">
        <v>0.62</v>
      </c>
      <c r="H65" s="13">
        <v>0.38</v>
      </c>
      <c r="I65" s="15">
        <v>0.1</v>
      </c>
      <c r="J65" s="15">
        <v>0.2</v>
      </c>
      <c r="K65" s="15">
        <v>0.3</v>
      </c>
      <c r="L65" s="15">
        <v>0.25</v>
      </c>
      <c r="M65" s="15">
        <v>0.15</v>
      </c>
    </row>
    <row r="66" spans="1:13" hidden="1" x14ac:dyDescent="0.25">
      <c r="A66" s="111" t="s">
        <v>198</v>
      </c>
      <c r="B66" s="111">
        <v>0.55000000000000004</v>
      </c>
      <c r="C66" s="111">
        <v>0.45</v>
      </c>
      <c r="F66" t="s">
        <v>177</v>
      </c>
      <c r="G66" s="13">
        <v>0.55000000000000004</v>
      </c>
      <c r="H66" s="13">
        <v>0.45</v>
      </c>
      <c r="I66" s="15">
        <v>0.05</v>
      </c>
      <c r="J66" s="15">
        <v>0.15</v>
      </c>
      <c r="K66" s="15">
        <v>0.3</v>
      </c>
      <c r="L66" s="15">
        <v>0.25</v>
      </c>
      <c r="M66" s="15">
        <v>0.25</v>
      </c>
    </row>
    <row r="67" spans="1:13" hidden="1" x14ac:dyDescent="0.25">
      <c r="A67" t="s">
        <v>87</v>
      </c>
      <c r="B67" s="110">
        <v>0.61</v>
      </c>
      <c r="C67" s="110">
        <v>0.39</v>
      </c>
      <c r="F67" t="s">
        <v>178</v>
      </c>
      <c r="G67" s="13">
        <v>0.61</v>
      </c>
      <c r="H67" s="13">
        <v>0.39</v>
      </c>
      <c r="I67" s="15">
        <v>0.05</v>
      </c>
      <c r="J67" s="15">
        <v>0.15</v>
      </c>
      <c r="K67" s="15">
        <v>0.3</v>
      </c>
      <c r="L67" s="15">
        <v>0.25</v>
      </c>
      <c r="M67" s="15">
        <v>0.25</v>
      </c>
    </row>
    <row r="68" spans="1:13" hidden="1" x14ac:dyDescent="0.25">
      <c r="A68" t="s">
        <v>87</v>
      </c>
      <c r="B68" s="111">
        <v>0.59</v>
      </c>
      <c r="C68" s="111">
        <v>0.41</v>
      </c>
      <c r="F68" t="s">
        <v>179</v>
      </c>
      <c r="G68" s="13">
        <v>0.3</v>
      </c>
      <c r="H68" s="13">
        <v>0.7</v>
      </c>
      <c r="I68" s="15">
        <v>0.1</v>
      </c>
      <c r="J68" s="15">
        <v>0.3</v>
      </c>
      <c r="K68" s="15">
        <v>0.25</v>
      </c>
      <c r="L68" s="15">
        <v>0.2</v>
      </c>
      <c r="M68" s="15">
        <v>0.15</v>
      </c>
    </row>
    <row r="69" spans="1:13" hidden="1" x14ac:dyDescent="0.25">
      <c r="A69" t="s">
        <v>1321</v>
      </c>
      <c r="B69" s="26">
        <v>0.6</v>
      </c>
      <c r="C69" s="26">
        <v>0.4</v>
      </c>
      <c r="F69" t="s">
        <v>180</v>
      </c>
      <c r="G69" s="13">
        <v>0.4</v>
      </c>
      <c r="H69" s="13">
        <v>0.6</v>
      </c>
      <c r="I69" s="15">
        <v>0.1</v>
      </c>
      <c r="J69" s="15">
        <v>0.25</v>
      </c>
      <c r="K69" s="15">
        <v>0.3</v>
      </c>
      <c r="L69" s="15">
        <v>0.2</v>
      </c>
      <c r="M69" s="15">
        <v>0.15</v>
      </c>
    </row>
    <row r="70" spans="1:13" hidden="1" x14ac:dyDescent="0.25">
      <c r="A70" t="s">
        <v>1216</v>
      </c>
      <c r="B70" s="45">
        <v>0.65</v>
      </c>
      <c r="C70" s="45">
        <v>0.35</v>
      </c>
      <c r="F70" t="s">
        <v>181</v>
      </c>
      <c r="G70" s="13">
        <v>0.42</v>
      </c>
      <c r="H70" s="13">
        <v>0.57999999999999996</v>
      </c>
      <c r="I70" s="16">
        <v>0.05</v>
      </c>
      <c r="J70" s="16">
        <v>0.15</v>
      </c>
      <c r="K70" s="16">
        <v>0.25</v>
      </c>
      <c r="L70" s="16">
        <v>0.3</v>
      </c>
      <c r="M70" s="16">
        <v>0.25</v>
      </c>
    </row>
    <row r="71" spans="1:13" hidden="1" x14ac:dyDescent="0.25">
      <c r="A71" t="s">
        <v>1045</v>
      </c>
      <c r="B71" s="112">
        <v>0.54</v>
      </c>
      <c r="C71" s="110">
        <v>0.46</v>
      </c>
      <c r="F71" t="s">
        <v>182</v>
      </c>
      <c r="G71" s="13">
        <v>0.6</v>
      </c>
      <c r="H71" s="13">
        <v>0.4</v>
      </c>
      <c r="I71" s="16">
        <v>0.05</v>
      </c>
      <c r="J71" s="16">
        <v>0.2</v>
      </c>
      <c r="K71" s="16">
        <v>0.3</v>
      </c>
      <c r="L71" s="16">
        <v>0.25</v>
      </c>
      <c r="M71" s="16">
        <v>0.2</v>
      </c>
    </row>
    <row r="72" spans="1:13" hidden="1" x14ac:dyDescent="0.25">
      <c r="A72" t="s">
        <v>1551</v>
      </c>
      <c r="B72" s="110">
        <v>0.68</v>
      </c>
      <c r="C72" s="110">
        <v>0.32</v>
      </c>
      <c r="F72" t="s">
        <v>183</v>
      </c>
      <c r="G72" s="13">
        <v>0.53</v>
      </c>
      <c r="H72" s="13">
        <v>0.47</v>
      </c>
      <c r="I72" s="16">
        <v>0.1</v>
      </c>
      <c r="J72" s="16">
        <v>0.2</v>
      </c>
      <c r="K72" s="16">
        <v>0.3</v>
      </c>
      <c r="L72" s="16">
        <v>0.25</v>
      </c>
      <c r="M72" s="16">
        <v>0.15</v>
      </c>
    </row>
    <row r="73" spans="1:13" hidden="1" x14ac:dyDescent="0.25">
      <c r="A73" t="s">
        <v>880</v>
      </c>
      <c r="B73" s="112">
        <v>0.55000000000000004</v>
      </c>
      <c r="C73" s="110">
        <v>0.45</v>
      </c>
      <c r="F73" t="s">
        <v>184</v>
      </c>
      <c r="G73" s="13">
        <v>0.49</v>
      </c>
      <c r="H73" s="13">
        <v>0.51</v>
      </c>
      <c r="I73" s="16">
        <v>0.15</v>
      </c>
      <c r="J73" s="16">
        <v>0.3</v>
      </c>
      <c r="K73" s="16">
        <v>0.25</v>
      </c>
      <c r="L73" s="16">
        <v>0.2</v>
      </c>
      <c r="M73" s="16">
        <v>0.1</v>
      </c>
    </row>
    <row r="74" spans="1:13" hidden="1" x14ac:dyDescent="0.25">
      <c r="A74" t="s">
        <v>90</v>
      </c>
      <c r="B74" s="111">
        <v>0.72</v>
      </c>
      <c r="C74" s="111">
        <v>0.28000000000000003</v>
      </c>
      <c r="F74" t="s">
        <v>185</v>
      </c>
      <c r="G74" s="13">
        <v>0.75</v>
      </c>
      <c r="H74" s="13">
        <v>0.25</v>
      </c>
      <c r="I74" s="16">
        <v>0.1</v>
      </c>
      <c r="J74" s="16">
        <v>0.2</v>
      </c>
      <c r="K74" s="16">
        <v>0.3</v>
      </c>
      <c r="L74" s="16">
        <v>0.25</v>
      </c>
      <c r="M74" s="16">
        <v>0.15</v>
      </c>
    </row>
    <row r="75" spans="1:13" hidden="1" x14ac:dyDescent="0.25">
      <c r="A75" t="s">
        <v>1188</v>
      </c>
      <c r="B75" s="45">
        <v>0.66</v>
      </c>
      <c r="C75" s="45">
        <v>0.34</v>
      </c>
      <c r="F75" t="s">
        <v>186</v>
      </c>
      <c r="G75" s="13">
        <v>0.54</v>
      </c>
      <c r="H75" s="13">
        <v>0.46</v>
      </c>
      <c r="I75" s="16">
        <v>0.05</v>
      </c>
      <c r="J75" s="16">
        <v>0.2</v>
      </c>
      <c r="K75" s="16">
        <v>0.35</v>
      </c>
      <c r="L75" s="16">
        <v>0.25</v>
      </c>
      <c r="M75" s="16">
        <v>0.15</v>
      </c>
    </row>
    <row r="76" spans="1:13" hidden="1" x14ac:dyDescent="0.25">
      <c r="A76" t="s">
        <v>1009</v>
      </c>
      <c r="B76" s="110">
        <v>0.64</v>
      </c>
      <c r="C76" s="110">
        <v>0.36</v>
      </c>
      <c r="F76" t="s">
        <v>187</v>
      </c>
      <c r="G76" s="13">
        <v>0.56999999999999995</v>
      </c>
      <c r="H76" s="13">
        <v>0.43</v>
      </c>
      <c r="I76" s="16">
        <v>0.1</v>
      </c>
      <c r="J76" s="16">
        <v>0.25</v>
      </c>
      <c r="K76" s="16">
        <v>0.3</v>
      </c>
      <c r="L76" s="16">
        <v>0.2</v>
      </c>
      <c r="M76" s="16">
        <v>0.15</v>
      </c>
    </row>
    <row r="77" spans="1:13" hidden="1" x14ac:dyDescent="0.25">
      <c r="A77" t="s">
        <v>92</v>
      </c>
      <c r="B77" s="111">
        <v>0.53</v>
      </c>
      <c r="C77" s="111">
        <v>0.47</v>
      </c>
      <c r="F77" t="s">
        <v>188</v>
      </c>
      <c r="G77" s="13">
        <v>0.75</v>
      </c>
      <c r="H77" s="13">
        <v>0.25</v>
      </c>
      <c r="I77" s="16">
        <v>0.05</v>
      </c>
      <c r="J77" s="16">
        <v>0.2</v>
      </c>
      <c r="K77" s="16">
        <v>0.3</v>
      </c>
      <c r="L77" s="16">
        <v>0.25</v>
      </c>
      <c r="M77" s="16">
        <v>0.2</v>
      </c>
    </row>
    <row r="78" spans="1:13" hidden="1" x14ac:dyDescent="0.25">
      <c r="A78" t="s">
        <v>93</v>
      </c>
      <c r="B78" s="111">
        <v>0.45</v>
      </c>
      <c r="C78" s="111">
        <v>0.55000000000000004</v>
      </c>
      <c r="F78" t="s">
        <v>189</v>
      </c>
      <c r="G78" s="13">
        <v>0.48</v>
      </c>
      <c r="H78" s="13">
        <v>0.52</v>
      </c>
      <c r="I78" s="16">
        <v>0.05</v>
      </c>
      <c r="J78" s="16">
        <v>0.2</v>
      </c>
      <c r="K78" s="16">
        <v>0.3</v>
      </c>
      <c r="L78" s="16">
        <v>0.25</v>
      </c>
      <c r="M78" s="16">
        <v>0.2</v>
      </c>
    </row>
    <row r="79" spans="1:13" hidden="1" x14ac:dyDescent="0.25">
      <c r="A79" t="s">
        <v>476</v>
      </c>
      <c r="B79" s="110">
        <v>0.59</v>
      </c>
      <c r="C79" s="110">
        <v>0.41</v>
      </c>
      <c r="F79" t="s">
        <v>190</v>
      </c>
      <c r="G79" s="13">
        <v>0.65</v>
      </c>
      <c r="H79" s="13">
        <v>0.35</v>
      </c>
      <c r="I79" s="16">
        <v>0.1</v>
      </c>
      <c r="J79" s="16">
        <v>0.15</v>
      </c>
      <c r="K79" s="16">
        <v>0.3</v>
      </c>
      <c r="L79" s="16">
        <v>0.25</v>
      </c>
      <c r="M79" s="16">
        <v>0.2</v>
      </c>
    </row>
    <row r="80" spans="1:13" hidden="1" x14ac:dyDescent="0.25">
      <c r="A80" t="s">
        <v>323</v>
      </c>
      <c r="B80" s="112">
        <v>0.59</v>
      </c>
      <c r="C80" s="112">
        <v>0.41</v>
      </c>
      <c r="F80" t="s">
        <v>191</v>
      </c>
      <c r="G80" s="13">
        <v>0.5</v>
      </c>
      <c r="H80" s="13">
        <v>0.5</v>
      </c>
      <c r="I80" s="16">
        <v>0.05</v>
      </c>
      <c r="J80" s="16">
        <v>0.2</v>
      </c>
      <c r="K80" s="16">
        <v>0.3</v>
      </c>
      <c r="L80" s="16">
        <v>0.25</v>
      </c>
      <c r="M80" s="16">
        <v>0.2</v>
      </c>
    </row>
    <row r="81" spans="1:13" hidden="1" x14ac:dyDescent="0.25">
      <c r="A81" t="s">
        <v>1016</v>
      </c>
      <c r="B81" s="112">
        <v>0.55000000000000004</v>
      </c>
      <c r="C81" s="112">
        <v>0.45</v>
      </c>
      <c r="F81" t="s">
        <v>192</v>
      </c>
      <c r="G81" s="13">
        <v>0.66</v>
      </c>
      <c r="H81" s="13">
        <v>0.34</v>
      </c>
      <c r="I81" s="16">
        <v>0.05</v>
      </c>
      <c r="J81" s="16">
        <v>0.2</v>
      </c>
      <c r="K81" s="16">
        <v>0.3</v>
      </c>
      <c r="L81" s="16">
        <v>0.25</v>
      </c>
      <c r="M81" s="16">
        <v>0.2</v>
      </c>
    </row>
    <row r="82" spans="1:13" hidden="1" x14ac:dyDescent="0.25">
      <c r="A82" t="s">
        <v>937</v>
      </c>
      <c r="B82" s="111">
        <v>0.68</v>
      </c>
      <c r="C82" s="111">
        <v>0.32</v>
      </c>
      <c r="F82" t="s">
        <v>193</v>
      </c>
      <c r="G82" s="13">
        <v>0.6</v>
      </c>
      <c r="H82" s="13">
        <v>0.4</v>
      </c>
      <c r="I82" s="16">
        <v>0.05</v>
      </c>
      <c r="J82" s="16">
        <v>0.15</v>
      </c>
      <c r="K82" s="16">
        <v>0.3</v>
      </c>
      <c r="L82" s="16">
        <v>0.25</v>
      </c>
      <c r="M82" s="16">
        <v>0.25</v>
      </c>
    </row>
    <row r="83" spans="1:13" hidden="1" x14ac:dyDescent="0.25">
      <c r="A83" t="s">
        <v>911</v>
      </c>
      <c r="B83" s="112">
        <v>0.6</v>
      </c>
      <c r="C83" s="112">
        <v>0.4</v>
      </c>
      <c r="F83" t="s">
        <v>194</v>
      </c>
      <c r="G83" s="13">
        <v>0.33</v>
      </c>
      <c r="H83" s="13">
        <v>0.67</v>
      </c>
      <c r="I83" s="16">
        <v>0.05</v>
      </c>
      <c r="J83" s="16">
        <v>0.2</v>
      </c>
      <c r="K83" s="16">
        <v>0.3</v>
      </c>
      <c r="L83" s="16">
        <v>0.25</v>
      </c>
      <c r="M83" s="16">
        <v>0.2</v>
      </c>
    </row>
    <row r="84" spans="1:13" hidden="1" x14ac:dyDescent="0.25">
      <c r="A84" t="s">
        <v>928</v>
      </c>
      <c r="B84" s="110">
        <v>0.53</v>
      </c>
      <c r="C84" s="110">
        <v>0.47</v>
      </c>
      <c r="F84" t="s">
        <v>195</v>
      </c>
      <c r="G84" s="13">
        <v>0.75</v>
      </c>
      <c r="H84" s="13">
        <v>0.25</v>
      </c>
      <c r="I84" s="16">
        <v>0.1</v>
      </c>
      <c r="J84" s="16">
        <v>0.25</v>
      </c>
      <c r="K84" s="16">
        <v>0.3</v>
      </c>
      <c r="L84" s="16">
        <v>0.2</v>
      </c>
      <c r="M84" s="16">
        <v>0.15</v>
      </c>
    </row>
    <row r="85" spans="1:13" hidden="1" x14ac:dyDescent="0.25">
      <c r="A85" t="s">
        <v>1136</v>
      </c>
      <c r="B85" s="45">
        <v>0.65</v>
      </c>
      <c r="C85" s="45">
        <v>0.35</v>
      </c>
      <c r="F85" s="13" t="s">
        <v>196</v>
      </c>
      <c r="G85" s="13">
        <v>0.57999999999999996</v>
      </c>
      <c r="H85" s="13">
        <v>0.42</v>
      </c>
      <c r="I85" s="16">
        <v>0.15</v>
      </c>
      <c r="J85" s="16">
        <v>0.25</v>
      </c>
      <c r="K85" s="16">
        <v>0.3</v>
      </c>
      <c r="L85" s="16">
        <v>0.2</v>
      </c>
      <c r="M85" s="16">
        <v>0.1</v>
      </c>
    </row>
    <row r="86" spans="1:13" hidden="1" x14ac:dyDescent="0.25">
      <c r="A86" t="s">
        <v>1550</v>
      </c>
      <c r="B86" s="110">
        <v>0.7</v>
      </c>
      <c r="C86" s="110">
        <v>0.3</v>
      </c>
      <c r="F86" s="13" t="s">
        <v>197</v>
      </c>
      <c r="G86" s="13">
        <v>0.68</v>
      </c>
      <c r="H86" s="13">
        <v>0.32</v>
      </c>
      <c r="I86" s="16">
        <v>0.05</v>
      </c>
      <c r="J86" s="16">
        <v>0.2</v>
      </c>
      <c r="K86" s="16">
        <v>0.3</v>
      </c>
      <c r="L86" s="16">
        <v>0.25</v>
      </c>
      <c r="M86" s="16">
        <v>0.2</v>
      </c>
    </row>
    <row r="87" spans="1:13" hidden="1" x14ac:dyDescent="0.25">
      <c r="A87" t="s">
        <v>96</v>
      </c>
      <c r="B87" s="111">
        <v>0.4</v>
      </c>
      <c r="C87" s="111">
        <v>0.6</v>
      </c>
      <c r="F87" s="13" t="s">
        <v>198</v>
      </c>
      <c r="G87" s="13">
        <v>0.55000000000000004</v>
      </c>
      <c r="H87" s="13">
        <v>0.45</v>
      </c>
      <c r="I87" s="16">
        <v>0.1</v>
      </c>
      <c r="J87" s="16">
        <v>0.3</v>
      </c>
      <c r="K87" s="16">
        <v>0.25</v>
      </c>
      <c r="L87" s="16">
        <v>0.2</v>
      </c>
      <c r="M87" s="16">
        <v>0.15</v>
      </c>
    </row>
    <row r="88" spans="1:13" hidden="1" x14ac:dyDescent="0.25">
      <c r="A88" t="s">
        <v>1146</v>
      </c>
      <c r="B88" s="45">
        <v>0.68</v>
      </c>
      <c r="C88" s="45">
        <v>0.32</v>
      </c>
      <c r="F88" s="13" t="s">
        <v>199</v>
      </c>
      <c r="G88" s="13">
        <v>0.56000000000000005</v>
      </c>
      <c r="H88" s="13">
        <v>0.44</v>
      </c>
      <c r="I88" s="16">
        <v>0.15</v>
      </c>
      <c r="J88" s="16">
        <v>0.3</v>
      </c>
      <c r="K88" s="16">
        <v>0.25</v>
      </c>
      <c r="L88" s="16">
        <v>0.2</v>
      </c>
      <c r="M88" s="16">
        <v>0.1</v>
      </c>
    </row>
    <row r="89" spans="1:13" x14ac:dyDescent="0.25">
      <c r="A89" t="s">
        <v>482</v>
      </c>
      <c r="B89" s="110">
        <v>0.65</v>
      </c>
      <c r="C89" s="110">
        <v>0.35</v>
      </c>
      <c r="F89" s="13" t="s">
        <v>200</v>
      </c>
      <c r="G89" s="13">
        <v>0.55000000000000004</v>
      </c>
      <c r="H89" s="13">
        <v>0.45</v>
      </c>
      <c r="I89" s="16">
        <v>0.1</v>
      </c>
      <c r="J89" s="16">
        <v>0.3</v>
      </c>
      <c r="K89" s="16">
        <v>0.25</v>
      </c>
      <c r="L89" s="16">
        <v>0.2</v>
      </c>
      <c r="M89" s="16">
        <v>0.15</v>
      </c>
    </row>
    <row r="90" spans="1:13" hidden="1" x14ac:dyDescent="0.25">
      <c r="A90" t="s">
        <v>328</v>
      </c>
      <c r="B90" s="111">
        <v>0.55000000000000004</v>
      </c>
      <c r="C90" s="111">
        <v>0.45</v>
      </c>
      <c r="F90" s="13" t="s">
        <v>201</v>
      </c>
      <c r="G90" s="13">
        <v>0.55000000000000004</v>
      </c>
      <c r="H90" s="13">
        <v>0.45</v>
      </c>
      <c r="I90" s="16">
        <v>0.05</v>
      </c>
      <c r="J90" s="16">
        <v>0.2</v>
      </c>
      <c r="K90" s="16">
        <v>0.3</v>
      </c>
      <c r="L90" s="16">
        <v>0.25</v>
      </c>
      <c r="M90" s="16">
        <v>0.2</v>
      </c>
    </row>
    <row r="91" spans="1:13" hidden="1" x14ac:dyDescent="0.25">
      <c r="A91" t="s">
        <v>479</v>
      </c>
      <c r="B91" s="110">
        <v>0.45</v>
      </c>
      <c r="C91" s="110">
        <v>0.55000000000000004</v>
      </c>
      <c r="F91" s="13" t="s">
        <v>202</v>
      </c>
      <c r="G91" s="13">
        <v>0.72</v>
      </c>
      <c r="H91" s="13">
        <v>0.28000000000000003</v>
      </c>
      <c r="I91" s="16">
        <v>0.1</v>
      </c>
      <c r="J91" s="16">
        <v>0.25</v>
      </c>
      <c r="K91" s="16">
        <v>0.3</v>
      </c>
      <c r="L91" s="16">
        <v>0.2</v>
      </c>
      <c r="M91" s="16">
        <v>0.15</v>
      </c>
    </row>
    <row r="92" spans="1:13" hidden="1" x14ac:dyDescent="0.25">
      <c r="A92" t="s">
        <v>1171</v>
      </c>
      <c r="B92" s="45">
        <v>0.64</v>
      </c>
      <c r="C92" s="45">
        <v>0.36</v>
      </c>
      <c r="F92" s="13" t="s">
        <v>203</v>
      </c>
      <c r="G92" s="13">
        <v>0.57999999999999996</v>
      </c>
      <c r="H92" s="13">
        <v>0.42</v>
      </c>
      <c r="I92" s="16">
        <v>0.05</v>
      </c>
      <c r="J92" s="16">
        <v>0.2</v>
      </c>
      <c r="K92" s="16">
        <v>0.3</v>
      </c>
      <c r="L92" s="16">
        <v>0.25</v>
      </c>
      <c r="M92" s="16">
        <v>0.2</v>
      </c>
    </row>
    <row r="93" spans="1:13" hidden="1" x14ac:dyDescent="0.25">
      <c r="A93" t="s">
        <v>1279</v>
      </c>
      <c r="B93" s="96">
        <v>0.56999999999999995</v>
      </c>
      <c r="C93" s="96">
        <v>0.43</v>
      </c>
      <c r="F93" t="s">
        <v>217</v>
      </c>
      <c r="G93" s="13">
        <v>0.57999999999999996</v>
      </c>
      <c r="H93" s="13">
        <v>0.42</v>
      </c>
      <c r="I93" s="16">
        <v>0.1</v>
      </c>
      <c r="J93" s="16">
        <v>0.25</v>
      </c>
      <c r="K93" s="16">
        <v>0.3</v>
      </c>
      <c r="L93" s="16">
        <v>0.2</v>
      </c>
      <c r="M93" s="16">
        <v>0.15</v>
      </c>
    </row>
    <row r="94" spans="1:13" hidden="1" x14ac:dyDescent="0.25">
      <c r="A94" t="s">
        <v>1142</v>
      </c>
      <c r="B94" s="45">
        <v>0.65</v>
      </c>
      <c r="C94" s="45">
        <v>0.35</v>
      </c>
      <c r="F94" t="s">
        <v>235</v>
      </c>
      <c r="G94" s="26">
        <v>0.56000000000000005</v>
      </c>
      <c r="H94" s="26">
        <v>0.44</v>
      </c>
      <c r="I94" s="16">
        <v>0.79</v>
      </c>
      <c r="J94" s="16">
        <v>0.06</v>
      </c>
      <c r="K94" s="16">
        <v>0.04</v>
      </c>
      <c r="L94" s="16">
        <v>0.05</v>
      </c>
      <c r="M94" s="16">
        <v>0.06</v>
      </c>
    </row>
    <row r="95" spans="1:13" hidden="1" x14ac:dyDescent="0.25">
      <c r="A95" t="s">
        <v>97</v>
      </c>
      <c r="B95" s="111">
        <v>0.68</v>
      </c>
      <c r="C95" s="111">
        <v>0.32</v>
      </c>
      <c r="F95" t="s">
        <v>236</v>
      </c>
      <c r="G95" s="26">
        <v>0.57999999999999996</v>
      </c>
      <c r="H95" s="26">
        <v>0.42</v>
      </c>
      <c r="I95" s="16">
        <v>0.05</v>
      </c>
      <c r="J95" s="16">
        <v>0.2</v>
      </c>
      <c r="K95" s="16">
        <v>0.3</v>
      </c>
      <c r="L95" s="16">
        <v>0.25</v>
      </c>
      <c r="M95" s="16">
        <v>0.2</v>
      </c>
    </row>
    <row r="96" spans="1:13" hidden="1" x14ac:dyDescent="0.25">
      <c r="A96" t="s">
        <v>1174</v>
      </c>
      <c r="B96" s="45">
        <v>0.7</v>
      </c>
      <c r="C96" s="45">
        <v>0.3</v>
      </c>
      <c r="F96" t="s">
        <v>237</v>
      </c>
      <c r="G96" s="27">
        <v>0.5</v>
      </c>
      <c r="H96" s="26">
        <v>0.5</v>
      </c>
      <c r="I96" s="16">
        <v>0.05</v>
      </c>
      <c r="J96" s="16">
        <v>0.15</v>
      </c>
      <c r="K96" s="16">
        <v>0.3</v>
      </c>
      <c r="L96" s="16">
        <v>0.25</v>
      </c>
      <c r="M96" s="16">
        <v>0.25</v>
      </c>
    </row>
    <row r="97" spans="1:13" hidden="1" x14ac:dyDescent="0.25">
      <c r="A97" t="s">
        <v>1201</v>
      </c>
      <c r="B97" s="45">
        <v>0.55000000000000004</v>
      </c>
      <c r="C97" s="45">
        <v>0.45</v>
      </c>
      <c r="F97" t="s">
        <v>238</v>
      </c>
      <c r="G97" s="27">
        <v>0.57999999999999996</v>
      </c>
      <c r="H97" s="26">
        <v>0.42000000000000004</v>
      </c>
      <c r="I97" s="16">
        <v>0.85</v>
      </c>
      <c r="J97" s="16">
        <v>7.0000000000000007E-2</v>
      </c>
      <c r="K97" s="16">
        <v>0.04</v>
      </c>
      <c r="L97" s="16">
        <v>0.03</v>
      </c>
      <c r="M97" s="16">
        <v>0.01</v>
      </c>
    </row>
    <row r="98" spans="1:13" hidden="1" x14ac:dyDescent="0.25">
      <c r="A98" s="114" t="s">
        <v>1416</v>
      </c>
      <c r="B98" s="96">
        <v>0.59</v>
      </c>
      <c r="C98" s="96">
        <v>0.41</v>
      </c>
      <c r="F98" t="s">
        <v>239</v>
      </c>
      <c r="G98" s="27">
        <v>0.52</v>
      </c>
      <c r="H98" s="26">
        <v>0.48</v>
      </c>
      <c r="I98" s="16">
        <v>0.1</v>
      </c>
      <c r="J98" s="16">
        <v>0.2</v>
      </c>
      <c r="K98" s="16">
        <v>0.3</v>
      </c>
      <c r="L98" s="16">
        <v>0.25</v>
      </c>
      <c r="M98" s="16">
        <v>0.15</v>
      </c>
    </row>
    <row r="99" spans="1:13" hidden="1" x14ac:dyDescent="0.25">
      <c r="A99" t="s">
        <v>1285</v>
      </c>
      <c r="B99" s="96">
        <v>0.61</v>
      </c>
      <c r="C99" s="96">
        <v>0.39</v>
      </c>
      <c r="F99" t="s">
        <v>240</v>
      </c>
      <c r="G99" s="27">
        <v>0.53</v>
      </c>
      <c r="H99" s="26">
        <v>0.47</v>
      </c>
      <c r="I99" s="16">
        <v>0.05</v>
      </c>
      <c r="J99" s="16">
        <v>0.2</v>
      </c>
      <c r="K99" s="16">
        <v>0.3</v>
      </c>
      <c r="L99" s="16">
        <v>0.25</v>
      </c>
      <c r="M99" s="16">
        <v>0.2</v>
      </c>
    </row>
    <row r="100" spans="1:13" hidden="1" x14ac:dyDescent="0.25">
      <c r="A100" t="s">
        <v>1145</v>
      </c>
      <c r="B100" s="45">
        <v>0.7</v>
      </c>
      <c r="C100" s="45">
        <v>0.3</v>
      </c>
      <c r="F100" t="s">
        <v>241</v>
      </c>
      <c r="G100" s="27">
        <v>0.5</v>
      </c>
      <c r="H100" s="26">
        <v>0.5</v>
      </c>
      <c r="I100" s="16">
        <v>0.1</v>
      </c>
      <c r="J100" s="16">
        <v>0.25</v>
      </c>
      <c r="K100" s="16">
        <v>0.3</v>
      </c>
      <c r="L100" s="16">
        <v>0.2</v>
      </c>
      <c r="M100" s="16">
        <v>0.15</v>
      </c>
    </row>
    <row r="101" spans="1:13" hidden="1" x14ac:dyDescent="0.25">
      <c r="A101" s="8" t="s">
        <v>1769</v>
      </c>
      <c r="B101" s="26">
        <v>0.59568575984926686</v>
      </c>
      <c r="C101" s="26">
        <v>0.40431424015073336</v>
      </c>
      <c r="F101" t="s">
        <v>242</v>
      </c>
      <c r="G101" s="27">
        <v>0.51</v>
      </c>
      <c r="H101" s="26">
        <v>0.49</v>
      </c>
      <c r="I101" s="16">
        <v>0.05</v>
      </c>
      <c r="J101" s="16">
        <v>0.2</v>
      </c>
      <c r="K101" s="16">
        <v>0.3</v>
      </c>
      <c r="L101" s="16">
        <v>0.25</v>
      </c>
      <c r="M101" s="16">
        <v>0.2</v>
      </c>
    </row>
    <row r="102" spans="1:13" hidden="1" x14ac:dyDescent="0.25">
      <c r="A102" t="s">
        <v>1317</v>
      </c>
      <c r="B102" s="26">
        <v>0.7</v>
      </c>
      <c r="C102" s="26">
        <v>0.3</v>
      </c>
      <c r="F102" t="s">
        <v>243</v>
      </c>
      <c r="G102" s="27">
        <v>0.54</v>
      </c>
      <c r="H102" s="26">
        <v>0.45999999999999996</v>
      </c>
      <c r="I102" s="16">
        <v>0.8</v>
      </c>
      <c r="J102" s="16">
        <v>7.0000000000000007E-2</v>
      </c>
      <c r="K102" s="16">
        <v>0.03</v>
      </c>
      <c r="L102" s="16">
        <v>0.05</v>
      </c>
      <c r="M102" s="16">
        <v>0.05</v>
      </c>
    </row>
    <row r="103" spans="1:13" hidden="1" x14ac:dyDescent="0.25">
      <c r="A103" t="s">
        <v>397</v>
      </c>
      <c r="B103" s="112">
        <v>0.64</v>
      </c>
      <c r="C103" s="112">
        <v>0.36</v>
      </c>
      <c r="F103" t="s">
        <v>244</v>
      </c>
      <c r="G103" s="27">
        <v>0.6</v>
      </c>
      <c r="H103" s="26">
        <v>0.4</v>
      </c>
      <c r="I103" s="14">
        <v>0.05</v>
      </c>
      <c r="J103" s="14">
        <v>0.15</v>
      </c>
      <c r="K103" s="14">
        <v>0.3</v>
      </c>
      <c r="L103" s="14">
        <v>0.25</v>
      </c>
      <c r="M103" s="14">
        <v>0.25</v>
      </c>
    </row>
    <row r="104" spans="1:13" hidden="1" x14ac:dyDescent="0.25">
      <c r="A104" s="58" t="s">
        <v>1530</v>
      </c>
      <c r="B104" s="110">
        <v>0.5</v>
      </c>
      <c r="C104" s="110">
        <v>0.5</v>
      </c>
      <c r="F104" t="s">
        <v>245</v>
      </c>
      <c r="G104" s="27">
        <v>0.57999999999999996</v>
      </c>
      <c r="H104" s="26">
        <v>0.42000000000000004</v>
      </c>
      <c r="I104" s="14">
        <v>0.05</v>
      </c>
      <c r="J104" s="14">
        <v>0.2</v>
      </c>
      <c r="K104" s="14">
        <v>0.3</v>
      </c>
      <c r="L104" s="14">
        <v>0.25</v>
      </c>
      <c r="M104" s="14">
        <v>0.2</v>
      </c>
    </row>
    <row r="105" spans="1:13" hidden="1" x14ac:dyDescent="0.25">
      <c r="A105" s="51" t="s">
        <v>273</v>
      </c>
      <c r="B105" s="112">
        <v>0.65</v>
      </c>
      <c r="C105" s="112">
        <v>0.35</v>
      </c>
    </row>
    <row r="106" spans="1:13" hidden="1" x14ac:dyDescent="0.25">
      <c r="A106" s="51" t="s">
        <v>1004</v>
      </c>
      <c r="B106" s="110">
        <v>0.55000000000000004</v>
      </c>
      <c r="C106" s="110">
        <v>0.45</v>
      </c>
    </row>
    <row r="107" spans="1:13" hidden="1" x14ac:dyDescent="0.25">
      <c r="A107" s="51" t="s">
        <v>1273</v>
      </c>
      <c r="B107" s="96">
        <v>0.61</v>
      </c>
      <c r="C107" s="96">
        <v>0.39</v>
      </c>
    </row>
    <row r="108" spans="1:13" hidden="1" x14ac:dyDescent="0.25">
      <c r="A108" s="51" t="s">
        <v>301</v>
      </c>
      <c r="B108" s="110">
        <v>0.53</v>
      </c>
      <c r="C108" s="110">
        <v>0.47</v>
      </c>
    </row>
    <row r="109" spans="1:13" hidden="1" x14ac:dyDescent="0.25">
      <c r="A109" s="51" t="s">
        <v>1159</v>
      </c>
      <c r="B109" s="45">
        <v>0.68</v>
      </c>
      <c r="C109" s="45">
        <v>0.32</v>
      </c>
    </row>
    <row r="110" spans="1:13" hidden="1" x14ac:dyDescent="0.25">
      <c r="A110" s="51" t="s">
        <v>1183</v>
      </c>
      <c r="B110" s="45">
        <v>0.67</v>
      </c>
      <c r="C110" s="45">
        <v>0.33</v>
      </c>
    </row>
    <row r="111" spans="1:13" hidden="1" x14ac:dyDescent="0.25">
      <c r="A111" s="51" t="s">
        <v>1218</v>
      </c>
      <c r="B111" s="45">
        <v>0.67</v>
      </c>
      <c r="C111" s="45">
        <v>0.33</v>
      </c>
    </row>
    <row r="112" spans="1:13" hidden="1" x14ac:dyDescent="0.25">
      <c r="A112" s="51" t="s">
        <v>300</v>
      </c>
      <c r="B112" s="110">
        <v>0.56999999999999995</v>
      </c>
      <c r="C112" s="110">
        <v>0.43000000000000005</v>
      </c>
    </row>
    <row r="113" spans="1:3" hidden="1" x14ac:dyDescent="0.25">
      <c r="A113" s="51" t="s">
        <v>338</v>
      </c>
      <c r="B113" s="110">
        <v>0.59</v>
      </c>
      <c r="C113" s="110">
        <v>0.41000000000000003</v>
      </c>
    </row>
    <row r="114" spans="1:3" hidden="1" x14ac:dyDescent="0.25">
      <c r="A114" s="51" t="s">
        <v>1114</v>
      </c>
      <c r="B114" s="112">
        <v>0.6</v>
      </c>
      <c r="C114" s="112">
        <v>0.4</v>
      </c>
    </row>
    <row r="115" spans="1:3" hidden="1" x14ac:dyDescent="0.25">
      <c r="A115" s="51" t="s">
        <v>357</v>
      </c>
      <c r="B115" s="112">
        <v>0.56000000000000005</v>
      </c>
      <c r="C115" s="110">
        <v>0.44</v>
      </c>
    </row>
    <row r="116" spans="1:3" x14ac:dyDescent="0.25">
      <c r="A116" s="51" t="s">
        <v>99</v>
      </c>
      <c r="B116" s="111">
        <v>0.66</v>
      </c>
      <c r="C116" s="111">
        <v>0.34</v>
      </c>
    </row>
    <row r="117" spans="1:3" x14ac:dyDescent="0.25">
      <c r="A117" s="51" t="s">
        <v>1147</v>
      </c>
      <c r="B117" s="45">
        <v>0.72</v>
      </c>
      <c r="C117" s="45">
        <v>0.28000000000000003</v>
      </c>
    </row>
    <row r="118" spans="1:3" x14ac:dyDescent="0.25">
      <c r="A118" s="51" t="s">
        <v>1021</v>
      </c>
      <c r="B118" s="26">
        <v>0.68500000000000005</v>
      </c>
      <c r="C118" s="26">
        <v>0.315</v>
      </c>
    </row>
    <row r="119" spans="1:3" hidden="1" x14ac:dyDescent="0.25">
      <c r="A119" s="115" t="s">
        <v>1751</v>
      </c>
      <c r="B119" s="26">
        <v>0.6</v>
      </c>
      <c r="C119" s="26">
        <v>0.4</v>
      </c>
    </row>
    <row r="120" spans="1:3" hidden="1" x14ac:dyDescent="0.25">
      <c r="A120" s="51" t="s">
        <v>983</v>
      </c>
      <c r="B120" s="112">
        <v>0.6</v>
      </c>
      <c r="C120" s="112">
        <v>0.4</v>
      </c>
    </row>
    <row r="121" spans="1:3" hidden="1" x14ac:dyDescent="0.25">
      <c r="A121" s="51" t="s">
        <v>1217</v>
      </c>
      <c r="B121" s="45">
        <v>0.66</v>
      </c>
      <c r="C121" s="45">
        <v>0.34</v>
      </c>
    </row>
    <row r="122" spans="1:3" hidden="1" x14ac:dyDescent="0.25">
      <c r="A122" s="51" t="s">
        <v>103</v>
      </c>
      <c r="B122" s="111">
        <v>0.71</v>
      </c>
      <c r="C122" s="111">
        <v>0.28999999999999998</v>
      </c>
    </row>
    <row r="123" spans="1:3" hidden="1" x14ac:dyDescent="0.25">
      <c r="A123" s="51" t="s">
        <v>848</v>
      </c>
      <c r="B123" s="110">
        <v>0.57999999999999996</v>
      </c>
      <c r="C123" s="110">
        <v>0.42000000000000004</v>
      </c>
    </row>
    <row r="124" spans="1:3" hidden="1" x14ac:dyDescent="0.25">
      <c r="A124" s="51" t="s">
        <v>239</v>
      </c>
      <c r="B124" s="110">
        <v>0.52</v>
      </c>
      <c r="C124" s="110">
        <v>0.48</v>
      </c>
    </row>
    <row r="125" spans="1:3" hidden="1" x14ac:dyDescent="0.25">
      <c r="A125" s="116" t="s">
        <v>197</v>
      </c>
      <c r="B125" s="111">
        <v>0.68</v>
      </c>
      <c r="C125" s="111">
        <v>0.32</v>
      </c>
    </row>
    <row r="126" spans="1:3" x14ac:dyDescent="0.25">
      <c r="A126" s="51" t="s">
        <v>1019</v>
      </c>
      <c r="B126" s="26">
        <v>0.68500000000000005</v>
      </c>
      <c r="C126" s="26">
        <v>0.315</v>
      </c>
    </row>
    <row r="127" spans="1:3" hidden="1" x14ac:dyDescent="0.25">
      <c r="A127" s="51" t="s">
        <v>278</v>
      </c>
      <c r="B127" s="110">
        <v>0.61</v>
      </c>
      <c r="C127" s="110">
        <v>0.39</v>
      </c>
    </row>
    <row r="128" spans="1:3" hidden="1" x14ac:dyDescent="0.25">
      <c r="A128" s="51" t="s">
        <v>335</v>
      </c>
      <c r="B128" s="110">
        <v>0.56000000000000005</v>
      </c>
      <c r="C128" s="110">
        <v>0.43999999999999995</v>
      </c>
    </row>
    <row r="129" spans="1:3" hidden="1" x14ac:dyDescent="0.25">
      <c r="A129" s="51" t="s">
        <v>1000</v>
      </c>
      <c r="B129" s="110">
        <v>0.65</v>
      </c>
      <c r="C129" s="110">
        <v>0.35</v>
      </c>
    </row>
    <row r="130" spans="1:3" hidden="1" x14ac:dyDescent="0.25">
      <c r="A130" s="115" t="s">
        <v>1525</v>
      </c>
      <c r="B130" s="110">
        <v>0.55000000000000004</v>
      </c>
      <c r="C130" s="110">
        <v>0.45</v>
      </c>
    </row>
    <row r="131" spans="1:3" hidden="1" x14ac:dyDescent="0.25">
      <c r="A131" s="51" t="s">
        <v>106</v>
      </c>
      <c r="B131" s="111">
        <v>0.5</v>
      </c>
      <c r="C131" s="111">
        <v>0.5</v>
      </c>
    </row>
    <row r="132" spans="1:3" hidden="1" x14ac:dyDescent="0.25">
      <c r="A132" s="51" t="s">
        <v>1052</v>
      </c>
      <c r="B132" s="26">
        <v>0.55000000000000004</v>
      </c>
      <c r="C132" s="26">
        <v>0.45</v>
      </c>
    </row>
    <row r="133" spans="1:3" hidden="1" x14ac:dyDescent="0.25">
      <c r="A133" s="51" t="s">
        <v>1080</v>
      </c>
      <c r="B133" s="112">
        <v>0.5</v>
      </c>
      <c r="C133" s="112">
        <v>0.5</v>
      </c>
    </row>
    <row r="134" spans="1:3" hidden="1" x14ac:dyDescent="0.25">
      <c r="A134" s="108" t="s">
        <v>1079</v>
      </c>
      <c r="B134" s="45">
        <v>0.6</v>
      </c>
      <c r="C134" s="45">
        <v>0.4</v>
      </c>
    </row>
    <row r="135" spans="1:3" hidden="1" x14ac:dyDescent="0.25">
      <c r="A135" s="51" t="s">
        <v>275</v>
      </c>
      <c r="B135" s="111">
        <v>0.55000000000000004</v>
      </c>
      <c r="C135" s="111">
        <v>0.45</v>
      </c>
    </row>
    <row r="136" spans="1:3" hidden="1" x14ac:dyDescent="0.25">
      <c r="A136" s="51" t="s">
        <v>398</v>
      </c>
      <c r="B136" s="111">
        <v>0.5</v>
      </c>
      <c r="C136" s="111">
        <v>0.5</v>
      </c>
    </row>
    <row r="137" spans="1:3" hidden="1" x14ac:dyDescent="0.25">
      <c r="A137" s="51" t="s">
        <v>1187</v>
      </c>
      <c r="B137" s="45">
        <v>0.5</v>
      </c>
      <c r="C137" s="45">
        <v>0.5</v>
      </c>
    </row>
    <row r="138" spans="1:3" hidden="1" x14ac:dyDescent="0.25">
      <c r="A138" s="51" t="s">
        <v>926</v>
      </c>
      <c r="B138" s="112">
        <v>0.55000000000000004</v>
      </c>
      <c r="C138" s="110">
        <v>0.45</v>
      </c>
    </row>
    <row r="139" spans="1:3" hidden="1" x14ac:dyDescent="0.25">
      <c r="A139" s="51" t="s">
        <v>908</v>
      </c>
      <c r="B139" s="112">
        <v>0.5</v>
      </c>
      <c r="C139" s="112">
        <v>0.5</v>
      </c>
    </row>
    <row r="140" spans="1:3" hidden="1" x14ac:dyDescent="0.25">
      <c r="A140" s="51" t="s">
        <v>276</v>
      </c>
      <c r="B140" s="110">
        <v>0.57999999999999996</v>
      </c>
      <c r="C140" s="110">
        <v>0.42000000000000004</v>
      </c>
    </row>
    <row r="141" spans="1:3" hidden="1" x14ac:dyDescent="0.25">
      <c r="A141" s="51" t="s">
        <v>924</v>
      </c>
      <c r="B141" s="112">
        <v>0.55000000000000004</v>
      </c>
      <c r="C141" s="112">
        <v>0.45</v>
      </c>
    </row>
    <row r="142" spans="1:3" x14ac:dyDescent="0.25">
      <c r="A142" s="51" t="s">
        <v>915</v>
      </c>
      <c r="B142" s="112">
        <v>0.55000000000000004</v>
      </c>
      <c r="C142" s="112">
        <v>0.45</v>
      </c>
    </row>
    <row r="143" spans="1:3" x14ac:dyDescent="0.25">
      <c r="A143" s="51" t="s">
        <v>1274</v>
      </c>
      <c r="B143" s="96">
        <v>0.56000000000000005</v>
      </c>
      <c r="C143" s="96">
        <v>0.44</v>
      </c>
    </row>
    <row r="144" spans="1:3" hidden="1" x14ac:dyDescent="0.25">
      <c r="A144" s="51" t="s">
        <v>914</v>
      </c>
      <c r="B144" s="111">
        <v>0.6</v>
      </c>
      <c r="C144" s="111">
        <v>0.4</v>
      </c>
    </row>
    <row r="145" spans="1:3" hidden="1" x14ac:dyDescent="0.25">
      <c r="A145" s="51" t="s">
        <v>901</v>
      </c>
      <c r="B145" s="111">
        <v>0.56000000000000005</v>
      </c>
      <c r="C145" s="111">
        <v>0.44</v>
      </c>
    </row>
    <row r="146" spans="1:3" hidden="1" x14ac:dyDescent="0.25">
      <c r="A146" s="115" t="s">
        <v>1752</v>
      </c>
      <c r="B146" s="26">
        <v>0.57999999999999996</v>
      </c>
      <c r="C146" s="26">
        <v>0.42</v>
      </c>
    </row>
    <row r="147" spans="1:3" hidden="1" x14ac:dyDescent="0.25">
      <c r="A147" s="51" t="s">
        <v>108</v>
      </c>
      <c r="B147" s="111">
        <v>0.54</v>
      </c>
      <c r="C147" s="111">
        <v>0.46</v>
      </c>
    </row>
    <row r="148" spans="1:3" hidden="1" x14ac:dyDescent="0.25">
      <c r="A148" s="51" t="s">
        <v>277</v>
      </c>
      <c r="B148" s="110">
        <v>0.61</v>
      </c>
      <c r="C148" s="110">
        <v>0.39</v>
      </c>
    </row>
    <row r="149" spans="1:3" x14ac:dyDescent="0.25">
      <c r="A149" s="51" t="s">
        <v>1176</v>
      </c>
      <c r="B149" s="45">
        <v>0.6</v>
      </c>
      <c r="C149" s="45">
        <v>0.4</v>
      </c>
    </row>
    <row r="150" spans="1:3" hidden="1" x14ac:dyDescent="0.25">
      <c r="A150" s="51" t="s">
        <v>972</v>
      </c>
      <c r="B150" s="112">
        <v>0.6</v>
      </c>
      <c r="C150" s="112">
        <v>0.4</v>
      </c>
    </row>
    <row r="151" spans="1:3" hidden="1" x14ac:dyDescent="0.25">
      <c r="A151" s="51" t="s">
        <v>944</v>
      </c>
      <c r="B151" s="110">
        <v>0.64</v>
      </c>
      <c r="C151" s="110">
        <v>0.36</v>
      </c>
    </row>
    <row r="152" spans="1:3" hidden="1" x14ac:dyDescent="0.25">
      <c r="A152" s="51" t="s">
        <v>892</v>
      </c>
      <c r="B152" s="110">
        <v>0.64</v>
      </c>
      <c r="C152" s="110">
        <v>0.36</v>
      </c>
    </row>
    <row r="153" spans="1:3" hidden="1" x14ac:dyDescent="0.25">
      <c r="A153" t="s">
        <v>992</v>
      </c>
      <c r="B153" s="112">
        <v>0.45</v>
      </c>
      <c r="C153" s="112">
        <v>0.55000000000000004</v>
      </c>
    </row>
    <row r="154" spans="1:3" hidden="1" x14ac:dyDescent="0.25">
      <c r="A154" s="116" t="s">
        <v>196</v>
      </c>
      <c r="B154" s="111">
        <v>0.57999999999999996</v>
      </c>
      <c r="C154" s="111">
        <v>0.42</v>
      </c>
    </row>
    <row r="155" spans="1:3" hidden="1" x14ac:dyDescent="0.25">
      <c r="A155" s="116" t="s">
        <v>199</v>
      </c>
      <c r="B155" s="111">
        <v>0.56000000000000005</v>
      </c>
      <c r="C155" s="111">
        <v>0.44</v>
      </c>
    </row>
    <row r="156" spans="1:3" hidden="1" x14ac:dyDescent="0.25">
      <c r="A156" s="51" t="s">
        <v>267</v>
      </c>
      <c r="B156" s="111">
        <v>0.54</v>
      </c>
      <c r="C156" s="111">
        <v>0.46</v>
      </c>
    </row>
    <row r="157" spans="1:3" hidden="1" x14ac:dyDescent="0.25">
      <c r="A157" t="s">
        <v>1043</v>
      </c>
      <c r="B157" s="112">
        <v>0.46</v>
      </c>
      <c r="C157" s="110">
        <v>0.54</v>
      </c>
    </row>
    <row r="158" spans="1:3" x14ac:dyDescent="0.25">
      <c r="A158" s="51" t="s">
        <v>872</v>
      </c>
      <c r="B158" s="111">
        <v>0.62</v>
      </c>
      <c r="C158" s="111">
        <v>0.38</v>
      </c>
    </row>
    <row r="159" spans="1:3" hidden="1" x14ac:dyDescent="0.25">
      <c r="A159" s="51" t="s">
        <v>424</v>
      </c>
      <c r="B159" s="111">
        <v>0.57999999999999996</v>
      </c>
      <c r="C159" s="111">
        <v>0.42</v>
      </c>
    </row>
    <row r="160" spans="1:3" hidden="1" x14ac:dyDescent="0.25">
      <c r="A160" s="115" t="s">
        <v>1469</v>
      </c>
      <c r="B160" s="26">
        <v>0.57999999999999996</v>
      </c>
      <c r="C160" s="26">
        <v>0.42</v>
      </c>
    </row>
    <row r="161" spans="1:3" hidden="1" x14ac:dyDescent="0.25">
      <c r="A161" s="51" t="s">
        <v>869</v>
      </c>
      <c r="B161" s="112">
        <v>0.5</v>
      </c>
      <c r="C161" s="112">
        <v>0.5</v>
      </c>
    </row>
    <row r="162" spans="1:3" hidden="1" x14ac:dyDescent="0.25">
      <c r="A162" s="51" t="s">
        <v>940</v>
      </c>
      <c r="B162" s="26">
        <v>0.57999999999999996</v>
      </c>
      <c r="C162" s="26">
        <v>0.42</v>
      </c>
    </row>
    <row r="163" spans="1:3" hidden="1" x14ac:dyDescent="0.25">
      <c r="A163" s="51" t="s">
        <v>1278</v>
      </c>
      <c r="B163" s="96">
        <v>0.59</v>
      </c>
      <c r="C163" s="96">
        <v>0.41</v>
      </c>
    </row>
    <row r="164" spans="1:3" x14ac:dyDescent="0.25">
      <c r="A164" s="51" t="s">
        <v>510</v>
      </c>
      <c r="B164" s="110">
        <v>0.7</v>
      </c>
      <c r="C164" s="110">
        <v>0.3</v>
      </c>
    </row>
    <row r="165" spans="1:3" hidden="1" x14ac:dyDescent="0.25">
      <c r="A165" s="51" t="s">
        <v>997</v>
      </c>
      <c r="B165" s="110">
        <v>0.5</v>
      </c>
      <c r="C165" s="110">
        <v>0.5</v>
      </c>
    </row>
    <row r="166" spans="1:3" hidden="1" x14ac:dyDescent="0.25">
      <c r="A166" s="51" t="s">
        <v>1020</v>
      </c>
      <c r="B166" s="26">
        <v>0.55000000000000004</v>
      </c>
      <c r="C166" s="26">
        <v>0.45</v>
      </c>
    </row>
    <row r="167" spans="1:3" hidden="1" x14ac:dyDescent="0.25">
      <c r="A167" s="51" t="s">
        <v>912</v>
      </c>
      <c r="B167" s="112">
        <v>0.6</v>
      </c>
      <c r="C167" s="112">
        <v>0.4</v>
      </c>
    </row>
    <row r="168" spans="1:3" hidden="1" x14ac:dyDescent="0.25">
      <c r="A168" s="51" t="s">
        <v>888</v>
      </c>
      <c r="B168" s="110">
        <v>0.64</v>
      </c>
      <c r="C168" s="110">
        <v>0.36</v>
      </c>
    </row>
    <row r="169" spans="1:3" hidden="1" x14ac:dyDescent="0.25">
      <c r="A169" s="115" t="s">
        <v>1471</v>
      </c>
      <c r="B169" s="26">
        <v>0.45</v>
      </c>
      <c r="C169" s="26">
        <v>0.55000000000000004</v>
      </c>
    </row>
    <row r="170" spans="1:3" hidden="1" x14ac:dyDescent="0.25">
      <c r="A170" s="51" t="s">
        <v>1297</v>
      </c>
      <c r="B170" s="45">
        <v>0.56000000000000005</v>
      </c>
      <c r="C170" s="45">
        <v>0.44</v>
      </c>
    </row>
    <row r="171" spans="1:3" hidden="1" x14ac:dyDescent="0.25">
      <c r="A171" s="51" t="s">
        <v>110</v>
      </c>
      <c r="B171" s="111">
        <v>0.45</v>
      </c>
      <c r="C171" s="111">
        <v>0.55000000000000004</v>
      </c>
    </row>
    <row r="172" spans="1:3" x14ac:dyDescent="0.25">
      <c r="A172" s="51" t="s">
        <v>881</v>
      </c>
      <c r="B172" s="111">
        <v>0.6</v>
      </c>
      <c r="C172" s="111">
        <v>0.4</v>
      </c>
    </row>
    <row r="173" spans="1:3" x14ac:dyDescent="0.25">
      <c r="A173" s="51" t="s">
        <v>1030</v>
      </c>
      <c r="B173" s="112">
        <v>0.6</v>
      </c>
      <c r="C173" s="110">
        <v>0.4</v>
      </c>
    </row>
    <row r="174" spans="1:3" x14ac:dyDescent="0.25">
      <c r="A174" s="51" t="s">
        <v>927</v>
      </c>
      <c r="B174" s="112">
        <v>0.6</v>
      </c>
      <c r="C174" s="110">
        <v>0.4</v>
      </c>
    </row>
    <row r="175" spans="1:3" hidden="1" x14ac:dyDescent="0.25">
      <c r="A175" t="s">
        <v>1154</v>
      </c>
      <c r="B175" s="45">
        <v>0.65</v>
      </c>
      <c r="C175" s="45">
        <v>0.35</v>
      </c>
    </row>
    <row r="176" spans="1:3" hidden="1" x14ac:dyDescent="0.25">
      <c r="A176" s="115" t="s">
        <v>1466</v>
      </c>
      <c r="B176" s="26">
        <v>0.55693701811086316</v>
      </c>
      <c r="C176" s="26">
        <v>0.44306298188913712</v>
      </c>
    </row>
    <row r="177" spans="1:3" hidden="1" x14ac:dyDescent="0.25">
      <c r="A177" s="51" t="s">
        <v>1547</v>
      </c>
      <c r="B177" s="110">
        <v>0.6</v>
      </c>
      <c r="C177" s="110">
        <v>0.4</v>
      </c>
    </row>
    <row r="178" spans="1:3" hidden="1" x14ac:dyDescent="0.25">
      <c r="A178" s="51" t="s">
        <v>111</v>
      </c>
      <c r="B178" s="111">
        <v>0.6</v>
      </c>
      <c r="C178" s="111">
        <v>0.4</v>
      </c>
    </row>
    <row r="179" spans="1:3" hidden="1" x14ac:dyDescent="0.25">
      <c r="A179" s="51" t="s">
        <v>1027</v>
      </c>
      <c r="B179" s="112">
        <v>0.55000000000000004</v>
      </c>
      <c r="C179" s="110">
        <v>0.45</v>
      </c>
    </row>
    <row r="180" spans="1:3" hidden="1" x14ac:dyDescent="0.25">
      <c r="A180" s="51" t="s">
        <v>1026</v>
      </c>
      <c r="B180" s="112">
        <v>0.64</v>
      </c>
      <c r="C180" s="110">
        <v>0.36</v>
      </c>
    </row>
    <row r="181" spans="1:3" x14ac:dyDescent="0.25">
      <c r="A181" s="51" t="s">
        <v>1185</v>
      </c>
      <c r="B181" s="45">
        <v>0.65</v>
      </c>
      <c r="C181" s="45">
        <v>0.35</v>
      </c>
    </row>
    <row r="182" spans="1:3" hidden="1" x14ac:dyDescent="0.25">
      <c r="A182" s="51" t="s">
        <v>1186</v>
      </c>
      <c r="B182" s="45">
        <v>0.55000000000000004</v>
      </c>
      <c r="C182" s="45">
        <v>0.45</v>
      </c>
    </row>
    <row r="183" spans="1:3" hidden="1" x14ac:dyDescent="0.25">
      <c r="A183" s="51" t="s">
        <v>1121</v>
      </c>
      <c r="B183" s="45">
        <v>0.55000000000000004</v>
      </c>
      <c r="C183" s="45">
        <v>0.45</v>
      </c>
    </row>
    <row r="184" spans="1:3" hidden="1" x14ac:dyDescent="0.25">
      <c r="A184" s="51" t="s">
        <v>1152</v>
      </c>
      <c r="B184" s="45">
        <v>0.55000000000000004</v>
      </c>
      <c r="C184" s="45">
        <v>0.45</v>
      </c>
    </row>
    <row r="185" spans="1:3" hidden="1" x14ac:dyDescent="0.25">
      <c r="A185" s="51" t="s">
        <v>1006</v>
      </c>
      <c r="B185" s="110">
        <v>0.5</v>
      </c>
      <c r="C185" s="110">
        <v>0.5</v>
      </c>
    </row>
    <row r="186" spans="1:3" hidden="1" x14ac:dyDescent="0.25">
      <c r="A186" s="51" t="s">
        <v>935</v>
      </c>
      <c r="B186" s="26">
        <v>0.55000000000000004</v>
      </c>
      <c r="C186" s="26">
        <v>0.45</v>
      </c>
    </row>
    <row r="187" spans="1:3" hidden="1" x14ac:dyDescent="0.25">
      <c r="A187" s="51" t="s">
        <v>993</v>
      </c>
      <c r="B187" s="112">
        <v>0.6</v>
      </c>
      <c r="C187" s="112">
        <v>0.4</v>
      </c>
    </row>
    <row r="188" spans="1:3" hidden="1" x14ac:dyDescent="0.25">
      <c r="A188" s="51" t="s">
        <v>113</v>
      </c>
      <c r="B188" s="111">
        <v>0.55000000000000004</v>
      </c>
      <c r="C188" s="111">
        <v>0.45</v>
      </c>
    </row>
    <row r="189" spans="1:3" hidden="1" x14ac:dyDescent="0.25">
      <c r="A189" s="51" t="s">
        <v>302</v>
      </c>
      <c r="B189" s="110">
        <v>0.52</v>
      </c>
      <c r="C189" s="110">
        <v>0.48</v>
      </c>
    </row>
    <row r="190" spans="1:3" hidden="1" x14ac:dyDescent="0.25">
      <c r="A190" s="51" t="s">
        <v>1005</v>
      </c>
      <c r="B190" s="111">
        <v>0.5</v>
      </c>
      <c r="C190" s="111">
        <v>0.5</v>
      </c>
    </row>
    <row r="191" spans="1:3" hidden="1" x14ac:dyDescent="0.25">
      <c r="A191" s="51" t="s">
        <v>485</v>
      </c>
      <c r="B191" s="110">
        <v>0.55000000000000004</v>
      </c>
      <c r="C191" s="110">
        <v>0.45</v>
      </c>
    </row>
    <row r="192" spans="1:3" hidden="1" x14ac:dyDescent="0.25">
      <c r="A192" s="51" t="s">
        <v>1015</v>
      </c>
      <c r="B192" s="26">
        <v>0.57000000000000006</v>
      </c>
      <c r="C192" s="26">
        <v>0.43000000000000005</v>
      </c>
    </row>
    <row r="193" spans="1:3" hidden="1" x14ac:dyDescent="0.25">
      <c r="A193" t="s">
        <v>1003</v>
      </c>
      <c r="B193" s="110">
        <v>0.55000000000000004</v>
      </c>
      <c r="C193" s="110">
        <v>0.45</v>
      </c>
    </row>
    <row r="194" spans="1:3" hidden="1" x14ac:dyDescent="0.25">
      <c r="A194" t="s">
        <v>295</v>
      </c>
      <c r="B194" s="110">
        <v>0.56999999999999995</v>
      </c>
      <c r="C194" s="110">
        <v>0.43000000000000005</v>
      </c>
    </row>
    <row r="195" spans="1:3" hidden="1" x14ac:dyDescent="0.25">
      <c r="A195" t="s">
        <v>452</v>
      </c>
      <c r="B195" s="110">
        <v>0.5</v>
      </c>
      <c r="C195" s="110">
        <v>0.5</v>
      </c>
    </row>
    <row r="196" spans="1:3" hidden="1" x14ac:dyDescent="0.25">
      <c r="A196" t="s">
        <v>483</v>
      </c>
      <c r="B196" s="110">
        <v>0.57999999999999996</v>
      </c>
      <c r="C196" s="110">
        <v>0.42</v>
      </c>
    </row>
    <row r="197" spans="1:3" hidden="1" x14ac:dyDescent="0.25">
      <c r="A197" t="s">
        <v>421</v>
      </c>
      <c r="B197" s="110">
        <v>0.57999999999999996</v>
      </c>
      <c r="C197" s="110">
        <v>0.42000000000000004</v>
      </c>
    </row>
    <row r="198" spans="1:3" hidden="1" x14ac:dyDescent="0.25">
      <c r="A198" t="s">
        <v>116</v>
      </c>
      <c r="B198" s="111">
        <v>0.48</v>
      </c>
      <c r="C198" s="111">
        <v>0.52</v>
      </c>
    </row>
    <row r="199" spans="1:3" hidden="1" x14ac:dyDescent="0.25">
      <c r="A199" t="s">
        <v>484</v>
      </c>
      <c r="B199" s="110">
        <v>0.48</v>
      </c>
      <c r="C199" s="110">
        <v>0.52</v>
      </c>
    </row>
    <row r="200" spans="1:3" hidden="1" x14ac:dyDescent="0.25">
      <c r="A200" t="s">
        <v>120</v>
      </c>
      <c r="B200" s="111">
        <v>0.5</v>
      </c>
      <c r="C200" s="111">
        <v>0.5</v>
      </c>
    </row>
    <row r="201" spans="1:3" hidden="1" x14ac:dyDescent="0.25">
      <c r="A201" t="s">
        <v>898</v>
      </c>
      <c r="B201" s="110">
        <v>0.5</v>
      </c>
      <c r="C201" s="110">
        <v>0.5</v>
      </c>
    </row>
    <row r="202" spans="1:3" hidden="1" x14ac:dyDescent="0.25">
      <c r="A202" t="s">
        <v>356</v>
      </c>
      <c r="B202" s="111">
        <v>0.5</v>
      </c>
      <c r="C202" s="111">
        <v>0.5</v>
      </c>
    </row>
    <row r="203" spans="1:3" hidden="1" x14ac:dyDescent="0.25">
      <c r="A203" t="s">
        <v>1257</v>
      </c>
      <c r="B203" s="96">
        <v>0.56999999999999995</v>
      </c>
      <c r="C203" s="96">
        <v>0.43</v>
      </c>
    </row>
    <row r="204" spans="1:3" hidden="1" x14ac:dyDescent="0.25">
      <c r="A204" t="s">
        <v>1282</v>
      </c>
      <c r="B204" s="96">
        <v>0.53</v>
      </c>
      <c r="C204" s="96">
        <v>0.47</v>
      </c>
    </row>
    <row r="205" spans="1:3" hidden="1" x14ac:dyDescent="0.25">
      <c r="A205" t="s">
        <v>977</v>
      </c>
      <c r="B205" s="112">
        <v>0.55000000000000004</v>
      </c>
      <c r="C205" s="112">
        <v>0.45</v>
      </c>
    </row>
    <row r="206" spans="1:3" x14ac:dyDescent="0.25">
      <c r="A206" t="s">
        <v>975</v>
      </c>
      <c r="B206" s="112">
        <v>0.55000000000000004</v>
      </c>
      <c r="C206" s="112">
        <v>0.45</v>
      </c>
    </row>
    <row r="207" spans="1:3" hidden="1" x14ac:dyDescent="0.25">
      <c r="A207" t="s">
        <v>866</v>
      </c>
      <c r="B207" s="112">
        <v>0.63</v>
      </c>
      <c r="C207" s="112">
        <v>0.37</v>
      </c>
    </row>
    <row r="208" spans="1:3" hidden="1" x14ac:dyDescent="0.25">
      <c r="A208" t="s">
        <v>990</v>
      </c>
      <c r="B208" s="112">
        <v>0.5</v>
      </c>
      <c r="C208" s="112">
        <v>0.5</v>
      </c>
    </row>
    <row r="209" spans="1:3" hidden="1" x14ac:dyDescent="0.25">
      <c r="A209" t="s">
        <v>402</v>
      </c>
      <c r="B209" s="110">
        <v>0.55000000000000004</v>
      </c>
      <c r="C209" s="110">
        <v>0.45</v>
      </c>
    </row>
    <row r="210" spans="1:3" hidden="1" x14ac:dyDescent="0.25">
      <c r="A210" t="s">
        <v>890</v>
      </c>
      <c r="B210" s="112">
        <v>0.55000000000000004</v>
      </c>
      <c r="C210" s="112">
        <v>0.45</v>
      </c>
    </row>
    <row r="211" spans="1:3" hidden="1" x14ac:dyDescent="0.25">
      <c r="A211" t="s">
        <v>1311</v>
      </c>
      <c r="B211" s="111">
        <v>0.5</v>
      </c>
      <c r="C211" s="111">
        <v>0.5</v>
      </c>
    </row>
    <row r="212" spans="1:3" hidden="1" x14ac:dyDescent="0.25">
      <c r="A212" s="8" t="s">
        <v>1768</v>
      </c>
      <c r="B212" s="26">
        <v>0.53285714285714281</v>
      </c>
      <c r="C212" s="26">
        <v>0.46714285714285714</v>
      </c>
    </row>
    <row r="213" spans="1:3" hidden="1" x14ac:dyDescent="0.25">
      <c r="A213" s="44" t="s">
        <v>1749</v>
      </c>
      <c r="B213" s="26">
        <v>0.5</v>
      </c>
      <c r="C213" s="26">
        <v>0.5</v>
      </c>
    </row>
    <row r="214" spans="1:3" hidden="1" x14ac:dyDescent="0.25">
      <c r="A214" t="s">
        <v>1749</v>
      </c>
      <c r="B214" s="26">
        <v>0.5</v>
      </c>
      <c r="C214" s="26">
        <v>0.5</v>
      </c>
    </row>
    <row r="215" spans="1:3" hidden="1" x14ac:dyDescent="0.25">
      <c r="A215" t="s">
        <v>985</v>
      </c>
      <c r="B215" s="110">
        <v>0.55000000000000004</v>
      </c>
      <c r="C215" s="110">
        <v>0.45</v>
      </c>
    </row>
    <row r="216" spans="1:3" hidden="1" x14ac:dyDescent="0.25">
      <c r="A216" t="s">
        <v>332</v>
      </c>
      <c r="B216" s="110">
        <v>0.53</v>
      </c>
      <c r="C216" s="110">
        <v>0.47</v>
      </c>
    </row>
    <row r="217" spans="1:3" x14ac:dyDescent="0.25">
      <c r="A217" t="s">
        <v>860</v>
      </c>
      <c r="B217" s="111">
        <v>0.6</v>
      </c>
      <c r="C217" s="111">
        <v>0.4</v>
      </c>
    </row>
    <row r="218" spans="1:3" hidden="1" x14ac:dyDescent="0.25">
      <c r="A218" t="s">
        <v>122</v>
      </c>
      <c r="B218" s="111">
        <v>0.65</v>
      </c>
      <c r="C218" s="111">
        <v>0.35</v>
      </c>
    </row>
    <row r="219" spans="1:3" hidden="1" x14ac:dyDescent="0.25">
      <c r="A219" s="8" t="s">
        <v>1771</v>
      </c>
      <c r="B219" s="26">
        <v>0.53943214381743754</v>
      </c>
      <c r="C219" s="26">
        <v>0.46056785618256246</v>
      </c>
    </row>
    <row r="220" spans="1:3" hidden="1" x14ac:dyDescent="0.25">
      <c r="A220" t="s">
        <v>917</v>
      </c>
      <c r="B220" s="112">
        <v>0.55000000000000004</v>
      </c>
      <c r="C220" s="112">
        <v>0.45</v>
      </c>
    </row>
    <row r="221" spans="1:3" hidden="1" x14ac:dyDescent="0.25">
      <c r="A221" t="s">
        <v>1194</v>
      </c>
      <c r="B221" s="45">
        <v>0.47</v>
      </c>
      <c r="C221" s="45">
        <v>0.53</v>
      </c>
    </row>
    <row r="222" spans="1:3" hidden="1" x14ac:dyDescent="0.25">
      <c r="A222" t="s">
        <v>488</v>
      </c>
      <c r="B222" s="110">
        <v>0.42</v>
      </c>
      <c r="C222" s="110">
        <v>0.57999999999999996</v>
      </c>
    </row>
    <row r="223" spans="1:3" hidden="1" x14ac:dyDescent="0.25">
      <c r="A223" t="s">
        <v>861</v>
      </c>
      <c r="B223" s="112">
        <v>0.42</v>
      </c>
      <c r="C223" s="112">
        <v>0.57999999999999996</v>
      </c>
    </row>
    <row r="224" spans="1:3" hidden="1" x14ac:dyDescent="0.25">
      <c r="A224" s="44" t="s">
        <v>1083</v>
      </c>
      <c r="B224" s="45">
        <v>0.5</v>
      </c>
      <c r="C224" s="45">
        <v>0.5</v>
      </c>
    </row>
    <row r="225" spans="1:3" hidden="1" x14ac:dyDescent="0.25">
      <c r="A225" t="s">
        <v>296</v>
      </c>
      <c r="B225" s="110">
        <v>0.52</v>
      </c>
      <c r="C225" s="110">
        <v>0.48</v>
      </c>
    </row>
    <row r="226" spans="1:3" hidden="1" x14ac:dyDescent="0.25">
      <c r="A226" s="44" t="s">
        <v>1750</v>
      </c>
      <c r="B226" s="26">
        <v>0.55000000000000004</v>
      </c>
      <c r="C226" s="26">
        <v>0.45</v>
      </c>
    </row>
    <row r="227" spans="1:3" hidden="1" x14ac:dyDescent="0.25">
      <c r="A227" s="58" t="s">
        <v>1750</v>
      </c>
      <c r="B227" s="26">
        <v>0.55000000000000004</v>
      </c>
      <c r="C227" s="26">
        <v>0.45</v>
      </c>
    </row>
    <row r="228" spans="1:3" hidden="1" x14ac:dyDescent="0.25">
      <c r="A228" t="s">
        <v>1549</v>
      </c>
      <c r="B228" s="110">
        <v>0.45</v>
      </c>
      <c r="C228" s="110">
        <v>0.55000000000000004</v>
      </c>
    </row>
    <row r="229" spans="1:3" hidden="1" x14ac:dyDescent="0.25">
      <c r="A229" s="58" t="s">
        <v>1753</v>
      </c>
      <c r="B229" s="110">
        <v>0.45</v>
      </c>
      <c r="C229" s="110">
        <v>0.55000000000000004</v>
      </c>
    </row>
    <row r="230" spans="1:3" hidden="1" x14ac:dyDescent="0.25">
      <c r="A230" s="58" t="s">
        <v>1548</v>
      </c>
      <c r="B230" s="110">
        <v>0.4</v>
      </c>
      <c r="C230" s="110">
        <v>0.6</v>
      </c>
    </row>
    <row r="231" spans="1:3" hidden="1" x14ac:dyDescent="0.25">
      <c r="A231" t="s">
        <v>1286</v>
      </c>
      <c r="B231" s="96">
        <v>0.52</v>
      </c>
      <c r="C231" s="96">
        <v>0.48</v>
      </c>
    </row>
    <row r="232" spans="1:3" hidden="1" x14ac:dyDescent="0.25">
      <c r="A232" t="s">
        <v>263</v>
      </c>
      <c r="B232" s="110">
        <v>0.69</v>
      </c>
      <c r="C232" s="110">
        <v>0.31</v>
      </c>
    </row>
    <row r="233" spans="1:3" hidden="1" x14ac:dyDescent="0.25">
      <c r="A233" t="s">
        <v>1527</v>
      </c>
      <c r="B233" s="110">
        <v>0.55000000000000004</v>
      </c>
      <c r="C233" s="110">
        <v>0.45</v>
      </c>
    </row>
    <row r="234" spans="1:3" hidden="1" x14ac:dyDescent="0.25">
      <c r="A234" t="s">
        <v>1526</v>
      </c>
      <c r="B234" s="110">
        <v>0.55000000000000004</v>
      </c>
      <c r="C234" s="110">
        <v>0.45</v>
      </c>
    </row>
    <row r="235" spans="1:3" hidden="1" x14ac:dyDescent="0.25">
      <c r="A235" t="s">
        <v>1318</v>
      </c>
      <c r="B235" s="111">
        <v>0.45</v>
      </c>
      <c r="C235" s="111">
        <v>0.55000000000000004</v>
      </c>
    </row>
    <row r="236" spans="1:3" hidden="1" x14ac:dyDescent="0.25">
      <c r="A236" t="s">
        <v>1153</v>
      </c>
      <c r="B236" s="45">
        <v>0.52</v>
      </c>
      <c r="C236" s="45">
        <v>0.48</v>
      </c>
    </row>
    <row r="237" spans="1:3" hidden="1" x14ac:dyDescent="0.25">
      <c r="A237" t="s">
        <v>1272</v>
      </c>
      <c r="B237" s="96">
        <v>0.48</v>
      </c>
      <c r="C237" s="96">
        <v>0.52</v>
      </c>
    </row>
    <row r="238" spans="1:3" hidden="1" x14ac:dyDescent="0.25">
      <c r="A238" s="51" t="s">
        <v>1301</v>
      </c>
      <c r="B238" s="45">
        <v>0.55000000000000004</v>
      </c>
      <c r="C238" s="45">
        <v>0.45</v>
      </c>
    </row>
    <row r="239" spans="1:3" hidden="1" x14ac:dyDescent="0.25">
      <c r="A239" t="s">
        <v>1197</v>
      </c>
      <c r="B239" s="45">
        <v>0.57999999999999996</v>
      </c>
      <c r="C239" s="45">
        <v>0.42</v>
      </c>
    </row>
    <row r="240" spans="1:3" hidden="1" x14ac:dyDescent="0.25">
      <c r="A240" s="51" t="s">
        <v>1048</v>
      </c>
      <c r="B240" s="26">
        <v>0.5</v>
      </c>
      <c r="C240" s="26">
        <v>0.5</v>
      </c>
    </row>
    <row r="241" spans="1:3" ht="30" hidden="1" x14ac:dyDescent="0.25">
      <c r="A241" s="108" t="s">
        <v>1113</v>
      </c>
      <c r="B241" s="45">
        <v>0.45</v>
      </c>
      <c r="C241" s="45">
        <v>0.55000000000000004</v>
      </c>
    </row>
    <row r="242" spans="1:3" hidden="1" x14ac:dyDescent="0.25">
      <c r="A242" s="51" t="s">
        <v>1060</v>
      </c>
      <c r="B242" s="112">
        <v>0.45</v>
      </c>
      <c r="C242" s="112">
        <v>0.55000000000000004</v>
      </c>
    </row>
    <row r="243" spans="1:3" hidden="1" x14ac:dyDescent="0.25">
      <c r="A243" s="58" t="s">
        <v>1423</v>
      </c>
      <c r="B243" s="26">
        <v>0.55654284573453616</v>
      </c>
      <c r="C243" s="26">
        <v>0.44345715426546423</v>
      </c>
    </row>
    <row r="244" spans="1:3" hidden="1" x14ac:dyDescent="0.25">
      <c r="A244" s="51" t="s">
        <v>1303</v>
      </c>
      <c r="B244" s="45">
        <v>0.5</v>
      </c>
      <c r="C244" s="45">
        <v>0.5</v>
      </c>
    </row>
    <row r="245" spans="1:3" hidden="1" x14ac:dyDescent="0.25">
      <c r="A245" s="51" t="s">
        <v>124</v>
      </c>
      <c r="B245" s="111">
        <v>0.45</v>
      </c>
      <c r="C245" s="111">
        <v>0.55000000000000004</v>
      </c>
    </row>
    <row r="246" spans="1:3" hidden="1" x14ac:dyDescent="0.25">
      <c r="A246" s="51" t="s">
        <v>960</v>
      </c>
      <c r="B246" s="112">
        <v>0.55000000000000004</v>
      </c>
      <c r="C246" s="112">
        <v>0.45</v>
      </c>
    </row>
    <row r="247" spans="1:3" hidden="1" x14ac:dyDescent="0.25">
      <c r="A247" s="51" t="s">
        <v>1053</v>
      </c>
      <c r="B247" s="26">
        <v>0.5</v>
      </c>
      <c r="C247" s="26">
        <v>0.5</v>
      </c>
    </row>
    <row r="248" spans="1:3" hidden="1" x14ac:dyDescent="0.25">
      <c r="A248" s="108" t="s">
        <v>1112</v>
      </c>
      <c r="B248" s="45">
        <v>0.62</v>
      </c>
      <c r="C248" s="45">
        <v>0.38</v>
      </c>
    </row>
    <row r="249" spans="1:3" hidden="1" x14ac:dyDescent="0.25">
      <c r="A249" s="51" t="s">
        <v>962</v>
      </c>
      <c r="B249" s="112">
        <v>0.55000000000000004</v>
      </c>
      <c r="C249" s="112">
        <v>0.45</v>
      </c>
    </row>
    <row r="250" spans="1:3" hidden="1" x14ac:dyDescent="0.25">
      <c r="A250" t="s">
        <v>490</v>
      </c>
      <c r="B250" s="110">
        <v>0.5</v>
      </c>
      <c r="C250" s="110">
        <v>0.5</v>
      </c>
    </row>
    <row r="251" spans="1:3" hidden="1" x14ac:dyDescent="0.25">
      <c r="A251" s="51" t="s">
        <v>1085</v>
      </c>
      <c r="B251" s="112">
        <v>0.5</v>
      </c>
      <c r="C251" s="112">
        <v>0.5</v>
      </c>
    </row>
    <row r="252" spans="1:3" hidden="1" x14ac:dyDescent="0.25">
      <c r="A252" s="51" t="s">
        <v>1077</v>
      </c>
      <c r="B252" s="112">
        <v>0.55000000000000004</v>
      </c>
      <c r="C252" s="112">
        <v>0.45</v>
      </c>
    </row>
    <row r="253" spans="1:3" hidden="1" x14ac:dyDescent="0.25">
      <c r="A253" s="51" t="s">
        <v>1117</v>
      </c>
      <c r="B253" s="26">
        <v>0.51</v>
      </c>
      <c r="C253" s="26">
        <v>0.49</v>
      </c>
    </row>
    <row r="254" spans="1:3" hidden="1" x14ac:dyDescent="0.25">
      <c r="A254" s="51" t="s">
        <v>1073</v>
      </c>
      <c r="B254" s="112">
        <v>0.4</v>
      </c>
      <c r="C254" s="112">
        <v>0.6</v>
      </c>
    </row>
    <row r="255" spans="1:3" hidden="1" x14ac:dyDescent="0.25">
      <c r="A255" s="51" t="s">
        <v>126</v>
      </c>
      <c r="B255" s="111">
        <v>0.53</v>
      </c>
      <c r="C255" s="111">
        <v>0.47</v>
      </c>
    </row>
    <row r="256" spans="1:3" hidden="1" x14ac:dyDescent="0.25">
      <c r="A256" s="51" t="s">
        <v>235</v>
      </c>
      <c r="B256" s="110">
        <v>0.56000000000000005</v>
      </c>
      <c r="C256" s="110">
        <v>0.44</v>
      </c>
    </row>
    <row r="257" spans="1:3" hidden="1" x14ac:dyDescent="0.25">
      <c r="A257" s="51" t="s">
        <v>1162</v>
      </c>
      <c r="B257" s="45">
        <v>0.48</v>
      </c>
      <c r="C257" s="45">
        <v>0.52</v>
      </c>
    </row>
    <row r="258" spans="1:3" hidden="1" x14ac:dyDescent="0.25">
      <c r="A258" s="51" t="s">
        <v>1177</v>
      </c>
      <c r="B258" s="45">
        <v>0.55000000000000004</v>
      </c>
      <c r="C258" s="45">
        <v>0.45</v>
      </c>
    </row>
    <row r="259" spans="1:3" hidden="1" x14ac:dyDescent="0.25">
      <c r="A259" s="51" t="s">
        <v>1276</v>
      </c>
      <c r="B259" s="96">
        <v>0.56999999999999995</v>
      </c>
      <c r="C259" s="96">
        <v>0.43</v>
      </c>
    </row>
    <row r="260" spans="1:3" hidden="1" x14ac:dyDescent="0.25">
      <c r="A260" s="51" t="s">
        <v>449</v>
      </c>
      <c r="B260" s="110">
        <v>0.56999999999999995</v>
      </c>
      <c r="C260" s="110">
        <v>0.43000000000000005</v>
      </c>
    </row>
    <row r="261" spans="1:3" hidden="1" x14ac:dyDescent="0.25">
      <c r="A261" s="51" t="s">
        <v>130</v>
      </c>
      <c r="B261" s="111">
        <v>0.56000000000000005</v>
      </c>
      <c r="C261" s="111">
        <v>0.44</v>
      </c>
    </row>
    <row r="262" spans="1:3" hidden="1" x14ac:dyDescent="0.25">
      <c r="A262" s="51" t="s">
        <v>1189</v>
      </c>
      <c r="B262" s="45">
        <v>0.57999999999999996</v>
      </c>
      <c r="C262" s="45">
        <v>0.42</v>
      </c>
    </row>
    <row r="263" spans="1:3" hidden="1" x14ac:dyDescent="0.25">
      <c r="A263" s="51" t="s">
        <v>1056</v>
      </c>
      <c r="B263" s="112">
        <v>0.55000000000000004</v>
      </c>
      <c r="C263" s="112">
        <v>0.45</v>
      </c>
    </row>
    <row r="264" spans="1:3" hidden="1" x14ac:dyDescent="0.25">
      <c r="A264" s="51" t="s">
        <v>923</v>
      </c>
      <c r="B264" s="111">
        <v>0.6</v>
      </c>
      <c r="C264" s="111">
        <v>0.4</v>
      </c>
    </row>
    <row r="265" spans="1:3" hidden="1" x14ac:dyDescent="0.25">
      <c r="A265" s="51" t="s">
        <v>131</v>
      </c>
      <c r="B265" s="111">
        <v>0.62</v>
      </c>
      <c r="C265" s="111">
        <v>0.38</v>
      </c>
    </row>
    <row r="266" spans="1:3" hidden="1" x14ac:dyDescent="0.25">
      <c r="A266" s="51" t="s">
        <v>989</v>
      </c>
      <c r="B266" s="112">
        <v>0.5</v>
      </c>
      <c r="C266" s="112">
        <v>0.5</v>
      </c>
    </row>
    <row r="267" spans="1:3" hidden="1" x14ac:dyDescent="0.25">
      <c r="A267" s="51" t="s">
        <v>1166</v>
      </c>
      <c r="B267" s="45">
        <v>0.55000000000000004</v>
      </c>
      <c r="C267" s="45">
        <v>0.45</v>
      </c>
    </row>
    <row r="268" spans="1:3" hidden="1" x14ac:dyDescent="0.25">
      <c r="A268" s="51" t="s">
        <v>133</v>
      </c>
      <c r="B268" s="111">
        <v>0.4</v>
      </c>
      <c r="C268" s="111">
        <v>0.6</v>
      </c>
    </row>
    <row r="269" spans="1:3" hidden="1" x14ac:dyDescent="0.25">
      <c r="A269" s="51" t="s">
        <v>945</v>
      </c>
      <c r="B269" s="111">
        <v>0.4</v>
      </c>
      <c r="C269" s="111">
        <v>0.6</v>
      </c>
    </row>
    <row r="270" spans="1:3" hidden="1" x14ac:dyDescent="0.25">
      <c r="A270" s="51" t="s">
        <v>134</v>
      </c>
      <c r="B270" s="111">
        <v>0.4</v>
      </c>
      <c r="C270" s="111">
        <v>0.6</v>
      </c>
    </row>
    <row r="271" spans="1:3" hidden="1" x14ac:dyDescent="0.25">
      <c r="A271" s="51" t="s">
        <v>1028</v>
      </c>
      <c r="B271" s="112">
        <v>0.5</v>
      </c>
      <c r="C271" s="110">
        <v>0.5</v>
      </c>
    </row>
    <row r="272" spans="1:3" hidden="1" x14ac:dyDescent="0.25">
      <c r="A272" s="51" t="s">
        <v>138</v>
      </c>
      <c r="B272" s="111">
        <v>0.47</v>
      </c>
      <c r="C272" s="111">
        <v>0.53</v>
      </c>
    </row>
    <row r="273" spans="1:3" hidden="1" x14ac:dyDescent="0.25">
      <c r="A273" s="51" t="s">
        <v>139</v>
      </c>
      <c r="B273" s="111">
        <v>0.52</v>
      </c>
      <c r="C273" s="111">
        <v>0.48</v>
      </c>
    </row>
    <row r="274" spans="1:3" hidden="1" x14ac:dyDescent="0.25">
      <c r="A274" s="51" t="s">
        <v>141</v>
      </c>
      <c r="B274" s="111">
        <v>0.57999999999999996</v>
      </c>
      <c r="C274" s="111">
        <v>0.42</v>
      </c>
    </row>
    <row r="275" spans="1:3" hidden="1" x14ac:dyDescent="0.25">
      <c r="A275" s="51" t="s">
        <v>266</v>
      </c>
      <c r="B275" s="111">
        <v>0.57999999999999996</v>
      </c>
      <c r="C275" s="111">
        <v>0.42</v>
      </c>
    </row>
    <row r="276" spans="1:3" hidden="1" x14ac:dyDescent="0.25">
      <c r="A276" s="51" t="s">
        <v>1449</v>
      </c>
      <c r="B276" s="110">
        <v>0.41499999999999998</v>
      </c>
      <c r="C276" s="110">
        <v>0.58499999999999996</v>
      </c>
    </row>
    <row r="277" spans="1:3" hidden="1" x14ac:dyDescent="0.25">
      <c r="A277" s="51" t="s">
        <v>1316</v>
      </c>
      <c r="B277" s="111">
        <v>0.45</v>
      </c>
      <c r="C277" s="111">
        <v>0.55000000000000004</v>
      </c>
    </row>
    <row r="278" spans="1:3" hidden="1" x14ac:dyDescent="0.25">
      <c r="A278" s="51" t="s">
        <v>143</v>
      </c>
      <c r="B278" s="111">
        <v>0.54</v>
      </c>
      <c r="C278" s="111">
        <v>0.46</v>
      </c>
    </row>
    <row r="279" spans="1:3" hidden="1" x14ac:dyDescent="0.25">
      <c r="A279" s="51" t="s">
        <v>893</v>
      </c>
      <c r="B279" s="110">
        <v>0.6</v>
      </c>
      <c r="C279" s="110">
        <v>0.4</v>
      </c>
    </row>
    <row r="280" spans="1:3" hidden="1" x14ac:dyDescent="0.25">
      <c r="A280" s="51" t="s">
        <v>1283</v>
      </c>
      <c r="B280" s="96">
        <v>0.52</v>
      </c>
      <c r="C280" s="96">
        <v>0.48</v>
      </c>
    </row>
    <row r="281" spans="1:3" hidden="1" x14ac:dyDescent="0.25">
      <c r="A281" s="51" t="s">
        <v>1256</v>
      </c>
      <c r="B281" s="96">
        <v>0.48</v>
      </c>
      <c r="C281" s="96">
        <v>0.52</v>
      </c>
    </row>
    <row r="282" spans="1:3" hidden="1" x14ac:dyDescent="0.25">
      <c r="A282" s="51" t="s">
        <v>145</v>
      </c>
      <c r="B282" s="111">
        <v>0.37</v>
      </c>
      <c r="C282" s="111">
        <v>0.63</v>
      </c>
    </row>
    <row r="283" spans="1:3" x14ac:dyDescent="0.25">
      <c r="A283" s="51" t="s">
        <v>475</v>
      </c>
      <c r="B283" s="110">
        <v>0.6</v>
      </c>
      <c r="C283" s="110">
        <v>0.4</v>
      </c>
    </row>
    <row r="284" spans="1:3" hidden="1" x14ac:dyDescent="0.25">
      <c r="A284" s="51" t="s">
        <v>401</v>
      </c>
      <c r="B284" s="110">
        <v>0.56999999999999995</v>
      </c>
      <c r="C284" s="110">
        <v>0.43</v>
      </c>
    </row>
    <row r="285" spans="1:3" hidden="1" x14ac:dyDescent="0.25">
      <c r="A285" s="51" t="s">
        <v>419</v>
      </c>
      <c r="B285" s="110">
        <v>0.56999999999999995</v>
      </c>
      <c r="C285" s="110">
        <v>0.43</v>
      </c>
    </row>
    <row r="286" spans="1:3" hidden="1" x14ac:dyDescent="0.25">
      <c r="A286" s="51" t="s">
        <v>193</v>
      </c>
      <c r="B286" s="111">
        <v>0.6</v>
      </c>
      <c r="C286" s="111">
        <v>0.4</v>
      </c>
    </row>
    <row r="287" spans="1:3" hidden="1" x14ac:dyDescent="0.25">
      <c r="A287" s="51" t="s">
        <v>1140</v>
      </c>
      <c r="B287" s="45">
        <v>0.52</v>
      </c>
      <c r="C287" s="45">
        <v>0.48</v>
      </c>
    </row>
    <row r="288" spans="1:3" hidden="1" x14ac:dyDescent="0.25">
      <c r="A288" s="51" t="s">
        <v>481</v>
      </c>
      <c r="B288" s="110">
        <v>0.6</v>
      </c>
      <c r="C288" s="110">
        <v>0.4</v>
      </c>
    </row>
    <row r="289" spans="1:3" hidden="1" x14ac:dyDescent="0.25">
      <c r="A289" s="51" t="s">
        <v>355</v>
      </c>
      <c r="B289" s="111">
        <v>0.57999999999999996</v>
      </c>
      <c r="C289" s="111">
        <v>0.42</v>
      </c>
    </row>
    <row r="290" spans="1:3" hidden="1" x14ac:dyDescent="0.25">
      <c r="A290" s="51" t="s">
        <v>1195</v>
      </c>
      <c r="B290" s="45">
        <v>0.52</v>
      </c>
      <c r="C290" s="45">
        <v>0.48</v>
      </c>
    </row>
    <row r="291" spans="1:3" hidden="1" x14ac:dyDescent="0.25">
      <c r="A291" s="51" t="s">
        <v>1062</v>
      </c>
      <c r="B291" s="112">
        <v>0.4</v>
      </c>
      <c r="C291" s="112">
        <v>0.6</v>
      </c>
    </row>
    <row r="292" spans="1:3" hidden="1" x14ac:dyDescent="0.25">
      <c r="A292" s="58" t="s">
        <v>1419</v>
      </c>
      <c r="B292" s="26">
        <f>AVERAGE(B6:B291)</f>
        <v>0.56574619820862748</v>
      </c>
      <c r="C292" s="26">
        <f>AVERAGE(C6:C291)</f>
        <v>0.43425380179137274</v>
      </c>
    </row>
    <row r="293" spans="1:3" hidden="1" x14ac:dyDescent="0.25">
      <c r="A293" t="s">
        <v>382</v>
      </c>
      <c r="B293" s="111">
        <v>0.57999999999999996</v>
      </c>
      <c r="C293" s="111">
        <v>0.42</v>
      </c>
    </row>
    <row r="294" spans="1:3" hidden="1" x14ac:dyDescent="0.25">
      <c r="A294" t="s">
        <v>382</v>
      </c>
      <c r="B294" s="111">
        <v>0.55000000000000004</v>
      </c>
      <c r="C294" s="111">
        <v>0.45</v>
      </c>
    </row>
    <row r="295" spans="1:3" hidden="1" x14ac:dyDescent="0.25">
      <c r="A295" t="s">
        <v>1200</v>
      </c>
      <c r="B295" s="45">
        <v>0.48</v>
      </c>
      <c r="C295" s="45">
        <v>0.52</v>
      </c>
    </row>
    <row r="296" spans="1:3" hidden="1" x14ac:dyDescent="0.25">
      <c r="A296" s="51" t="s">
        <v>238</v>
      </c>
      <c r="B296" s="110">
        <v>0.57999999999999996</v>
      </c>
      <c r="C296" s="110">
        <v>0.42000000000000004</v>
      </c>
    </row>
    <row r="297" spans="1:3" hidden="1" x14ac:dyDescent="0.25">
      <c r="A297" s="108" t="s">
        <v>1427</v>
      </c>
      <c r="B297" s="45">
        <v>0.48</v>
      </c>
      <c r="C297" s="45">
        <v>0.52</v>
      </c>
    </row>
    <row r="298" spans="1:3" hidden="1" x14ac:dyDescent="0.25">
      <c r="A298" s="51" t="s">
        <v>183</v>
      </c>
      <c r="B298" s="111">
        <v>0.53</v>
      </c>
      <c r="C298" s="111">
        <v>0.47</v>
      </c>
    </row>
    <row r="299" spans="1:3" hidden="1" x14ac:dyDescent="0.25">
      <c r="A299" s="51" t="s">
        <v>321</v>
      </c>
      <c r="B299" s="111">
        <v>0.56999999999999995</v>
      </c>
      <c r="C299" s="111">
        <v>0.43</v>
      </c>
    </row>
    <row r="300" spans="1:3" hidden="1" x14ac:dyDescent="0.25">
      <c r="A300" s="51" t="s">
        <v>941</v>
      </c>
      <c r="B300" s="26">
        <v>0.55000000000000004</v>
      </c>
      <c r="C300" s="26">
        <v>0.45</v>
      </c>
    </row>
    <row r="301" spans="1:3" hidden="1" x14ac:dyDescent="0.25">
      <c r="A301" s="51" t="s">
        <v>149</v>
      </c>
      <c r="B301" s="111">
        <v>0.61</v>
      </c>
      <c r="C301" s="111">
        <v>0.39</v>
      </c>
    </row>
    <row r="302" spans="1:3" x14ac:dyDescent="0.25">
      <c r="A302" s="51" t="s">
        <v>984</v>
      </c>
      <c r="B302" s="112">
        <v>0.54</v>
      </c>
      <c r="C302" s="112">
        <v>0.46</v>
      </c>
    </row>
    <row r="303" spans="1:3" hidden="1" x14ac:dyDescent="0.25">
      <c r="A303" s="51" t="s">
        <v>380</v>
      </c>
      <c r="B303" s="110">
        <v>0.65500000000000003</v>
      </c>
      <c r="C303" s="110">
        <v>0.34499999999999997</v>
      </c>
    </row>
    <row r="304" spans="1:3" hidden="1" x14ac:dyDescent="0.25">
      <c r="A304" s="51" t="s">
        <v>1280</v>
      </c>
      <c r="B304" s="96">
        <v>0.53</v>
      </c>
      <c r="C304" s="96">
        <v>0.47</v>
      </c>
    </row>
    <row r="305" spans="1:3" hidden="1" x14ac:dyDescent="0.25">
      <c r="A305" s="51" t="s">
        <v>151</v>
      </c>
      <c r="B305" s="111">
        <v>0.42</v>
      </c>
      <c r="C305" s="111">
        <v>0.57999999999999996</v>
      </c>
    </row>
    <row r="306" spans="1:3" hidden="1" x14ac:dyDescent="0.25">
      <c r="A306" s="51" t="s">
        <v>152</v>
      </c>
      <c r="B306" s="111">
        <v>0.47</v>
      </c>
      <c r="C306" s="111">
        <v>0.53</v>
      </c>
    </row>
    <row r="307" spans="1:3" hidden="1" x14ac:dyDescent="0.25">
      <c r="A307" s="51" t="s">
        <v>153</v>
      </c>
      <c r="B307" s="111">
        <v>0.5</v>
      </c>
      <c r="C307" s="111">
        <v>0.5</v>
      </c>
    </row>
    <row r="308" spans="1:3" hidden="1" x14ac:dyDescent="0.25">
      <c r="A308" s="51" t="s">
        <v>931</v>
      </c>
      <c r="B308" s="110">
        <v>0.59</v>
      </c>
      <c r="C308" s="110">
        <v>0.41000000000000003</v>
      </c>
    </row>
    <row r="309" spans="1:3" hidden="1" x14ac:dyDescent="0.25">
      <c r="A309" s="51" t="s">
        <v>1122</v>
      </c>
      <c r="B309" s="45">
        <v>0.5</v>
      </c>
      <c r="C309" s="45">
        <v>0.5</v>
      </c>
    </row>
    <row r="310" spans="1:3" hidden="1" x14ac:dyDescent="0.25">
      <c r="A310" s="51" t="s">
        <v>154</v>
      </c>
      <c r="B310" s="111">
        <v>0.3</v>
      </c>
      <c r="C310" s="111">
        <v>0.7</v>
      </c>
    </row>
    <row r="311" spans="1:3" hidden="1" x14ac:dyDescent="0.25">
      <c r="A311" s="82" t="s">
        <v>155</v>
      </c>
      <c r="B311" s="111">
        <v>0.33</v>
      </c>
      <c r="C311" s="111">
        <v>0.67</v>
      </c>
    </row>
    <row r="312" spans="1:3" x14ac:dyDescent="0.25">
      <c r="A312" s="51" t="s">
        <v>886</v>
      </c>
      <c r="B312" s="110">
        <v>0.5</v>
      </c>
      <c r="C312" s="110">
        <v>0.5</v>
      </c>
    </row>
    <row r="313" spans="1:3" hidden="1" x14ac:dyDescent="0.25">
      <c r="A313" s="51" t="s">
        <v>236</v>
      </c>
      <c r="B313" s="110">
        <v>0.57999999999999996</v>
      </c>
      <c r="C313" s="110">
        <v>0.42</v>
      </c>
    </row>
    <row r="314" spans="1:3" hidden="1" x14ac:dyDescent="0.25">
      <c r="A314" s="51" t="s">
        <v>308</v>
      </c>
      <c r="B314" s="110">
        <v>0.59</v>
      </c>
      <c r="C314" s="110">
        <v>0.41000000000000003</v>
      </c>
    </row>
    <row r="315" spans="1:3" hidden="1" x14ac:dyDescent="0.25">
      <c r="A315" s="51" t="s">
        <v>474</v>
      </c>
      <c r="B315" s="110">
        <v>0.3</v>
      </c>
      <c r="C315" s="110">
        <v>0.7</v>
      </c>
    </row>
    <row r="316" spans="1:3" hidden="1" x14ac:dyDescent="0.25">
      <c r="A316" s="51" t="s">
        <v>988</v>
      </c>
      <c r="B316" s="111">
        <v>0.3</v>
      </c>
      <c r="C316" s="111">
        <v>0.7</v>
      </c>
    </row>
    <row r="317" spans="1:3" x14ac:dyDescent="0.25">
      <c r="A317" s="51" t="s">
        <v>354</v>
      </c>
      <c r="B317" s="110">
        <v>0.6</v>
      </c>
      <c r="C317" s="110">
        <v>0.4</v>
      </c>
    </row>
    <row r="318" spans="1:3" hidden="1" x14ac:dyDescent="0.25">
      <c r="A318" s="51" t="s">
        <v>920</v>
      </c>
      <c r="B318" s="110">
        <v>0.57999999999999996</v>
      </c>
      <c r="C318" s="110">
        <v>0.42</v>
      </c>
    </row>
    <row r="319" spans="1:3" hidden="1" x14ac:dyDescent="0.25">
      <c r="A319" s="51" t="s">
        <v>982</v>
      </c>
      <c r="B319" s="112">
        <v>0.55000000000000004</v>
      </c>
      <c r="C319" s="112">
        <v>0.45</v>
      </c>
    </row>
    <row r="320" spans="1:3" hidden="1" x14ac:dyDescent="0.25">
      <c r="A320" s="51" t="s">
        <v>948</v>
      </c>
      <c r="B320" s="111">
        <v>0.65</v>
      </c>
      <c r="C320" s="111">
        <v>0.35</v>
      </c>
    </row>
    <row r="321" spans="1:3" hidden="1" x14ac:dyDescent="0.25">
      <c r="A321" s="51" t="s">
        <v>260</v>
      </c>
      <c r="B321" s="111">
        <v>0.65</v>
      </c>
      <c r="C321" s="111">
        <v>0.35</v>
      </c>
    </row>
    <row r="322" spans="1:3" hidden="1" x14ac:dyDescent="0.25">
      <c r="A322" s="51" t="s">
        <v>156</v>
      </c>
      <c r="B322" s="111">
        <v>0.66</v>
      </c>
      <c r="C322" s="111">
        <v>0.34</v>
      </c>
    </row>
    <row r="323" spans="1:3" hidden="1" x14ac:dyDescent="0.25">
      <c r="A323" s="51" t="s">
        <v>241</v>
      </c>
      <c r="B323" s="110">
        <v>0.5</v>
      </c>
      <c r="C323" s="110">
        <v>0.5</v>
      </c>
    </row>
    <row r="324" spans="1:3" hidden="1" x14ac:dyDescent="0.25">
      <c r="A324" s="51" t="s">
        <v>242</v>
      </c>
      <c r="B324" s="110">
        <v>0.51</v>
      </c>
      <c r="C324" s="110">
        <v>0.49</v>
      </c>
    </row>
    <row r="325" spans="1:3" hidden="1" x14ac:dyDescent="0.25">
      <c r="A325" s="51" t="s">
        <v>1320</v>
      </c>
      <c r="B325" s="26">
        <v>0.5</v>
      </c>
      <c r="C325" s="26">
        <v>0.5</v>
      </c>
    </row>
    <row r="326" spans="1:3" hidden="1" x14ac:dyDescent="0.25">
      <c r="A326" s="51" t="s">
        <v>1173</v>
      </c>
      <c r="B326" s="45">
        <v>0.45</v>
      </c>
      <c r="C326" s="45">
        <v>0.55000000000000004</v>
      </c>
    </row>
    <row r="327" spans="1:3" hidden="1" x14ac:dyDescent="0.25">
      <c r="A327" s="51" t="s">
        <v>1116</v>
      </c>
      <c r="B327" s="26">
        <v>0.5</v>
      </c>
      <c r="C327" s="26">
        <v>0.5</v>
      </c>
    </row>
    <row r="328" spans="1:3" hidden="1" x14ac:dyDescent="0.25">
      <c r="A328" s="51" t="s">
        <v>1198</v>
      </c>
      <c r="B328" s="45">
        <v>0.6</v>
      </c>
      <c r="C328" s="45">
        <v>0.4</v>
      </c>
    </row>
    <row r="329" spans="1:3" hidden="1" x14ac:dyDescent="0.25">
      <c r="A329" s="51" t="s">
        <v>1300</v>
      </c>
      <c r="B329" s="45">
        <v>0.55000000000000004</v>
      </c>
      <c r="C329" s="45">
        <v>0.45</v>
      </c>
    </row>
    <row r="330" spans="1:3" hidden="1" x14ac:dyDescent="0.25">
      <c r="A330" s="51" t="s">
        <v>1475</v>
      </c>
      <c r="B330" s="26">
        <v>0.4</v>
      </c>
      <c r="C330" s="26">
        <v>0.6</v>
      </c>
    </row>
    <row r="331" spans="1:3" hidden="1" x14ac:dyDescent="0.25">
      <c r="A331" s="51" t="s">
        <v>1212</v>
      </c>
      <c r="B331" s="45">
        <v>0.4</v>
      </c>
      <c r="C331" s="45">
        <v>0.6</v>
      </c>
    </row>
    <row r="332" spans="1:3" hidden="1" x14ac:dyDescent="0.25">
      <c r="A332" s="51" t="s">
        <v>1298</v>
      </c>
      <c r="B332" s="45">
        <v>0.6</v>
      </c>
      <c r="C332" s="45">
        <v>0.4</v>
      </c>
    </row>
    <row r="333" spans="1:3" hidden="1" x14ac:dyDescent="0.25">
      <c r="A333" s="51" t="s">
        <v>1050</v>
      </c>
      <c r="B333" s="26">
        <v>0.55000000000000004</v>
      </c>
      <c r="C333" s="26">
        <v>0.45</v>
      </c>
    </row>
    <row r="334" spans="1:3" hidden="1" x14ac:dyDescent="0.25">
      <c r="A334" s="51" t="s">
        <v>1182</v>
      </c>
      <c r="B334" s="45">
        <v>0.45</v>
      </c>
      <c r="C334" s="45">
        <v>0.55000000000000004</v>
      </c>
    </row>
    <row r="335" spans="1:3" hidden="1" x14ac:dyDescent="0.25">
      <c r="A335" s="51" t="s">
        <v>1168</v>
      </c>
      <c r="B335" s="45">
        <v>0.52</v>
      </c>
      <c r="C335" s="45">
        <v>0.48</v>
      </c>
    </row>
    <row r="336" spans="1:3" hidden="1" x14ac:dyDescent="0.25">
      <c r="A336" s="51" t="s">
        <v>178</v>
      </c>
      <c r="B336" s="111">
        <v>0.61</v>
      </c>
      <c r="C336" s="111">
        <v>0.39</v>
      </c>
    </row>
    <row r="337" spans="1:3" hidden="1" x14ac:dyDescent="0.25">
      <c r="A337" s="51" t="s">
        <v>1202</v>
      </c>
      <c r="B337" s="45">
        <v>0.62</v>
      </c>
      <c r="C337" s="45">
        <v>0.38</v>
      </c>
    </row>
    <row r="338" spans="1:3" hidden="1" x14ac:dyDescent="0.25">
      <c r="A338" s="51" t="s">
        <v>966</v>
      </c>
      <c r="B338" s="112">
        <v>0.5</v>
      </c>
      <c r="C338" s="112">
        <v>0.5</v>
      </c>
    </row>
    <row r="339" spans="1:3" hidden="1" x14ac:dyDescent="0.25">
      <c r="A339" s="51" t="s">
        <v>1099</v>
      </c>
      <c r="B339" s="26">
        <v>0.58546874999999998</v>
      </c>
      <c r="C339" s="26">
        <v>0.41453125000000002</v>
      </c>
    </row>
    <row r="340" spans="1:3" hidden="1" x14ac:dyDescent="0.25">
      <c r="A340" s="51" t="s">
        <v>1049</v>
      </c>
      <c r="B340" s="26">
        <v>0.51</v>
      </c>
      <c r="C340" s="26">
        <v>0.49</v>
      </c>
    </row>
    <row r="341" spans="1:3" hidden="1" x14ac:dyDescent="0.25">
      <c r="A341" s="108" t="s">
        <v>1066</v>
      </c>
      <c r="B341" s="45">
        <v>0.66</v>
      </c>
      <c r="C341" s="45">
        <v>0.34</v>
      </c>
    </row>
    <row r="342" spans="1:3" hidden="1" x14ac:dyDescent="0.25">
      <c r="A342" s="51" t="s">
        <v>1096</v>
      </c>
      <c r="B342" s="26">
        <v>0.62093750000000003</v>
      </c>
      <c r="C342" s="26">
        <v>0.37906250000000002</v>
      </c>
    </row>
    <row r="343" spans="1:3" hidden="1" x14ac:dyDescent="0.25">
      <c r="A343" s="51" t="s">
        <v>1094</v>
      </c>
      <c r="B343" s="26">
        <v>0.6256250000000001</v>
      </c>
      <c r="C343" s="26">
        <v>0.37437500000000001</v>
      </c>
    </row>
    <row r="344" spans="1:3" hidden="1" x14ac:dyDescent="0.25">
      <c r="A344" s="51" t="s">
        <v>1076</v>
      </c>
      <c r="B344" s="112">
        <v>0.55000000000000004</v>
      </c>
      <c r="C344" s="112">
        <v>0.45</v>
      </c>
    </row>
    <row r="345" spans="1:3" hidden="1" x14ac:dyDescent="0.25">
      <c r="A345" s="51" t="s">
        <v>1095</v>
      </c>
      <c r="B345" s="26">
        <v>0.59375</v>
      </c>
      <c r="C345" s="26">
        <v>0.40625</v>
      </c>
    </row>
    <row r="346" spans="1:3" hidden="1" x14ac:dyDescent="0.25">
      <c r="A346" s="51" t="s">
        <v>1106</v>
      </c>
      <c r="B346" s="112">
        <v>0.65</v>
      </c>
      <c r="C346" s="112">
        <v>0.35</v>
      </c>
    </row>
    <row r="347" spans="1:3" hidden="1" x14ac:dyDescent="0.25">
      <c r="A347" s="51" t="s">
        <v>1107</v>
      </c>
      <c r="B347" s="112">
        <v>0.6</v>
      </c>
      <c r="C347" s="112">
        <v>0.4</v>
      </c>
    </row>
    <row r="348" spans="1:3" hidden="1" x14ac:dyDescent="0.25">
      <c r="A348" s="51" t="s">
        <v>478</v>
      </c>
      <c r="B348" s="110">
        <v>0.65</v>
      </c>
      <c r="C348" s="110">
        <v>0.35</v>
      </c>
    </row>
    <row r="349" spans="1:3" hidden="1" x14ac:dyDescent="0.25">
      <c r="A349" s="51" t="s">
        <v>863</v>
      </c>
      <c r="B349" s="110">
        <v>0.72</v>
      </c>
      <c r="C349" s="110">
        <v>0.28000000000000003</v>
      </c>
    </row>
    <row r="350" spans="1:3" hidden="1" x14ac:dyDescent="0.25">
      <c r="A350" s="51" t="s">
        <v>1010</v>
      </c>
      <c r="B350" s="110">
        <v>0.56999999999999995</v>
      </c>
      <c r="C350" s="110">
        <v>0.43000000000000005</v>
      </c>
    </row>
    <row r="351" spans="1:3" hidden="1" x14ac:dyDescent="0.25">
      <c r="A351" s="51" t="s">
        <v>1129</v>
      </c>
      <c r="B351" s="45">
        <v>0.65</v>
      </c>
      <c r="C351" s="45">
        <v>0.35</v>
      </c>
    </row>
    <row r="352" spans="1:3" hidden="1" x14ac:dyDescent="0.25">
      <c r="A352" s="51" t="s">
        <v>1192</v>
      </c>
      <c r="B352" s="45">
        <v>0.65</v>
      </c>
      <c r="C352" s="45">
        <v>0.35</v>
      </c>
    </row>
    <row r="353" spans="1:3" hidden="1" x14ac:dyDescent="0.25">
      <c r="A353" s="51" t="s">
        <v>285</v>
      </c>
      <c r="B353" s="110">
        <v>0.65</v>
      </c>
      <c r="C353" s="110">
        <v>0.35</v>
      </c>
    </row>
    <row r="354" spans="1:3" hidden="1" x14ac:dyDescent="0.25">
      <c r="A354" s="51" t="s">
        <v>171</v>
      </c>
      <c r="B354" s="111">
        <v>0.55000000000000004</v>
      </c>
      <c r="C354" s="111">
        <v>0.45</v>
      </c>
    </row>
    <row r="355" spans="1:3" hidden="1" x14ac:dyDescent="0.25">
      <c r="A355" s="51" t="s">
        <v>1440</v>
      </c>
      <c r="B355" s="110">
        <v>0.51500000000000001</v>
      </c>
      <c r="C355" s="110">
        <v>0.48499999999999999</v>
      </c>
    </row>
    <row r="356" spans="1:3" hidden="1" x14ac:dyDescent="0.25">
      <c r="A356" s="51" t="s">
        <v>170</v>
      </c>
      <c r="B356" s="111">
        <v>0.57999999999999996</v>
      </c>
      <c r="C356" s="111">
        <v>0.42</v>
      </c>
    </row>
    <row r="357" spans="1:3" hidden="1" x14ac:dyDescent="0.25">
      <c r="A357" s="51" t="s">
        <v>259</v>
      </c>
      <c r="B357" s="111">
        <v>0.57999999999999996</v>
      </c>
      <c r="C357" s="111">
        <v>0.42</v>
      </c>
    </row>
    <row r="358" spans="1:3" hidden="1" x14ac:dyDescent="0.25">
      <c r="A358" s="51" t="s">
        <v>192</v>
      </c>
      <c r="B358" s="111">
        <v>0.66</v>
      </c>
      <c r="C358" s="111">
        <v>0.34</v>
      </c>
    </row>
    <row r="359" spans="1:3" hidden="1" x14ac:dyDescent="0.25">
      <c r="A359" s="51" t="s">
        <v>311</v>
      </c>
      <c r="B359" s="110">
        <v>0.53</v>
      </c>
      <c r="C359" s="110">
        <v>0.47</v>
      </c>
    </row>
    <row r="360" spans="1:3" hidden="1" x14ac:dyDescent="0.25">
      <c r="A360" s="51" t="s">
        <v>1439</v>
      </c>
      <c r="B360" s="110">
        <v>0.5</v>
      </c>
      <c r="C360" s="110">
        <v>0.5</v>
      </c>
    </row>
    <row r="361" spans="1:3" hidden="1" x14ac:dyDescent="0.25">
      <c r="A361" s="51" t="s">
        <v>1184</v>
      </c>
      <c r="B361" s="45">
        <v>0.62</v>
      </c>
      <c r="C361" s="45">
        <v>0.38</v>
      </c>
    </row>
    <row r="362" spans="1:3" hidden="1" x14ac:dyDescent="0.25">
      <c r="A362" s="51" t="s">
        <v>182</v>
      </c>
      <c r="B362" s="111">
        <v>0.6</v>
      </c>
      <c r="C362" s="111">
        <v>0.4</v>
      </c>
    </row>
    <row r="363" spans="1:3" hidden="1" x14ac:dyDescent="0.25">
      <c r="A363" s="51" t="s">
        <v>1426</v>
      </c>
      <c r="B363" s="111">
        <v>0.47</v>
      </c>
      <c r="C363" s="111">
        <v>0.53</v>
      </c>
    </row>
    <row r="364" spans="1:3" hidden="1" x14ac:dyDescent="0.25">
      <c r="A364" s="51" t="s">
        <v>325</v>
      </c>
      <c r="B364" s="111">
        <v>0.57999999999999996</v>
      </c>
      <c r="C364" s="111">
        <v>0.42</v>
      </c>
    </row>
    <row r="365" spans="1:3" hidden="1" x14ac:dyDescent="0.25">
      <c r="A365" s="51" t="s">
        <v>499</v>
      </c>
      <c r="B365" s="110">
        <v>0.4</v>
      </c>
      <c r="C365" s="110">
        <v>0.6</v>
      </c>
    </row>
    <row r="366" spans="1:3" hidden="1" x14ac:dyDescent="0.25">
      <c r="A366" s="51" t="s">
        <v>900</v>
      </c>
      <c r="B366" s="112">
        <v>0.57999999999999996</v>
      </c>
      <c r="C366" s="110">
        <v>0.42</v>
      </c>
    </row>
    <row r="367" spans="1:3" hidden="1" x14ac:dyDescent="0.25">
      <c r="A367" s="51" t="s">
        <v>1011</v>
      </c>
      <c r="B367" s="111">
        <v>0.72</v>
      </c>
      <c r="C367" s="111">
        <v>0.28000000000000003</v>
      </c>
    </row>
    <row r="368" spans="1:3" hidden="1" x14ac:dyDescent="0.25">
      <c r="A368" s="116" t="s">
        <v>202</v>
      </c>
      <c r="B368" s="111">
        <v>0.72</v>
      </c>
      <c r="C368" s="111">
        <v>0.28000000000000003</v>
      </c>
    </row>
    <row r="369" spans="1:3" hidden="1" x14ac:dyDescent="0.25">
      <c r="A369" s="51" t="s">
        <v>889</v>
      </c>
      <c r="B369" s="111">
        <v>0.69</v>
      </c>
      <c r="C369" s="111">
        <v>0.31</v>
      </c>
    </row>
    <row r="370" spans="1:3" hidden="1" x14ac:dyDescent="0.25">
      <c r="A370" s="51" t="s">
        <v>169</v>
      </c>
      <c r="B370" s="111">
        <v>0.69</v>
      </c>
      <c r="C370" s="111">
        <v>0.31</v>
      </c>
    </row>
    <row r="371" spans="1:3" hidden="1" x14ac:dyDescent="0.25">
      <c r="A371" s="51" t="s">
        <v>477</v>
      </c>
      <c r="B371" s="110">
        <v>0.59</v>
      </c>
      <c r="C371" s="110">
        <v>0.41000000000000003</v>
      </c>
    </row>
    <row r="372" spans="1:3" hidden="1" x14ac:dyDescent="0.25">
      <c r="A372" s="51" t="s">
        <v>967</v>
      </c>
      <c r="B372" s="112">
        <v>0.5</v>
      </c>
      <c r="C372" s="112">
        <v>0.5</v>
      </c>
    </row>
    <row r="373" spans="1:3" hidden="1" x14ac:dyDescent="0.25">
      <c r="A373" s="51" t="s">
        <v>1137</v>
      </c>
      <c r="B373" s="45">
        <v>0.68</v>
      </c>
      <c r="C373" s="45">
        <v>0.32</v>
      </c>
    </row>
    <row r="374" spans="1:3" hidden="1" x14ac:dyDescent="0.25">
      <c r="A374" s="51" t="s">
        <v>422</v>
      </c>
      <c r="B374" s="111">
        <v>0.57999999999999996</v>
      </c>
      <c r="C374" s="111">
        <v>0.42</v>
      </c>
    </row>
    <row r="375" spans="1:3" hidden="1" x14ac:dyDescent="0.25">
      <c r="A375" s="51" t="s">
        <v>1319</v>
      </c>
      <c r="B375" s="26">
        <v>0.65</v>
      </c>
      <c r="C375" s="26">
        <v>0.35</v>
      </c>
    </row>
    <row r="376" spans="1:3" hidden="1" x14ac:dyDescent="0.25">
      <c r="A376" s="51" t="s">
        <v>1291</v>
      </c>
      <c r="B376" s="45">
        <v>0.52</v>
      </c>
      <c r="C376" s="45">
        <v>0.48</v>
      </c>
    </row>
    <row r="377" spans="1:3" hidden="1" x14ac:dyDescent="0.25">
      <c r="A377" s="51" t="s">
        <v>1044</v>
      </c>
      <c r="B377" s="112">
        <v>0.53</v>
      </c>
      <c r="C377" s="110">
        <v>0.47</v>
      </c>
    </row>
    <row r="378" spans="1:3" hidden="1" x14ac:dyDescent="0.25">
      <c r="A378" s="51" t="s">
        <v>1205</v>
      </c>
      <c r="B378" s="45">
        <v>0.52</v>
      </c>
      <c r="C378" s="45">
        <v>0.48</v>
      </c>
    </row>
    <row r="379" spans="1:3" hidden="1" x14ac:dyDescent="0.25">
      <c r="A379" s="51" t="s">
        <v>1215</v>
      </c>
      <c r="B379" s="45">
        <v>0.63</v>
      </c>
      <c r="C379" s="45">
        <v>0.37</v>
      </c>
    </row>
    <row r="380" spans="1:3" hidden="1" x14ac:dyDescent="0.25">
      <c r="A380" s="51" t="s">
        <v>896</v>
      </c>
      <c r="B380" s="111">
        <v>0.62</v>
      </c>
      <c r="C380" s="111">
        <v>0.38</v>
      </c>
    </row>
    <row r="381" spans="1:3" hidden="1" x14ac:dyDescent="0.25">
      <c r="A381" s="51" t="s">
        <v>176</v>
      </c>
      <c r="B381" s="111">
        <v>0.62</v>
      </c>
      <c r="C381" s="111">
        <v>0.38</v>
      </c>
    </row>
    <row r="382" spans="1:3" hidden="1" x14ac:dyDescent="0.25">
      <c r="A382" s="51" t="s">
        <v>1774</v>
      </c>
      <c r="B382" s="112">
        <v>0.65</v>
      </c>
      <c r="C382" s="112">
        <v>0.35</v>
      </c>
    </row>
    <row r="383" spans="1:3" hidden="1" x14ac:dyDescent="0.25">
      <c r="A383" s="51" t="s">
        <v>1531</v>
      </c>
      <c r="B383" s="110">
        <v>0.65</v>
      </c>
      <c r="C383" s="110">
        <v>0.35</v>
      </c>
    </row>
    <row r="384" spans="1:3" hidden="1" x14ac:dyDescent="0.25">
      <c r="A384" s="51" t="s">
        <v>1135</v>
      </c>
      <c r="B384" s="45">
        <v>0.7</v>
      </c>
      <c r="C384" s="45">
        <v>0.3</v>
      </c>
    </row>
    <row r="385" spans="1:4" hidden="1" x14ac:dyDescent="0.25">
      <c r="A385" s="51" t="s">
        <v>1190</v>
      </c>
      <c r="B385" s="45">
        <v>0.52</v>
      </c>
      <c r="C385" s="45">
        <v>0.48</v>
      </c>
    </row>
    <row r="386" spans="1:4" hidden="1" x14ac:dyDescent="0.25">
      <c r="A386" s="115" t="s">
        <v>1467</v>
      </c>
      <c r="B386" s="26">
        <v>0.6</v>
      </c>
      <c r="C386" s="26">
        <v>0.4</v>
      </c>
    </row>
    <row r="387" spans="1:4" hidden="1" x14ac:dyDescent="0.25">
      <c r="A387" s="51" t="s">
        <v>1465</v>
      </c>
      <c r="B387" s="112">
        <v>0.52</v>
      </c>
      <c r="C387" s="110">
        <v>0.48</v>
      </c>
    </row>
    <row r="388" spans="1:4" hidden="1" x14ac:dyDescent="0.25">
      <c r="A388" s="51" t="s">
        <v>1170</v>
      </c>
      <c r="B388" s="45">
        <v>0.57999999999999996</v>
      </c>
      <c r="C388" s="45">
        <v>0.42</v>
      </c>
    </row>
    <row r="389" spans="1:4" hidden="1" x14ac:dyDescent="0.25">
      <c r="A389" s="51" t="s">
        <v>1270</v>
      </c>
      <c r="B389" s="96">
        <v>0.62</v>
      </c>
      <c r="C389" s="96">
        <v>0.38</v>
      </c>
    </row>
    <row r="390" spans="1:4" hidden="1" x14ac:dyDescent="0.25">
      <c r="A390" s="51" t="s">
        <v>1172</v>
      </c>
      <c r="B390" s="45">
        <v>0.6</v>
      </c>
      <c r="C390" s="45">
        <v>0.4</v>
      </c>
    </row>
    <row r="391" spans="1:4" hidden="1" x14ac:dyDescent="0.25">
      <c r="A391" s="51" t="s">
        <v>1414</v>
      </c>
      <c r="B391" s="26">
        <v>0.54</v>
      </c>
      <c r="C391" s="26">
        <v>0.46</v>
      </c>
      <c r="D391" s="74"/>
    </row>
    <row r="392" spans="1:4" hidden="1" x14ac:dyDescent="0.25">
      <c r="A392" s="51" t="s">
        <v>1191</v>
      </c>
      <c r="B392" s="45">
        <v>0.6</v>
      </c>
      <c r="C392" s="45">
        <v>0.4</v>
      </c>
    </row>
    <row r="393" spans="1:4" hidden="1" x14ac:dyDescent="0.25">
      <c r="A393" s="51" t="s">
        <v>996</v>
      </c>
      <c r="B393" s="110">
        <v>0.5</v>
      </c>
      <c r="C393" s="110">
        <v>0.5</v>
      </c>
    </row>
    <row r="394" spans="1:4" hidden="1" x14ac:dyDescent="0.25">
      <c r="A394" t="s">
        <v>1302</v>
      </c>
      <c r="B394" s="45">
        <v>0.5</v>
      </c>
      <c r="C394" s="45">
        <v>0.5</v>
      </c>
    </row>
    <row r="395" spans="1:4" hidden="1" x14ac:dyDescent="0.25">
      <c r="A395" t="s">
        <v>1209</v>
      </c>
      <c r="B395" s="45">
        <v>0.42</v>
      </c>
      <c r="C395" s="45">
        <v>0.57999999999999996</v>
      </c>
    </row>
    <row r="396" spans="1:4" hidden="1" x14ac:dyDescent="0.25">
      <c r="A396" t="s">
        <v>1158</v>
      </c>
      <c r="B396" s="45">
        <v>0.45</v>
      </c>
      <c r="C396" s="45">
        <v>0.55000000000000004</v>
      </c>
    </row>
    <row r="397" spans="1:4" hidden="1" x14ac:dyDescent="0.25">
      <c r="A397" s="58" t="s">
        <v>1431</v>
      </c>
      <c r="B397" s="111">
        <v>0.49</v>
      </c>
      <c r="C397" s="111">
        <v>0.51</v>
      </c>
    </row>
    <row r="398" spans="1:4" hidden="1" x14ac:dyDescent="0.25">
      <c r="A398" t="s">
        <v>947</v>
      </c>
      <c r="B398" s="111">
        <v>0.5</v>
      </c>
      <c r="C398" s="111">
        <v>0.5</v>
      </c>
    </row>
    <row r="399" spans="1:4" hidden="1" x14ac:dyDescent="0.25">
      <c r="A399" t="s">
        <v>949</v>
      </c>
      <c r="B399" s="111">
        <v>0.45</v>
      </c>
      <c r="C399" s="111">
        <v>0.55000000000000004</v>
      </c>
    </row>
    <row r="400" spans="1:4" hidden="1" x14ac:dyDescent="0.25">
      <c r="A400" s="51" t="s">
        <v>326</v>
      </c>
      <c r="B400" s="111">
        <v>0.45</v>
      </c>
      <c r="C400" s="111">
        <v>0.55000000000000004</v>
      </c>
    </row>
    <row r="401" spans="1:3" hidden="1" x14ac:dyDescent="0.25">
      <c r="A401" s="51" t="s">
        <v>916</v>
      </c>
      <c r="B401" s="111">
        <v>0.5</v>
      </c>
      <c r="C401" s="111">
        <v>0.5</v>
      </c>
    </row>
    <row r="402" spans="1:3" hidden="1" x14ac:dyDescent="0.25">
      <c r="A402" s="51" t="s">
        <v>446</v>
      </c>
      <c r="B402" s="110">
        <v>0.45</v>
      </c>
      <c r="C402" s="110">
        <v>0.55000000000000004</v>
      </c>
    </row>
    <row r="403" spans="1:3" hidden="1" x14ac:dyDescent="0.25">
      <c r="A403" s="51" t="s">
        <v>974</v>
      </c>
      <c r="B403" s="112">
        <v>0.5</v>
      </c>
      <c r="C403" s="112">
        <v>0.5</v>
      </c>
    </row>
    <row r="404" spans="1:3" hidden="1" x14ac:dyDescent="0.25">
      <c r="A404" s="51" t="s">
        <v>905</v>
      </c>
      <c r="B404" s="111">
        <v>0.5</v>
      </c>
      <c r="C404" s="111">
        <v>0.5</v>
      </c>
    </row>
    <row r="405" spans="1:3" hidden="1" x14ac:dyDescent="0.25">
      <c r="A405" s="51" t="s">
        <v>158</v>
      </c>
      <c r="B405" s="111">
        <v>0.45</v>
      </c>
      <c r="C405" s="111">
        <v>0.55000000000000004</v>
      </c>
    </row>
    <row r="406" spans="1:3" hidden="1" x14ac:dyDescent="0.25">
      <c r="A406" s="51" t="s">
        <v>283</v>
      </c>
      <c r="B406" s="110">
        <v>0.64</v>
      </c>
      <c r="C406" s="110">
        <v>0.36</v>
      </c>
    </row>
    <row r="407" spans="1:3" hidden="1" x14ac:dyDescent="0.25">
      <c r="A407" s="115" t="s">
        <v>1522</v>
      </c>
      <c r="B407" s="26">
        <v>0.55000000000000004</v>
      </c>
      <c r="C407" s="26">
        <v>0.45</v>
      </c>
    </row>
    <row r="408" spans="1:3" hidden="1" x14ac:dyDescent="0.25">
      <c r="A408" t="s">
        <v>986</v>
      </c>
      <c r="B408" s="110">
        <v>0.65</v>
      </c>
      <c r="C408" s="110">
        <v>0.35</v>
      </c>
    </row>
    <row r="409" spans="1:3" hidden="1" x14ac:dyDescent="0.25">
      <c r="A409" t="s">
        <v>329</v>
      </c>
      <c r="B409" s="112">
        <v>0.55000000000000004</v>
      </c>
      <c r="C409" s="112">
        <v>0.45</v>
      </c>
    </row>
    <row r="410" spans="1:3" hidden="1" x14ac:dyDescent="0.25">
      <c r="A410" t="s">
        <v>181</v>
      </c>
      <c r="B410" s="111">
        <v>0.42</v>
      </c>
      <c r="C410" s="111">
        <v>0.57999999999999996</v>
      </c>
    </row>
    <row r="411" spans="1:3" hidden="1" x14ac:dyDescent="0.25">
      <c r="A411" t="s">
        <v>1018</v>
      </c>
      <c r="B411" s="111">
        <v>0.42</v>
      </c>
      <c r="C411" s="111">
        <v>0.57999999999999996</v>
      </c>
    </row>
    <row r="412" spans="1:3" hidden="1" x14ac:dyDescent="0.25">
      <c r="A412" t="s">
        <v>1314</v>
      </c>
      <c r="B412" s="26">
        <v>0.6</v>
      </c>
      <c r="C412" s="26">
        <v>0.4</v>
      </c>
    </row>
    <row r="413" spans="1:3" hidden="1" x14ac:dyDescent="0.25">
      <c r="A413" t="s">
        <v>189</v>
      </c>
      <c r="B413" s="111">
        <v>0.48</v>
      </c>
      <c r="C413" s="111">
        <v>0.52</v>
      </c>
    </row>
    <row r="414" spans="1:3" hidden="1" x14ac:dyDescent="0.25">
      <c r="A414" t="s">
        <v>1259</v>
      </c>
      <c r="B414" s="96">
        <v>0.52</v>
      </c>
      <c r="C414" s="96">
        <v>0.48</v>
      </c>
    </row>
    <row r="415" spans="1:3" hidden="1" x14ac:dyDescent="0.25">
      <c r="A415" t="s">
        <v>978</v>
      </c>
      <c r="B415" s="112">
        <v>0.57999999999999996</v>
      </c>
      <c r="C415" s="112">
        <v>0.42</v>
      </c>
    </row>
    <row r="416" spans="1:3" hidden="1" x14ac:dyDescent="0.25">
      <c r="A416" t="s">
        <v>991</v>
      </c>
      <c r="B416" s="112">
        <v>0.6</v>
      </c>
      <c r="C416" s="112">
        <v>0.4</v>
      </c>
    </row>
    <row r="417" spans="1:3" hidden="1" x14ac:dyDescent="0.25">
      <c r="A417" t="s">
        <v>327</v>
      </c>
      <c r="B417" s="111">
        <v>0.5</v>
      </c>
      <c r="C417" s="111">
        <v>0.5</v>
      </c>
    </row>
    <row r="418" spans="1:3" hidden="1" x14ac:dyDescent="0.25">
      <c r="A418" t="s">
        <v>160</v>
      </c>
      <c r="B418" s="111">
        <v>0.5</v>
      </c>
      <c r="C418" s="111">
        <v>0.5</v>
      </c>
    </row>
    <row r="419" spans="1:3" hidden="1" x14ac:dyDescent="0.25">
      <c r="A419" t="s">
        <v>981</v>
      </c>
      <c r="B419" s="112">
        <v>0.5</v>
      </c>
      <c r="C419" s="112">
        <v>0.5</v>
      </c>
    </row>
    <row r="420" spans="1:3" hidden="1" x14ac:dyDescent="0.25">
      <c r="A420" t="s">
        <v>1007</v>
      </c>
      <c r="B420" s="111">
        <v>0.45</v>
      </c>
      <c r="C420" s="111">
        <v>0.55000000000000004</v>
      </c>
    </row>
    <row r="421" spans="1:3" hidden="1" x14ac:dyDescent="0.25">
      <c r="A421" t="s">
        <v>1008</v>
      </c>
      <c r="B421" s="111">
        <v>0.5</v>
      </c>
      <c r="C421" s="111">
        <v>0.5</v>
      </c>
    </row>
    <row r="422" spans="1:3" hidden="1" x14ac:dyDescent="0.25">
      <c r="A422" t="s">
        <v>883</v>
      </c>
      <c r="B422" s="112">
        <v>0.45</v>
      </c>
      <c r="C422" s="112">
        <v>0.55000000000000004</v>
      </c>
    </row>
    <row r="423" spans="1:3" hidden="1" x14ac:dyDescent="0.25">
      <c r="A423" t="s">
        <v>157</v>
      </c>
      <c r="B423" s="111">
        <v>0.5</v>
      </c>
      <c r="C423" s="111">
        <v>0.5</v>
      </c>
    </row>
    <row r="424" spans="1:3" hidden="1" x14ac:dyDescent="0.25">
      <c r="A424" t="s">
        <v>489</v>
      </c>
      <c r="B424" s="110">
        <v>0.4</v>
      </c>
      <c r="C424" s="110">
        <v>0.6</v>
      </c>
    </row>
    <row r="425" spans="1:3" hidden="1" x14ac:dyDescent="0.25">
      <c r="A425" t="s">
        <v>185</v>
      </c>
      <c r="B425" s="111">
        <v>0.75</v>
      </c>
      <c r="C425" s="111">
        <v>0.25</v>
      </c>
    </row>
    <row r="426" spans="1:3" hidden="1" x14ac:dyDescent="0.25">
      <c r="A426" t="s">
        <v>1075</v>
      </c>
      <c r="B426" s="112">
        <v>0.55000000000000004</v>
      </c>
      <c r="C426" s="112">
        <v>0.45</v>
      </c>
    </row>
    <row r="427" spans="1:3" hidden="1" x14ac:dyDescent="0.25">
      <c r="A427" t="s">
        <v>487</v>
      </c>
      <c r="B427" s="110">
        <v>0.55000000000000004</v>
      </c>
      <c r="C427" s="110">
        <v>0.45</v>
      </c>
    </row>
    <row r="428" spans="1:3" hidden="1" x14ac:dyDescent="0.25">
      <c r="A428" t="s">
        <v>969</v>
      </c>
      <c r="B428" s="112">
        <v>0.5</v>
      </c>
      <c r="C428" s="112">
        <v>0.5</v>
      </c>
    </row>
    <row r="429" spans="1:3" hidden="1" x14ac:dyDescent="0.25">
      <c r="A429" t="s">
        <v>1092</v>
      </c>
      <c r="B429" s="26">
        <v>0.57125000000000004</v>
      </c>
      <c r="C429" s="26">
        <v>0.42874999999999996</v>
      </c>
    </row>
    <row r="430" spans="1:3" hidden="1" x14ac:dyDescent="0.25">
      <c r="A430" t="s">
        <v>1109</v>
      </c>
      <c r="B430" s="112">
        <v>0.4</v>
      </c>
      <c r="C430" s="112">
        <v>0.6</v>
      </c>
    </row>
    <row r="431" spans="1:3" hidden="1" x14ac:dyDescent="0.25">
      <c r="A431" t="s">
        <v>1090</v>
      </c>
      <c r="B431" s="26">
        <v>0.55249999999999999</v>
      </c>
      <c r="C431" s="26">
        <v>0.44750000000000001</v>
      </c>
    </row>
    <row r="432" spans="1:3" hidden="1" x14ac:dyDescent="0.25">
      <c r="A432" s="108" t="s">
        <v>1067</v>
      </c>
      <c r="B432" s="45">
        <v>0.38</v>
      </c>
      <c r="C432" s="45">
        <v>0.62</v>
      </c>
    </row>
    <row r="433" spans="1:3" hidden="1" x14ac:dyDescent="0.25">
      <c r="A433" s="51" t="s">
        <v>486</v>
      </c>
      <c r="B433" s="110">
        <v>0.4</v>
      </c>
      <c r="C433" s="110">
        <v>0.6</v>
      </c>
    </row>
    <row r="434" spans="1:3" hidden="1" x14ac:dyDescent="0.25">
      <c r="A434" s="51" t="s">
        <v>1108</v>
      </c>
      <c r="B434" s="112">
        <v>0.55000000000000004</v>
      </c>
      <c r="C434" s="112">
        <v>0.45</v>
      </c>
    </row>
    <row r="435" spans="1:3" hidden="1" x14ac:dyDescent="0.25">
      <c r="A435" s="51" t="s">
        <v>383</v>
      </c>
      <c r="B435" s="110">
        <v>0.53</v>
      </c>
      <c r="C435" s="110">
        <v>0.47</v>
      </c>
    </row>
    <row r="436" spans="1:3" hidden="1" x14ac:dyDescent="0.25">
      <c r="A436" s="51" t="s">
        <v>862</v>
      </c>
      <c r="B436" s="111">
        <v>0.52</v>
      </c>
      <c r="C436" s="111">
        <v>0.48</v>
      </c>
    </row>
    <row r="437" spans="1:3" hidden="1" x14ac:dyDescent="0.25">
      <c r="A437" s="116" t="s">
        <v>200</v>
      </c>
      <c r="B437" s="111">
        <v>0.55000000000000004</v>
      </c>
      <c r="C437" s="111">
        <v>0.45</v>
      </c>
    </row>
    <row r="438" spans="1:3" hidden="1" x14ac:dyDescent="0.25">
      <c r="A438" s="51" t="s">
        <v>304</v>
      </c>
      <c r="B438" s="110">
        <v>0.6</v>
      </c>
      <c r="C438" s="110">
        <v>0.4</v>
      </c>
    </row>
    <row r="439" spans="1:3" hidden="1" x14ac:dyDescent="0.25">
      <c r="A439" s="51" t="s">
        <v>1017</v>
      </c>
      <c r="B439" s="112">
        <v>0.52</v>
      </c>
      <c r="C439" s="110">
        <v>0.48</v>
      </c>
    </row>
    <row r="440" spans="1:3" hidden="1" x14ac:dyDescent="0.25">
      <c r="A440" s="116" t="s">
        <v>203</v>
      </c>
      <c r="B440" s="111">
        <v>0.57999999999999996</v>
      </c>
      <c r="C440" s="111">
        <v>0.42</v>
      </c>
    </row>
    <row r="441" spans="1:3" hidden="1" x14ac:dyDescent="0.25">
      <c r="A441" s="51" t="s">
        <v>287</v>
      </c>
      <c r="B441" s="111">
        <v>0.57999999999999996</v>
      </c>
      <c r="C441" s="111">
        <v>0.42</v>
      </c>
    </row>
    <row r="442" spans="1:3" hidden="1" x14ac:dyDescent="0.25">
      <c r="A442" s="51" t="s">
        <v>891</v>
      </c>
      <c r="B442" s="112">
        <v>0.55000000000000004</v>
      </c>
      <c r="C442" s="112">
        <v>0.45</v>
      </c>
    </row>
    <row r="443" spans="1:3" hidden="1" x14ac:dyDescent="0.25">
      <c r="A443" s="51" t="s">
        <v>184</v>
      </c>
      <c r="B443" s="111">
        <v>0.49</v>
      </c>
      <c r="C443" s="111">
        <v>0.51</v>
      </c>
    </row>
    <row r="444" spans="1:3" hidden="1" x14ac:dyDescent="0.25">
      <c r="A444" s="51" t="s">
        <v>1128</v>
      </c>
      <c r="B444" s="45">
        <v>0.45</v>
      </c>
      <c r="C444" s="45">
        <v>0.55000000000000004</v>
      </c>
    </row>
    <row r="445" spans="1:3" hidden="1" x14ac:dyDescent="0.25">
      <c r="A445" s="115" t="s">
        <v>1474</v>
      </c>
      <c r="B445" s="26">
        <v>0.5</v>
      </c>
      <c r="C445" s="26">
        <v>0.5</v>
      </c>
    </row>
    <row r="446" spans="1:3" hidden="1" x14ac:dyDescent="0.25">
      <c r="A446" s="51" t="s">
        <v>292</v>
      </c>
      <c r="B446" s="110">
        <v>0.52</v>
      </c>
      <c r="C446" s="110">
        <v>0.48</v>
      </c>
    </row>
    <row r="447" spans="1:3" hidden="1" x14ac:dyDescent="0.25">
      <c r="A447" s="51" t="s">
        <v>298</v>
      </c>
      <c r="B447" s="110">
        <v>0.52</v>
      </c>
      <c r="C447" s="110">
        <v>0.48</v>
      </c>
    </row>
    <row r="448" spans="1:3" hidden="1" x14ac:dyDescent="0.25">
      <c r="A448" s="51" t="s">
        <v>1179</v>
      </c>
      <c r="B448" s="45">
        <v>0.52</v>
      </c>
      <c r="C448" s="45">
        <v>0.48</v>
      </c>
    </row>
    <row r="449" spans="1:3" hidden="1" x14ac:dyDescent="0.25">
      <c r="A449" s="51" t="s">
        <v>186</v>
      </c>
      <c r="B449" s="111">
        <v>0.54</v>
      </c>
      <c r="C449" s="111">
        <v>0.46</v>
      </c>
    </row>
    <row r="450" spans="1:3" hidden="1" x14ac:dyDescent="0.25">
      <c r="A450" s="51" t="s">
        <v>187</v>
      </c>
      <c r="B450" s="111">
        <v>0.56999999999999995</v>
      </c>
      <c r="C450" s="111">
        <v>0.43</v>
      </c>
    </row>
    <row r="451" spans="1:3" hidden="1" x14ac:dyDescent="0.25">
      <c r="A451" s="51" t="s">
        <v>899</v>
      </c>
      <c r="B451" s="111">
        <v>0.56999999999999995</v>
      </c>
      <c r="C451" s="111">
        <v>0.43</v>
      </c>
    </row>
    <row r="452" spans="1:3" hidden="1" x14ac:dyDescent="0.25">
      <c r="A452" s="51" t="s">
        <v>1438</v>
      </c>
      <c r="B452" s="110">
        <v>0.49</v>
      </c>
      <c r="C452" s="110">
        <v>0.51</v>
      </c>
    </row>
    <row r="453" spans="1:3" hidden="1" x14ac:dyDescent="0.25">
      <c r="A453" s="51" t="s">
        <v>895</v>
      </c>
      <c r="B453" s="110">
        <v>0.56999999999999995</v>
      </c>
      <c r="C453" s="110">
        <v>0.43</v>
      </c>
    </row>
    <row r="454" spans="1:3" hidden="1" x14ac:dyDescent="0.25">
      <c r="A454" s="51" t="s">
        <v>1157</v>
      </c>
      <c r="B454" s="45">
        <v>0.5</v>
      </c>
      <c r="C454" s="45">
        <v>0.5</v>
      </c>
    </row>
    <row r="455" spans="1:3" hidden="1" x14ac:dyDescent="0.25">
      <c r="A455" s="51" t="s">
        <v>1281</v>
      </c>
      <c r="B455" s="96">
        <v>0.44</v>
      </c>
      <c r="C455" s="96">
        <v>0.56000000000000005</v>
      </c>
    </row>
    <row r="456" spans="1:3" hidden="1" x14ac:dyDescent="0.25">
      <c r="A456" s="51" t="s">
        <v>1284</v>
      </c>
      <c r="B456" s="111">
        <v>0.42</v>
      </c>
      <c r="C456" s="111">
        <v>0.57999999999999996</v>
      </c>
    </row>
    <row r="457" spans="1:3" hidden="1" x14ac:dyDescent="0.25">
      <c r="A457" s="51" t="s">
        <v>1178</v>
      </c>
      <c r="B457" s="45">
        <v>0.5</v>
      </c>
      <c r="C457" s="45">
        <v>0.5</v>
      </c>
    </row>
    <row r="458" spans="1:3" hidden="1" x14ac:dyDescent="0.25">
      <c r="A458" s="51" t="s">
        <v>244</v>
      </c>
      <c r="B458" s="110">
        <v>0.6</v>
      </c>
      <c r="C458" s="110">
        <v>0.4</v>
      </c>
    </row>
    <row r="459" spans="1:3" hidden="1" x14ac:dyDescent="0.25">
      <c r="A459" s="116" t="s">
        <v>201</v>
      </c>
      <c r="B459" s="111">
        <v>0.55000000000000004</v>
      </c>
      <c r="C459" s="111">
        <v>0.45</v>
      </c>
    </row>
    <row r="460" spans="1:3" hidden="1" x14ac:dyDescent="0.25">
      <c r="A460" s="51" t="s">
        <v>399</v>
      </c>
      <c r="B460" s="110">
        <v>0.6</v>
      </c>
      <c r="C460" s="110">
        <v>0.4</v>
      </c>
    </row>
    <row r="461" spans="1:3" hidden="1" x14ac:dyDescent="0.25">
      <c r="A461" s="51" t="s">
        <v>190</v>
      </c>
      <c r="B461" s="111">
        <v>0.65</v>
      </c>
      <c r="C461" s="111">
        <v>0.35</v>
      </c>
    </row>
    <row r="462" spans="1:3" hidden="1" x14ac:dyDescent="0.25">
      <c r="A462" s="51" t="s">
        <v>1277</v>
      </c>
      <c r="B462" s="96">
        <v>0.53</v>
      </c>
      <c r="C462" s="96">
        <v>0.47</v>
      </c>
    </row>
    <row r="463" spans="1:3" hidden="1" x14ac:dyDescent="0.25">
      <c r="A463" s="51" t="s">
        <v>165</v>
      </c>
      <c r="B463" s="111">
        <v>0.48</v>
      </c>
      <c r="C463" s="111">
        <v>0.52</v>
      </c>
    </row>
    <row r="464" spans="1:3" hidden="1" x14ac:dyDescent="0.25">
      <c r="A464" s="51" t="s">
        <v>297</v>
      </c>
      <c r="B464" s="110">
        <v>0.51</v>
      </c>
      <c r="C464" s="110">
        <v>0.49</v>
      </c>
    </row>
    <row r="465" spans="1:3" hidden="1" x14ac:dyDescent="0.25">
      <c r="A465" s="51" t="s">
        <v>303</v>
      </c>
      <c r="B465" s="110">
        <v>0.51</v>
      </c>
      <c r="C465" s="110">
        <v>0.49</v>
      </c>
    </row>
    <row r="466" spans="1:3" hidden="1" x14ac:dyDescent="0.25">
      <c r="A466" s="51" t="s">
        <v>217</v>
      </c>
      <c r="B466" s="111">
        <v>0.57999999999999996</v>
      </c>
      <c r="C466" s="111">
        <v>0.42</v>
      </c>
    </row>
    <row r="467" spans="1:3" hidden="1" x14ac:dyDescent="0.25">
      <c r="A467" t="s">
        <v>874</v>
      </c>
      <c r="B467" s="111">
        <v>0.59</v>
      </c>
      <c r="C467" s="111">
        <v>0.41000000000000003</v>
      </c>
    </row>
    <row r="468" spans="1:3" x14ac:dyDescent="0.25">
      <c r="A468" s="51" t="s">
        <v>423</v>
      </c>
      <c r="B468" s="111">
        <v>0.7</v>
      </c>
      <c r="C468" s="111">
        <v>0.3</v>
      </c>
    </row>
    <row r="469" spans="1:3" hidden="1" x14ac:dyDescent="0.25">
      <c r="A469" s="51" t="s">
        <v>1294</v>
      </c>
      <c r="B469" s="45">
        <v>0.5</v>
      </c>
      <c r="C469" s="45">
        <v>0.5</v>
      </c>
    </row>
    <row r="470" spans="1:3" hidden="1" x14ac:dyDescent="0.25">
      <c r="A470" s="51" t="s">
        <v>286</v>
      </c>
      <c r="B470" s="110">
        <v>0.54499999999999993</v>
      </c>
      <c r="C470" s="110">
        <v>0.45499999999999996</v>
      </c>
    </row>
    <row r="471" spans="1:3" hidden="1" x14ac:dyDescent="0.25">
      <c r="A471" s="51" t="s">
        <v>933</v>
      </c>
      <c r="B471" s="112">
        <v>0.42</v>
      </c>
      <c r="C471" s="112">
        <v>0.57999999999999996</v>
      </c>
    </row>
    <row r="472" spans="1:3" hidden="1" x14ac:dyDescent="0.25">
      <c r="A472" s="115" t="s">
        <v>1523</v>
      </c>
      <c r="B472" s="110">
        <v>0.55000000000000004</v>
      </c>
      <c r="C472" s="110">
        <v>0.45</v>
      </c>
    </row>
    <row r="473" spans="1:3" hidden="1" x14ac:dyDescent="0.25">
      <c r="A473" s="51" t="s">
        <v>1130</v>
      </c>
      <c r="B473" s="45">
        <v>0.6</v>
      </c>
      <c r="C473" s="45">
        <v>0.4</v>
      </c>
    </row>
    <row r="474" spans="1:3" hidden="1" x14ac:dyDescent="0.25">
      <c r="A474" s="115" t="s">
        <v>1529</v>
      </c>
      <c r="B474" s="110">
        <v>0.5</v>
      </c>
      <c r="C474" s="110">
        <v>0.5</v>
      </c>
    </row>
    <row r="475" spans="1:3" hidden="1" x14ac:dyDescent="0.25">
      <c r="A475" s="51" t="s">
        <v>887</v>
      </c>
      <c r="B475" s="110">
        <v>0.53</v>
      </c>
      <c r="C475" s="110">
        <v>0.47</v>
      </c>
    </row>
    <row r="476" spans="1:3" hidden="1" x14ac:dyDescent="0.25">
      <c r="A476" s="51" t="s">
        <v>503</v>
      </c>
      <c r="B476" s="110">
        <v>0.4</v>
      </c>
      <c r="C476" s="110">
        <v>0.6</v>
      </c>
    </row>
    <row r="477" spans="1:3" hidden="1" x14ac:dyDescent="0.25">
      <c r="A477" s="51" t="s">
        <v>358</v>
      </c>
      <c r="B477" s="111">
        <v>0.4</v>
      </c>
      <c r="C477" s="111">
        <v>0.6</v>
      </c>
    </row>
    <row r="478" spans="1:3" hidden="1" x14ac:dyDescent="0.25">
      <c r="A478" s="51" t="s">
        <v>172</v>
      </c>
      <c r="B478" s="111">
        <v>0.4</v>
      </c>
      <c r="C478" s="111">
        <v>0.6</v>
      </c>
    </row>
    <row r="479" spans="1:3" hidden="1" x14ac:dyDescent="0.25">
      <c r="A479" s="51" t="s">
        <v>501</v>
      </c>
      <c r="B479" s="110">
        <v>0.33</v>
      </c>
      <c r="C479" s="110">
        <v>0.67</v>
      </c>
    </row>
    <row r="480" spans="1:3" hidden="1" x14ac:dyDescent="0.25">
      <c r="A480" s="51" t="s">
        <v>265</v>
      </c>
      <c r="B480" s="110">
        <v>0.54</v>
      </c>
      <c r="C480" s="110">
        <v>0.45999999999999996</v>
      </c>
    </row>
    <row r="481" spans="1:3" hidden="1" x14ac:dyDescent="0.25">
      <c r="A481" s="51" t="s">
        <v>291</v>
      </c>
      <c r="B481" s="110">
        <v>0.56999999999999995</v>
      </c>
      <c r="C481" s="110">
        <v>0.43000000000000005</v>
      </c>
    </row>
    <row r="482" spans="1:3" hidden="1" x14ac:dyDescent="0.25">
      <c r="A482" s="51" t="s">
        <v>161</v>
      </c>
      <c r="B482" s="111">
        <v>0.4</v>
      </c>
      <c r="C482" s="111">
        <v>0.6</v>
      </c>
    </row>
    <row r="483" spans="1:3" hidden="1" x14ac:dyDescent="0.25">
      <c r="A483" s="51" t="s">
        <v>904</v>
      </c>
      <c r="B483" s="112">
        <v>0.54</v>
      </c>
      <c r="C483" s="112">
        <v>0.46</v>
      </c>
    </row>
    <row r="484" spans="1:3" x14ac:dyDescent="0.25">
      <c r="A484" s="51" t="s">
        <v>1040</v>
      </c>
      <c r="B484" s="112">
        <v>0.55000000000000004</v>
      </c>
      <c r="C484" s="110">
        <v>0.45</v>
      </c>
    </row>
    <row r="485" spans="1:3" x14ac:dyDescent="0.25">
      <c r="A485" s="51" t="s">
        <v>865</v>
      </c>
      <c r="B485" s="110">
        <v>0.55000000000000004</v>
      </c>
      <c r="C485" s="110">
        <v>0.45</v>
      </c>
    </row>
    <row r="486" spans="1:3" x14ac:dyDescent="0.25">
      <c r="A486" s="51" t="s">
        <v>884</v>
      </c>
      <c r="B486" s="110">
        <v>0.56000000000000005</v>
      </c>
      <c r="C486" s="110">
        <v>0.43999999999999995</v>
      </c>
    </row>
    <row r="487" spans="1:3" hidden="1" x14ac:dyDescent="0.25">
      <c r="A487" s="51" t="s">
        <v>1271</v>
      </c>
      <c r="B487" s="45">
        <v>0.48</v>
      </c>
      <c r="C487" s="45">
        <v>0.52</v>
      </c>
    </row>
    <row r="488" spans="1:3" hidden="1" x14ac:dyDescent="0.25">
      <c r="A488" s="51" t="s">
        <v>1133</v>
      </c>
      <c r="B488" s="45">
        <v>0.5</v>
      </c>
      <c r="C488" s="45">
        <v>0.5</v>
      </c>
    </row>
    <row r="489" spans="1:3" hidden="1" x14ac:dyDescent="0.25">
      <c r="A489" s="51" t="s">
        <v>163</v>
      </c>
      <c r="B489" s="111">
        <v>0.75</v>
      </c>
      <c r="C489" s="111">
        <v>0.25</v>
      </c>
    </row>
    <row r="490" spans="1:3" hidden="1" x14ac:dyDescent="0.25">
      <c r="A490" s="51" t="s">
        <v>188</v>
      </c>
      <c r="B490" s="111">
        <v>0.75</v>
      </c>
      <c r="C490" s="111">
        <v>0.25</v>
      </c>
    </row>
    <row r="491" spans="1:3" hidden="1" x14ac:dyDescent="0.25">
      <c r="A491" s="51" t="s">
        <v>980</v>
      </c>
      <c r="B491" s="112">
        <v>0.6</v>
      </c>
      <c r="C491" s="112">
        <v>0.4</v>
      </c>
    </row>
    <row r="492" spans="1:3" hidden="1" x14ac:dyDescent="0.25">
      <c r="A492" s="51" t="s">
        <v>1139</v>
      </c>
      <c r="B492" s="45">
        <v>0.55000000000000004</v>
      </c>
      <c r="C492" s="45">
        <v>0.45</v>
      </c>
    </row>
    <row r="493" spans="1:3" hidden="1" x14ac:dyDescent="0.25">
      <c r="A493" s="51" t="s">
        <v>936</v>
      </c>
      <c r="B493" s="111">
        <v>0.72</v>
      </c>
      <c r="C493" s="111">
        <v>0.28000000000000003</v>
      </c>
    </row>
    <row r="494" spans="1:3" hidden="1" x14ac:dyDescent="0.25">
      <c r="A494" s="51" t="s">
        <v>173</v>
      </c>
      <c r="B494" s="111">
        <v>0.55000000000000004</v>
      </c>
      <c r="C494" s="111">
        <v>0.45</v>
      </c>
    </row>
    <row r="495" spans="1:3" hidden="1" x14ac:dyDescent="0.25">
      <c r="A495" s="51" t="s">
        <v>897</v>
      </c>
      <c r="B495" s="110">
        <v>0.6</v>
      </c>
      <c r="C495" s="110">
        <v>0.4</v>
      </c>
    </row>
    <row r="496" spans="1:3" x14ac:dyDescent="0.25">
      <c r="A496" s="51" t="s">
        <v>1061</v>
      </c>
      <c r="B496" s="112">
        <v>0.55000000000000004</v>
      </c>
      <c r="C496" s="112">
        <v>0.45</v>
      </c>
    </row>
    <row r="497" spans="1:3" hidden="1" x14ac:dyDescent="0.25">
      <c r="A497" s="51" t="s">
        <v>930</v>
      </c>
      <c r="B497" s="110">
        <v>0.51</v>
      </c>
      <c r="C497" s="110">
        <v>0.49</v>
      </c>
    </row>
    <row r="498" spans="1:3" hidden="1" x14ac:dyDescent="0.25">
      <c r="A498" s="51" t="s">
        <v>258</v>
      </c>
      <c r="B498" s="111">
        <v>0.72</v>
      </c>
      <c r="C498" s="111">
        <v>0.28000000000000003</v>
      </c>
    </row>
    <row r="499" spans="1:3" hidden="1" x14ac:dyDescent="0.25">
      <c r="A499" s="51" t="s">
        <v>1196</v>
      </c>
      <c r="B499" s="45">
        <v>0.5</v>
      </c>
      <c r="C499" s="45">
        <v>0.5</v>
      </c>
    </row>
    <row r="500" spans="1:3" hidden="1" x14ac:dyDescent="0.25">
      <c r="A500" s="115" t="s">
        <v>1425</v>
      </c>
      <c r="B500" s="45">
        <v>0.5</v>
      </c>
      <c r="C500" s="45">
        <v>0.5</v>
      </c>
    </row>
    <row r="501" spans="1:3" hidden="1" x14ac:dyDescent="0.25">
      <c r="A501" s="115" t="s">
        <v>1429</v>
      </c>
      <c r="B501" s="45">
        <v>0.5</v>
      </c>
      <c r="C501" s="45">
        <v>0.5</v>
      </c>
    </row>
    <row r="502" spans="1:3" hidden="1" x14ac:dyDescent="0.25">
      <c r="A502" s="51" t="s">
        <v>1473</v>
      </c>
      <c r="B502" s="26">
        <v>0.5</v>
      </c>
      <c r="C502" s="26">
        <v>0.5</v>
      </c>
    </row>
    <row r="503" spans="1:3" hidden="1" x14ac:dyDescent="0.25">
      <c r="A503" s="51" t="s">
        <v>971</v>
      </c>
      <c r="B503" s="112">
        <v>0.56000000000000005</v>
      </c>
      <c r="C503" s="112">
        <v>0.44</v>
      </c>
    </row>
    <row r="504" spans="1:3" hidden="1" x14ac:dyDescent="0.25">
      <c r="A504" s="51" t="s">
        <v>1180</v>
      </c>
      <c r="B504" s="45">
        <v>0.4</v>
      </c>
      <c r="C504" s="45">
        <v>0.6</v>
      </c>
    </row>
    <row r="505" spans="1:3" hidden="1" x14ac:dyDescent="0.25">
      <c r="A505" s="115" t="s">
        <v>1420</v>
      </c>
      <c r="B505" s="26">
        <v>0.5</v>
      </c>
      <c r="C505" s="26">
        <v>0.5</v>
      </c>
    </row>
    <row r="506" spans="1:3" hidden="1" x14ac:dyDescent="0.25">
      <c r="A506" s="51" t="s">
        <v>1161</v>
      </c>
      <c r="B506" s="45">
        <v>0.5</v>
      </c>
      <c r="C506" s="45">
        <v>0.5</v>
      </c>
    </row>
    <row r="507" spans="1:3" hidden="1" x14ac:dyDescent="0.25">
      <c r="A507" s="51" t="s">
        <v>994</v>
      </c>
      <c r="B507" s="110">
        <v>0.5</v>
      </c>
      <c r="C507" s="110">
        <v>0.5</v>
      </c>
    </row>
    <row r="508" spans="1:3" hidden="1" x14ac:dyDescent="0.25">
      <c r="A508" s="51" t="s">
        <v>500</v>
      </c>
      <c r="B508" s="110">
        <v>0.5</v>
      </c>
      <c r="C508" s="110">
        <v>0.5</v>
      </c>
    </row>
    <row r="509" spans="1:3" hidden="1" x14ac:dyDescent="0.25">
      <c r="A509" s="51" t="s">
        <v>846</v>
      </c>
      <c r="B509" s="110">
        <v>0.56999999999999995</v>
      </c>
      <c r="C509" s="110">
        <v>0.43000000000000005</v>
      </c>
    </row>
    <row r="510" spans="1:3" hidden="1" x14ac:dyDescent="0.25">
      <c r="A510" s="108" t="s">
        <v>1064</v>
      </c>
      <c r="B510" s="45">
        <v>0.35</v>
      </c>
      <c r="C510" s="45">
        <v>0.65</v>
      </c>
    </row>
    <row r="511" spans="1:3" hidden="1" x14ac:dyDescent="0.25">
      <c r="A511" s="108" t="s">
        <v>1063</v>
      </c>
      <c r="B511" s="45">
        <v>0.4</v>
      </c>
      <c r="C511" s="45">
        <v>0.6</v>
      </c>
    </row>
    <row r="512" spans="1:3" hidden="1" x14ac:dyDescent="0.25">
      <c r="A512" s="51" t="s">
        <v>1206</v>
      </c>
      <c r="B512" s="45">
        <v>0.46</v>
      </c>
      <c r="C512" s="45">
        <v>0.54</v>
      </c>
    </row>
    <row r="513" spans="1:3" hidden="1" x14ac:dyDescent="0.25">
      <c r="A513" s="51" t="s">
        <v>1203</v>
      </c>
      <c r="B513" s="45">
        <v>0.44</v>
      </c>
      <c r="C513" s="45">
        <v>0.56000000000000005</v>
      </c>
    </row>
    <row r="514" spans="1:3" x14ac:dyDescent="0.25">
      <c r="A514" s="51" t="s">
        <v>1131</v>
      </c>
      <c r="B514" s="45">
        <v>0.5</v>
      </c>
      <c r="C514" s="45">
        <v>0.5</v>
      </c>
    </row>
    <row r="515" spans="1:3" hidden="1" x14ac:dyDescent="0.25">
      <c r="A515" s="51" t="s">
        <v>1211</v>
      </c>
      <c r="B515" s="45">
        <v>0.46</v>
      </c>
      <c r="C515" s="45">
        <v>0.54</v>
      </c>
    </row>
    <row r="516" spans="1:3" hidden="1" x14ac:dyDescent="0.25">
      <c r="A516" s="51" t="s">
        <v>1134</v>
      </c>
      <c r="B516" s="45">
        <v>0.45</v>
      </c>
      <c r="C516" s="45">
        <v>0.55000000000000004</v>
      </c>
    </row>
    <row r="517" spans="1:3" hidden="1" x14ac:dyDescent="0.25">
      <c r="A517" s="51" t="s">
        <v>968</v>
      </c>
      <c r="B517" s="112">
        <v>0.5</v>
      </c>
      <c r="C517" s="112">
        <v>0.5</v>
      </c>
    </row>
    <row r="518" spans="1:3" hidden="1" x14ac:dyDescent="0.25">
      <c r="A518" s="51" t="s">
        <v>1115</v>
      </c>
      <c r="B518" s="26">
        <v>0.52500000000000002</v>
      </c>
      <c r="C518" s="26">
        <v>0.47499999999999998</v>
      </c>
    </row>
    <row r="519" spans="1:3" hidden="1" x14ac:dyDescent="0.25">
      <c r="A519" s="46" t="s">
        <v>1778</v>
      </c>
      <c r="B519" s="112">
        <v>0.5</v>
      </c>
      <c r="C519" s="112">
        <v>0.5</v>
      </c>
    </row>
    <row r="520" spans="1:3" hidden="1" x14ac:dyDescent="0.25">
      <c r="A520" s="51" t="s">
        <v>1069</v>
      </c>
      <c r="B520" s="45">
        <v>0.5</v>
      </c>
      <c r="C520" s="45">
        <v>0.5</v>
      </c>
    </row>
    <row r="521" spans="1:3" hidden="1" x14ac:dyDescent="0.25">
      <c r="A521" s="115" t="s">
        <v>1430</v>
      </c>
      <c r="B521" s="111">
        <v>0.49</v>
      </c>
      <c r="C521" s="111">
        <v>0.51</v>
      </c>
    </row>
    <row r="522" spans="1:3" hidden="1" x14ac:dyDescent="0.25">
      <c r="A522" s="115" t="s">
        <v>1428</v>
      </c>
      <c r="B522" s="45">
        <v>0.46</v>
      </c>
      <c r="C522" s="45">
        <v>0.54</v>
      </c>
    </row>
    <row r="523" spans="1:3" hidden="1" x14ac:dyDescent="0.25">
      <c r="A523" s="51" t="s">
        <v>509</v>
      </c>
      <c r="B523" s="110">
        <v>0.6</v>
      </c>
      <c r="C523" s="110">
        <v>0.4</v>
      </c>
    </row>
    <row r="524" spans="1:3" hidden="1" x14ac:dyDescent="0.25">
      <c r="A524" s="51" t="s">
        <v>885</v>
      </c>
      <c r="B524" s="110">
        <v>0.48</v>
      </c>
      <c r="C524" s="110">
        <v>0.52</v>
      </c>
    </row>
    <row r="525" spans="1:3" hidden="1" x14ac:dyDescent="0.25">
      <c r="A525" s="51" t="s">
        <v>191</v>
      </c>
      <c r="B525" s="111">
        <v>0.5</v>
      </c>
      <c r="C525" s="111">
        <v>0.5</v>
      </c>
    </row>
    <row r="526" spans="1:3" hidden="1" x14ac:dyDescent="0.25">
      <c r="A526" s="51" t="s">
        <v>1071</v>
      </c>
      <c r="B526" s="45">
        <v>0.55000000000000004</v>
      </c>
      <c r="C526" s="45">
        <v>0.45</v>
      </c>
    </row>
    <row r="527" spans="1:3" hidden="1" x14ac:dyDescent="0.25">
      <c r="A527" s="51" t="s">
        <v>480</v>
      </c>
      <c r="B527" s="110">
        <v>0.45</v>
      </c>
      <c r="C527" s="110">
        <v>0.55000000000000004</v>
      </c>
    </row>
    <row r="528" spans="1:3" hidden="1" x14ac:dyDescent="0.25">
      <c r="A528" s="51" t="s">
        <v>918</v>
      </c>
      <c r="B528" s="111">
        <v>0.5</v>
      </c>
      <c r="C528" s="111">
        <v>0.5</v>
      </c>
    </row>
    <row r="529" spans="1:3" hidden="1" x14ac:dyDescent="0.25">
      <c r="A529" s="51" t="s">
        <v>1156</v>
      </c>
      <c r="B529" s="45">
        <v>0.55000000000000004</v>
      </c>
      <c r="C529" s="45">
        <v>0.45</v>
      </c>
    </row>
    <row r="530" spans="1:3" hidden="1" x14ac:dyDescent="0.25">
      <c r="A530" s="115" t="s">
        <v>1748</v>
      </c>
      <c r="B530" s="26">
        <v>0.52500000000000002</v>
      </c>
      <c r="C530" s="26">
        <v>0.47499999999999998</v>
      </c>
    </row>
    <row r="531" spans="1:3" hidden="1" x14ac:dyDescent="0.25">
      <c r="A531" s="51" t="s">
        <v>973</v>
      </c>
      <c r="B531" s="112">
        <v>0.65</v>
      </c>
      <c r="C531" s="112">
        <v>0.35</v>
      </c>
    </row>
    <row r="532" spans="1:3" hidden="1" x14ac:dyDescent="0.25">
      <c r="A532" s="51" t="s">
        <v>1760</v>
      </c>
      <c r="B532" s="45">
        <v>0.55000000000000004</v>
      </c>
      <c r="C532" s="45">
        <v>0.45</v>
      </c>
    </row>
    <row r="533" spans="1:3" hidden="1" x14ac:dyDescent="0.25">
      <c r="A533" s="51" t="s">
        <v>925</v>
      </c>
      <c r="B533" s="110">
        <v>0.48</v>
      </c>
      <c r="C533" s="110">
        <v>0.52</v>
      </c>
    </row>
    <row r="534" spans="1:3" hidden="1" x14ac:dyDescent="0.25">
      <c r="A534" s="51" t="s">
        <v>299</v>
      </c>
      <c r="B534" s="110">
        <v>0.52</v>
      </c>
      <c r="C534" s="110">
        <v>0.48</v>
      </c>
    </row>
    <row r="535" spans="1:3" hidden="1" x14ac:dyDescent="0.25">
      <c r="A535" s="51" t="s">
        <v>496</v>
      </c>
      <c r="B535" s="110">
        <v>0.65</v>
      </c>
      <c r="C535" s="110">
        <v>0.35</v>
      </c>
    </row>
    <row r="536" spans="1:3" hidden="1" x14ac:dyDescent="0.25">
      <c r="A536" s="51" t="s">
        <v>497</v>
      </c>
      <c r="B536" s="110">
        <v>0.4</v>
      </c>
      <c r="C536" s="110">
        <v>0.6</v>
      </c>
    </row>
    <row r="537" spans="1:3" hidden="1" x14ac:dyDescent="0.25">
      <c r="A537" s="51" t="s">
        <v>1421</v>
      </c>
      <c r="B537" s="26">
        <v>0.5</v>
      </c>
      <c r="C537" s="26">
        <v>0.5</v>
      </c>
    </row>
    <row r="538" spans="1:3" hidden="1" x14ac:dyDescent="0.25">
      <c r="A538" s="51" t="s">
        <v>1029</v>
      </c>
      <c r="B538" s="110">
        <v>0.7</v>
      </c>
      <c r="C538" s="110">
        <v>0.3</v>
      </c>
    </row>
    <row r="539" spans="1:3" hidden="1" x14ac:dyDescent="0.25">
      <c r="A539" s="51" t="s">
        <v>448</v>
      </c>
      <c r="B539" s="110">
        <v>0.7</v>
      </c>
      <c r="C539" s="110">
        <v>0.3</v>
      </c>
    </row>
    <row r="540" spans="1:3" hidden="1" x14ac:dyDescent="0.25">
      <c r="A540" s="115" t="s">
        <v>1424</v>
      </c>
      <c r="B540" s="26">
        <v>0.5</v>
      </c>
      <c r="C540" s="26">
        <v>0.5</v>
      </c>
    </row>
    <row r="541" spans="1:3" hidden="1" x14ac:dyDescent="0.25">
      <c r="A541" s="51" t="s">
        <v>1472</v>
      </c>
      <c r="B541" s="26">
        <v>0.51</v>
      </c>
      <c r="C541" s="26">
        <v>0.49</v>
      </c>
    </row>
    <row r="542" spans="1:3" hidden="1" x14ac:dyDescent="0.25">
      <c r="A542" s="51" t="s">
        <v>946</v>
      </c>
      <c r="B542" s="112">
        <v>0.55000000000000004</v>
      </c>
      <c r="C542" s="112">
        <v>0.45</v>
      </c>
    </row>
    <row r="543" spans="1:3" hidden="1" x14ac:dyDescent="0.25">
      <c r="A543" s="51" t="s">
        <v>1543</v>
      </c>
      <c r="B543" s="110">
        <v>0.65</v>
      </c>
      <c r="C543" s="110">
        <v>0.35</v>
      </c>
    </row>
    <row r="544" spans="1:3" hidden="1" x14ac:dyDescent="0.25">
      <c r="A544" s="51" t="s">
        <v>491</v>
      </c>
      <c r="B544" s="110">
        <v>0.65</v>
      </c>
      <c r="C544" s="110">
        <v>0.35</v>
      </c>
    </row>
    <row r="545" spans="1:3" hidden="1" x14ac:dyDescent="0.25">
      <c r="A545" s="51" t="s">
        <v>1001</v>
      </c>
      <c r="B545" s="110">
        <v>0.5</v>
      </c>
      <c r="C545" s="110">
        <v>0.5</v>
      </c>
    </row>
    <row r="546" spans="1:3" hidden="1" x14ac:dyDescent="0.25">
      <c r="A546" s="51" t="s">
        <v>919</v>
      </c>
      <c r="B546" s="112">
        <v>0.57999999999999996</v>
      </c>
      <c r="C546" s="112">
        <v>0.42</v>
      </c>
    </row>
    <row r="547" spans="1:3" hidden="1" x14ac:dyDescent="0.25">
      <c r="A547" s="51" t="s">
        <v>998</v>
      </c>
      <c r="B547" s="110">
        <v>0.65</v>
      </c>
      <c r="C547" s="110">
        <v>0.35</v>
      </c>
    </row>
    <row r="548" spans="1:3" x14ac:dyDescent="0.25">
      <c r="A548" s="115" t="s">
        <v>1524</v>
      </c>
      <c r="B548" s="110">
        <v>0.55000000000000004</v>
      </c>
      <c r="C548" s="110">
        <v>0.45</v>
      </c>
    </row>
    <row r="549" spans="1:3" x14ac:dyDescent="0.25">
      <c r="A549" s="51" t="s">
        <v>1155</v>
      </c>
      <c r="B549" s="45">
        <v>0.6</v>
      </c>
      <c r="C549" s="45">
        <v>0.4</v>
      </c>
    </row>
    <row r="550" spans="1:3" hidden="1" x14ac:dyDescent="0.25">
      <c r="A550" s="51" t="s">
        <v>167</v>
      </c>
      <c r="B550" s="111">
        <v>0.67</v>
      </c>
      <c r="C550" s="111">
        <v>0.33</v>
      </c>
    </row>
    <row r="551" spans="1:3" hidden="1" x14ac:dyDescent="0.25">
      <c r="A551" s="51" t="s">
        <v>961</v>
      </c>
      <c r="B551" s="112">
        <v>0.55000000000000004</v>
      </c>
      <c r="C551" s="112">
        <v>0.45</v>
      </c>
    </row>
    <row r="552" spans="1:3" x14ac:dyDescent="0.25">
      <c r="A552" s="51" t="s">
        <v>952</v>
      </c>
      <c r="B552" s="112">
        <v>0.6</v>
      </c>
      <c r="C552" s="112">
        <v>0.4</v>
      </c>
    </row>
    <row r="553" spans="1:3" hidden="1" x14ac:dyDescent="0.25">
      <c r="A553" s="108" t="s">
        <v>1082</v>
      </c>
      <c r="B553" s="45">
        <v>0.55000000000000004</v>
      </c>
      <c r="C553" s="45">
        <v>0.45</v>
      </c>
    </row>
    <row r="554" spans="1:3" hidden="1" x14ac:dyDescent="0.25">
      <c r="A554" s="51" t="s">
        <v>847</v>
      </c>
      <c r="B554" s="110">
        <v>0.6</v>
      </c>
      <c r="C554" s="110">
        <v>0.4</v>
      </c>
    </row>
    <row r="555" spans="1:3" hidden="1" x14ac:dyDescent="0.25">
      <c r="A555" s="51" t="s">
        <v>1100</v>
      </c>
      <c r="B555" s="26">
        <v>0.52500000000000002</v>
      </c>
      <c r="C555" s="26">
        <v>0.47499999999999998</v>
      </c>
    </row>
    <row r="556" spans="1:3" hidden="1" x14ac:dyDescent="0.25">
      <c r="A556" s="51" t="s">
        <v>337</v>
      </c>
      <c r="B556" s="110">
        <v>0.55000000000000004</v>
      </c>
      <c r="C556" s="110">
        <v>0.45</v>
      </c>
    </row>
    <row r="557" spans="1:3" hidden="1" x14ac:dyDescent="0.25">
      <c r="A557" s="51" t="s">
        <v>309</v>
      </c>
      <c r="B557" s="110">
        <v>0.59</v>
      </c>
      <c r="C557" s="110">
        <v>0.41000000000000003</v>
      </c>
    </row>
    <row r="558" spans="1:3" hidden="1" x14ac:dyDescent="0.25">
      <c r="A558" s="108" t="s">
        <v>1111</v>
      </c>
      <c r="B558" s="45">
        <v>0.68</v>
      </c>
      <c r="C558" s="45">
        <v>0.32</v>
      </c>
    </row>
    <row r="559" spans="1:3" hidden="1" x14ac:dyDescent="0.25">
      <c r="A559" s="51" t="s">
        <v>333</v>
      </c>
      <c r="B559" s="111">
        <v>0.61</v>
      </c>
      <c r="C559" s="111">
        <v>0.39</v>
      </c>
    </row>
    <row r="560" spans="1:3" hidden="1" x14ac:dyDescent="0.25">
      <c r="A560" s="51" t="s">
        <v>1448</v>
      </c>
      <c r="B560" s="26">
        <v>0.50624999999999998</v>
      </c>
      <c r="C560" s="26">
        <v>0.49375000000000002</v>
      </c>
    </row>
    <row r="561" spans="1:3" hidden="1" x14ac:dyDescent="0.25">
      <c r="A561" s="51" t="s">
        <v>979</v>
      </c>
      <c r="B561" s="112">
        <v>0.55000000000000004</v>
      </c>
      <c r="C561" s="112">
        <v>0.45</v>
      </c>
    </row>
    <row r="562" spans="1:3" hidden="1" x14ac:dyDescent="0.25">
      <c r="A562" s="51" t="s">
        <v>1275</v>
      </c>
      <c r="B562" s="96">
        <v>0.59</v>
      </c>
      <c r="C562" s="96">
        <v>0.41</v>
      </c>
    </row>
    <row r="563" spans="1:3" hidden="1" x14ac:dyDescent="0.25">
      <c r="A563" s="51" t="s">
        <v>1046</v>
      </c>
      <c r="B563" s="26">
        <v>0.56999999999999995</v>
      </c>
      <c r="C563" s="26">
        <v>0.43</v>
      </c>
    </row>
    <row r="564" spans="1:3" hidden="1" x14ac:dyDescent="0.25">
      <c r="A564" s="51" t="s">
        <v>1141</v>
      </c>
      <c r="B564" s="45">
        <v>0.6</v>
      </c>
      <c r="C564" s="45">
        <v>0.4</v>
      </c>
    </row>
    <row r="565" spans="1:3" hidden="1" x14ac:dyDescent="0.25">
      <c r="A565" s="51" t="s">
        <v>420</v>
      </c>
      <c r="B565" s="110">
        <v>0.62</v>
      </c>
      <c r="C565" s="110">
        <v>0.38</v>
      </c>
    </row>
    <row r="566" spans="1:3" hidden="1" x14ac:dyDescent="0.25">
      <c r="A566" s="115" t="s">
        <v>1470</v>
      </c>
      <c r="B566" s="26">
        <v>0.55000000000000004</v>
      </c>
      <c r="C566" s="26">
        <v>0.45</v>
      </c>
    </row>
    <row r="567" spans="1:3" hidden="1" x14ac:dyDescent="0.25">
      <c r="A567" s="115" t="s">
        <v>1470</v>
      </c>
      <c r="B567" s="26">
        <v>0.55000000000000004</v>
      </c>
      <c r="C567" s="26">
        <v>0.45</v>
      </c>
    </row>
    <row r="568" spans="1:3" hidden="1" x14ac:dyDescent="0.25">
      <c r="A568" s="51" t="s">
        <v>1042</v>
      </c>
      <c r="B568" s="112">
        <v>0.55000000000000004</v>
      </c>
      <c r="C568" s="110">
        <v>0.45</v>
      </c>
    </row>
    <row r="569" spans="1:3" x14ac:dyDescent="0.25">
      <c r="A569" s="51" t="s">
        <v>868</v>
      </c>
      <c r="B569" s="111">
        <v>0.6</v>
      </c>
      <c r="C569" s="111">
        <v>0.4</v>
      </c>
    </row>
    <row r="570" spans="1:3" x14ac:dyDescent="0.25">
      <c r="A570" s="51" t="s">
        <v>903</v>
      </c>
      <c r="B570" s="111">
        <v>0.57999999999999996</v>
      </c>
      <c r="C570" s="111">
        <v>0.42</v>
      </c>
    </row>
    <row r="571" spans="1:3" hidden="1" x14ac:dyDescent="0.25">
      <c r="A571" s="51" t="s">
        <v>1487</v>
      </c>
      <c r="B571" s="110">
        <v>0.62</v>
      </c>
      <c r="C571" s="110">
        <v>0.38</v>
      </c>
    </row>
    <row r="572" spans="1:3" hidden="1" x14ac:dyDescent="0.25">
      <c r="A572" s="51" t="s">
        <v>1143</v>
      </c>
      <c r="B572" s="45">
        <v>0.57999999999999996</v>
      </c>
      <c r="C572" s="45">
        <v>0.42</v>
      </c>
    </row>
    <row r="573" spans="1:3" hidden="1" x14ac:dyDescent="0.25">
      <c r="A573" s="51" t="s">
        <v>1295</v>
      </c>
      <c r="B573" s="45">
        <v>0.48</v>
      </c>
      <c r="C573" s="45">
        <v>0.52</v>
      </c>
    </row>
    <row r="574" spans="1:3" hidden="1" x14ac:dyDescent="0.25">
      <c r="A574" s="51" t="s">
        <v>162</v>
      </c>
      <c r="B574" s="111">
        <v>0.7</v>
      </c>
      <c r="C574" s="111">
        <v>0.3</v>
      </c>
    </row>
    <row r="575" spans="1:3" hidden="1" x14ac:dyDescent="0.25">
      <c r="A575" s="51" t="s">
        <v>280</v>
      </c>
      <c r="B575" s="110">
        <v>0.62</v>
      </c>
      <c r="C575" s="110">
        <v>0.38</v>
      </c>
    </row>
    <row r="576" spans="1:3" x14ac:dyDescent="0.25">
      <c r="A576" s="51" t="s">
        <v>450</v>
      </c>
      <c r="B576" s="111">
        <v>0.57999999999999996</v>
      </c>
      <c r="C576" s="111">
        <v>0.42</v>
      </c>
    </row>
    <row r="577" spans="1:3" hidden="1" x14ac:dyDescent="0.25">
      <c r="A577" s="51" t="s">
        <v>334</v>
      </c>
      <c r="B577" s="110">
        <v>0.56000000000000005</v>
      </c>
      <c r="C577" s="110">
        <v>0.43999999999999995</v>
      </c>
    </row>
    <row r="578" spans="1:3" hidden="1" x14ac:dyDescent="0.25">
      <c r="A578" s="51" t="s">
        <v>907</v>
      </c>
      <c r="B578" s="112">
        <v>0.6</v>
      </c>
      <c r="C578" s="112">
        <v>0.4</v>
      </c>
    </row>
    <row r="579" spans="1:3" hidden="1" x14ac:dyDescent="0.25">
      <c r="A579" s="51" t="s">
        <v>494</v>
      </c>
      <c r="B579" s="110">
        <v>0.55000000000000004</v>
      </c>
      <c r="C579" s="110">
        <v>0.45</v>
      </c>
    </row>
    <row r="580" spans="1:3" hidden="1" x14ac:dyDescent="0.25">
      <c r="A580" s="51" t="s">
        <v>493</v>
      </c>
      <c r="B580" s="110">
        <v>0.4</v>
      </c>
      <c r="C580" s="110">
        <v>0.6</v>
      </c>
    </row>
    <row r="581" spans="1:3" hidden="1" x14ac:dyDescent="0.25">
      <c r="A581" s="51" t="s">
        <v>437</v>
      </c>
      <c r="B581" s="26">
        <v>0.6</v>
      </c>
      <c r="C581" s="26">
        <v>0.4</v>
      </c>
    </row>
    <row r="582" spans="1:3" hidden="1" x14ac:dyDescent="0.25">
      <c r="A582" s="51" t="s">
        <v>932</v>
      </c>
      <c r="B582" s="26">
        <v>0.6</v>
      </c>
      <c r="C582" s="26">
        <v>0.4</v>
      </c>
    </row>
    <row r="583" spans="1:3" hidden="1" x14ac:dyDescent="0.25">
      <c r="A583" s="51" t="s">
        <v>310</v>
      </c>
      <c r="B583" s="110">
        <v>0.55000000000000004</v>
      </c>
      <c r="C583" s="110">
        <v>0.44999999999999996</v>
      </c>
    </row>
    <row r="584" spans="1:3" hidden="1" x14ac:dyDescent="0.25">
      <c r="A584" s="51" t="s">
        <v>1312</v>
      </c>
      <c r="B584" s="26">
        <v>0.55000000000000004</v>
      </c>
      <c r="C584" s="26">
        <v>0.45</v>
      </c>
    </row>
    <row r="585" spans="1:3" hidden="1" x14ac:dyDescent="0.25">
      <c r="A585" s="51" t="s">
        <v>1292</v>
      </c>
      <c r="B585" s="112">
        <v>0.45</v>
      </c>
      <c r="C585" s="112">
        <v>0.55000000000000004</v>
      </c>
    </row>
    <row r="586" spans="1:3" hidden="1" x14ac:dyDescent="0.25">
      <c r="A586" s="51" t="s">
        <v>1163</v>
      </c>
      <c r="B586" s="45">
        <v>0.46</v>
      </c>
      <c r="C586" s="45">
        <v>0.54</v>
      </c>
    </row>
    <row r="587" spans="1:3" hidden="1" x14ac:dyDescent="0.25">
      <c r="A587" s="51" t="s">
        <v>1759</v>
      </c>
      <c r="B587" s="96">
        <v>0.48</v>
      </c>
      <c r="C587" s="96">
        <v>0.52</v>
      </c>
    </row>
    <row r="588" spans="1:3" hidden="1" x14ac:dyDescent="0.25">
      <c r="A588" s="51" t="s">
        <v>177</v>
      </c>
      <c r="B588" s="111">
        <v>0.55000000000000004</v>
      </c>
      <c r="C588" s="111">
        <v>0.45</v>
      </c>
    </row>
    <row r="589" spans="1:3" hidden="1" x14ac:dyDescent="0.25">
      <c r="A589" s="51" t="s">
        <v>294</v>
      </c>
      <c r="B589" s="110">
        <v>0.56999999999999995</v>
      </c>
      <c r="C589" s="110">
        <v>0.43000000000000005</v>
      </c>
    </row>
    <row r="590" spans="1:3" hidden="1" x14ac:dyDescent="0.25">
      <c r="A590" s="51" t="s">
        <v>1299</v>
      </c>
      <c r="B590" s="45">
        <v>0.6</v>
      </c>
      <c r="C590" s="45">
        <v>0.4</v>
      </c>
    </row>
    <row r="591" spans="1:3" x14ac:dyDescent="0.25">
      <c r="A591" s="51" t="s">
        <v>1025</v>
      </c>
      <c r="B591" s="110">
        <v>0.6</v>
      </c>
      <c r="C591" s="110">
        <v>0.4</v>
      </c>
    </row>
    <row r="592" spans="1:3" hidden="1" x14ac:dyDescent="0.25">
      <c r="A592" t="s">
        <v>1219</v>
      </c>
      <c r="B592" s="45">
        <v>0.62</v>
      </c>
      <c r="C592" s="45">
        <v>0.38</v>
      </c>
    </row>
    <row r="593" spans="1:3" hidden="1" x14ac:dyDescent="0.25">
      <c r="A593" s="51" t="s">
        <v>324</v>
      </c>
      <c r="B593" s="110">
        <v>0.64</v>
      </c>
      <c r="C593" s="110">
        <v>0.36</v>
      </c>
    </row>
    <row r="594" spans="1:3" hidden="1" x14ac:dyDescent="0.25">
      <c r="A594" s="46" t="s">
        <v>1772</v>
      </c>
      <c r="B594" s="26">
        <v>0.53413793103448248</v>
      </c>
      <c r="C594" s="26">
        <v>0.46586206896551746</v>
      </c>
    </row>
    <row r="595" spans="1:3" hidden="1" x14ac:dyDescent="0.25">
      <c r="A595" s="51" t="s">
        <v>1761</v>
      </c>
      <c r="B595" s="110">
        <v>0.42</v>
      </c>
      <c r="C595" s="110">
        <v>0.57999999999999996</v>
      </c>
    </row>
    <row r="596" spans="1:3" hidden="1" x14ac:dyDescent="0.25">
      <c r="A596" s="51" t="s">
        <v>245</v>
      </c>
      <c r="B596" s="110">
        <v>0.57999999999999996</v>
      </c>
      <c r="C596" s="110">
        <v>0.42000000000000004</v>
      </c>
    </row>
    <row r="597" spans="1:3" hidden="1" x14ac:dyDescent="0.25">
      <c r="A597" s="51" t="s">
        <v>492</v>
      </c>
      <c r="B597" s="110">
        <v>0.6</v>
      </c>
      <c r="C597" s="110">
        <v>0.4</v>
      </c>
    </row>
    <row r="598" spans="1:3" hidden="1" x14ac:dyDescent="0.25">
      <c r="A598" s="51" t="s">
        <v>1268</v>
      </c>
      <c r="B598" s="96">
        <v>0.52</v>
      </c>
      <c r="C598" s="96">
        <v>0.48</v>
      </c>
    </row>
    <row r="599" spans="1:3" hidden="1" x14ac:dyDescent="0.25">
      <c r="A599" s="51" t="s">
        <v>1169</v>
      </c>
      <c r="B599" s="45">
        <v>0.62</v>
      </c>
      <c r="C599" s="45">
        <v>0.38</v>
      </c>
    </row>
    <row r="600" spans="1:3" hidden="1" x14ac:dyDescent="0.25">
      <c r="A600" s="51" t="s">
        <v>965</v>
      </c>
      <c r="B600" s="112">
        <v>0.7</v>
      </c>
      <c r="C600" s="112">
        <v>0.3</v>
      </c>
    </row>
    <row r="601" spans="1:3" hidden="1" x14ac:dyDescent="0.25">
      <c r="A601" s="51" t="s">
        <v>951</v>
      </c>
      <c r="B601" s="112">
        <v>0.6</v>
      </c>
      <c r="C601" s="112">
        <v>0.4</v>
      </c>
    </row>
    <row r="602" spans="1:3" hidden="1" x14ac:dyDescent="0.25">
      <c r="A602" s="51" t="s">
        <v>261</v>
      </c>
      <c r="B602" s="111">
        <v>0.4</v>
      </c>
      <c r="C602" s="111">
        <v>0.6</v>
      </c>
    </row>
    <row r="603" spans="1:3" hidden="1" x14ac:dyDescent="0.25">
      <c r="A603" s="51" t="s">
        <v>939</v>
      </c>
      <c r="B603" s="26">
        <v>0.5</v>
      </c>
      <c r="C603" s="26">
        <v>0.5</v>
      </c>
    </row>
    <row r="604" spans="1:3" hidden="1" x14ac:dyDescent="0.25">
      <c r="A604" s="51" t="s">
        <v>164</v>
      </c>
      <c r="B604" s="111">
        <v>0.4</v>
      </c>
      <c r="C604" s="111">
        <v>0.6</v>
      </c>
    </row>
    <row r="605" spans="1:3" hidden="1" x14ac:dyDescent="0.25">
      <c r="A605" s="51" t="s">
        <v>240</v>
      </c>
      <c r="B605" s="110">
        <v>0.53</v>
      </c>
      <c r="C605" s="110">
        <v>0.47</v>
      </c>
    </row>
    <row r="606" spans="1:3" hidden="1" x14ac:dyDescent="0.25">
      <c r="A606" s="51" t="s">
        <v>237</v>
      </c>
      <c r="B606" s="110">
        <v>0.5</v>
      </c>
      <c r="C606" s="110">
        <v>0.5</v>
      </c>
    </row>
    <row r="607" spans="1:3" hidden="1" x14ac:dyDescent="0.25">
      <c r="A607" s="51" t="s">
        <v>447</v>
      </c>
      <c r="B607" s="110">
        <v>0.5</v>
      </c>
      <c r="C607" s="110">
        <v>0.5</v>
      </c>
    </row>
    <row r="608" spans="1:3" hidden="1" x14ac:dyDescent="0.25">
      <c r="A608" s="51" t="s">
        <v>943</v>
      </c>
      <c r="B608" s="112">
        <v>0.5</v>
      </c>
      <c r="C608" s="112">
        <v>0.5</v>
      </c>
    </row>
    <row r="609" spans="1:3" hidden="1" x14ac:dyDescent="0.25">
      <c r="A609" s="51" t="s">
        <v>942</v>
      </c>
      <c r="B609" s="112">
        <v>0.45</v>
      </c>
      <c r="C609" s="112">
        <v>0.55000000000000004</v>
      </c>
    </row>
    <row r="610" spans="1:3" hidden="1" x14ac:dyDescent="0.25">
      <c r="A610" s="51" t="s">
        <v>987</v>
      </c>
      <c r="B610" s="111">
        <v>0.4</v>
      </c>
      <c r="C610" s="111">
        <v>0.6</v>
      </c>
    </row>
    <row r="611" spans="1:3" hidden="1" x14ac:dyDescent="0.25">
      <c r="A611" s="51" t="s">
        <v>180</v>
      </c>
      <c r="B611" s="111">
        <v>0.4</v>
      </c>
      <c r="C611" s="111">
        <v>0.6</v>
      </c>
    </row>
    <row r="612" spans="1:3" hidden="1" x14ac:dyDescent="0.25">
      <c r="A612" s="51" t="s">
        <v>909</v>
      </c>
      <c r="B612" s="112">
        <v>0.5</v>
      </c>
      <c r="C612" s="112">
        <v>0.5</v>
      </c>
    </row>
    <row r="613" spans="1:3" hidden="1" x14ac:dyDescent="0.25">
      <c r="A613" s="51" t="s">
        <v>1207</v>
      </c>
      <c r="B613" s="45">
        <v>0.48</v>
      </c>
      <c r="C613" s="45">
        <v>0.52</v>
      </c>
    </row>
    <row r="614" spans="1:3" hidden="1" x14ac:dyDescent="0.25">
      <c r="A614" s="51" t="s">
        <v>1014</v>
      </c>
      <c r="B614" s="110">
        <v>0.59</v>
      </c>
      <c r="C614" s="110">
        <v>0.41000000000000003</v>
      </c>
    </row>
    <row r="615" spans="1:3" hidden="1" x14ac:dyDescent="0.25">
      <c r="A615" s="51" t="s">
        <v>279</v>
      </c>
      <c r="B615" s="111">
        <v>0.45</v>
      </c>
      <c r="C615" s="111">
        <v>0.55000000000000004</v>
      </c>
    </row>
    <row r="616" spans="1:3" hidden="1" x14ac:dyDescent="0.25">
      <c r="A616" s="51" t="s">
        <v>1084</v>
      </c>
      <c r="B616" s="112">
        <v>0.5</v>
      </c>
      <c r="C616" s="112">
        <v>0.5</v>
      </c>
    </row>
    <row r="617" spans="1:3" hidden="1" x14ac:dyDescent="0.25">
      <c r="A617" s="51" t="s">
        <v>953</v>
      </c>
      <c r="B617" s="112">
        <v>0.5</v>
      </c>
      <c r="C617" s="112">
        <v>0.5</v>
      </c>
    </row>
    <row r="618" spans="1:3" ht="30" hidden="1" x14ac:dyDescent="0.25">
      <c r="A618" s="108" t="s">
        <v>1105</v>
      </c>
      <c r="B618" s="45">
        <v>0.42</v>
      </c>
      <c r="C618" s="45">
        <v>0.57999999999999996</v>
      </c>
    </row>
    <row r="619" spans="1:3" hidden="1" x14ac:dyDescent="0.25">
      <c r="A619" s="51" t="s">
        <v>970</v>
      </c>
      <c r="B619" s="112">
        <v>0.5</v>
      </c>
      <c r="C619" s="112">
        <v>0.5</v>
      </c>
    </row>
    <row r="620" spans="1:3" hidden="1" x14ac:dyDescent="0.25">
      <c r="A620" s="51" t="s">
        <v>1110</v>
      </c>
      <c r="B620" s="112">
        <v>0.5</v>
      </c>
      <c r="C620" s="112">
        <v>0.5</v>
      </c>
    </row>
    <row r="621" spans="1:3" hidden="1" x14ac:dyDescent="0.25">
      <c r="A621" s="51" t="s">
        <v>179</v>
      </c>
      <c r="B621" s="111">
        <v>0.3</v>
      </c>
      <c r="C621" s="111">
        <v>0.7</v>
      </c>
    </row>
    <row r="622" spans="1:3" hidden="1" x14ac:dyDescent="0.25">
      <c r="A622" s="46" t="s">
        <v>1780</v>
      </c>
      <c r="B622" s="26">
        <v>0.51500000000000001</v>
      </c>
      <c r="C622" s="26">
        <v>0.48499999999999999</v>
      </c>
    </row>
    <row r="623" spans="1:3" hidden="1" x14ac:dyDescent="0.25">
      <c r="A623" s="51" t="s">
        <v>194</v>
      </c>
      <c r="B623" s="111">
        <v>0.33</v>
      </c>
      <c r="C623" s="111">
        <v>0.67</v>
      </c>
    </row>
    <row r="624" spans="1:3" hidden="1" x14ac:dyDescent="0.25">
      <c r="A624" s="51" t="s">
        <v>312</v>
      </c>
      <c r="B624" s="111">
        <v>0.4</v>
      </c>
      <c r="C624" s="111">
        <v>0.6</v>
      </c>
    </row>
    <row r="625" spans="1:5" hidden="1" x14ac:dyDescent="0.25">
      <c r="A625" s="51" t="s">
        <v>508</v>
      </c>
      <c r="B625" s="110">
        <v>0.4</v>
      </c>
      <c r="C625" s="110">
        <v>0.6</v>
      </c>
    </row>
    <row r="626" spans="1:5" hidden="1" x14ac:dyDescent="0.25">
      <c r="A626" s="51" t="s">
        <v>864</v>
      </c>
      <c r="B626" s="110">
        <v>0.48</v>
      </c>
      <c r="C626" s="110">
        <v>0.52</v>
      </c>
    </row>
    <row r="627" spans="1:5" hidden="1" x14ac:dyDescent="0.25">
      <c r="A627" s="51" t="s">
        <v>1293</v>
      </c>
      <c r="B627" s="45">
        <v>0.55000000000000004</v>
      </c>
      <c r="C627" s="45">
        <v>0.45</v>
      </c>
    </row>
    <row r="628" spans="1:5" hidden="1" x14ac:dyDescent="0.25">
      <c r="A628" s="51" t="s">
        <v>1160</v>
      </c>
      <c r="B628" s="45">
        <v>0.42</v>
      </c>
      <c r="C628" s="45">
        <v>0.57999999999999996</v>
      </c>
    </row>
    <row r="629" spans="1:5" hidden="1" x14ac:dyDescent="0.25">
      <c r="A629" s="51" t="s">
        <v>1151</v>
      </c>
      <c r="B629" s="45">
        <v>0.42</v>
      </c>
      <c r="C629" s="45">
        <v>0.57999999999999996</v>
      </c>
    </row>
    <row r="630" spans="1:5" hidden="1" x14ac:dyDescent="0.25">
      <c r="A630" s="51" t="s">
        <v>1199</v>
      </c>
      <c r="B630" s="45">
        <v>0.45</v>
      </c>
      <c r="C630" s="45">
        <v>0.55000000000000004</v>
      </c>
      <c r="D630" s="45"/>
      <c r="E630" s="45"/>
    </row>
    <row r="631" spans="1:5" hidden="1" x14ac:dyDescent="0.25">
      <c r="A631" s="51" t="s">
        <v>306</v>
      </c>
      <c r="B631" s="110">
        <v>0.59</v>
      </c>
      <c r="C631" s="110">
        <v>0.41000000000000003</v>
      </c>
    </row>
    <row r="632" spans="1:5" hidden="1" x14ac:dyDescent="0.25">
      <c r="A632" s="51" t="s">
        <v>400</v>
      </c>
      <c r="B632" s="110">
        <v>0.59</v>
      </c>
      <c r="C632" s="110">
        <v>0.41000000000000003</v>
      </c>
      <c r="D632" s="27"/>
      <c r="E632" s="27"/>
    </row>
    <row r="633" spans="1:5" hidden="1" x14ac:dyDescent="0.25">
      <c r="A633" s="51" t="s">
        <v>1447</v>
      </c>
      <c r="B633" s="110">
        <v>0.52</v>
      </c>
      <c r="C633" s="110">
        <v>0.48</v>
      </c>
      <c r="D633" s="13"/>
      <c r="E633" s="13"/>
    </row>
    <row r="634" spans="1:5" hidden="1" x14ac:dyDescent="0.25">
      <c r="A634" s="51" t="s">
        <v>1144</v>
      </c>
      <c r="B634" s="45">
        <v>0.45</v>
      </c>
      <c r="C634" s="45">
        <v>0.55000000000000004</v>
      </c>
      <c r="D634" s="27"/>
      <c r="E634" s="27"/>
    </row>
    <row r="635" spans="1:5" hidden="1" x14ac:dyDescent="0.25">
      <c r="A635" t="s">
        <v>954</v>
      </c>
      <c r="B635" s="112">
        <v>0.45</v>
      </c>
      <c r="C635" s="112">
        <v>0.55000000000000004</v>
      </c>
      <c r="D635" s="27"/>
      <c r="E635" s="27"/>
    </row>
    <row r="636" spans="1:5" hidden="1" x14ac:dyDescent="0.25">
      <c r="A636" t="s">
        <v>1758</v>
      </c>
      <c r="B636" s="110">
        <v>0.56999999999999995</v>
      </c>
      <c r="C636" s="110">
        <v>0.43</v>
      </c>
      <c r="D636" s="13"/>
      <c r="E636" s="13"/>
    </row>
    <row r="637" spans="1:5" hidden="1" x14ac:dyDescent="0.25">
      <c r="A637" t="s">
        <v>995</v>
      </c>
      <c r="B637" s="110">
        <v>0.4</v>
      </c>
      <c r="C637" s="110">
        <v>0.6</v>
      </c>
      <c r="D637" s="45"/>
      <c r="E637" s="45"/>
    </row>
    <row r="638" spans="1:5" x14ac:dyDescent="0.25">
      <c r="A638" s="51" t="s">
        <v>1041</v>
      </c>
      <c r="B638" s="112">
        <v>0.65</v>
      </c>
      <c r="C638" s="110">
        <v>0.35</v>
      </c>
      <c r="D638" s="26"/>
      <c r="E638" s="26"/>
    </row>
    <row r="639" spans="1:5" x14ac:dyDescent="0.25">
      <c r="A639" s="51" t="s">
        <v>1528</v>
      </c>
      <c r="B639" s="110">
        <v>0.55000000000000004</v>
      </c>
      <c r="C639" s="110">
        <v>0.45</v>
      </c>
    </row>
    <row r="640" spans="1:5" x14ac:dyDescent="0.25">
      <c r="A640" s="51" t="s">
        <v>264</v>
      </c>
      <c r="B640" s="110">
        <v>0.7</v>
      </c>
      <c r="C640" s="110">
        <v>0.3</v>
      </c>
    </row>
    <row r="641" spans="1:3" x14ac:dyDescent="0.25">
      <c r="A641" s="51" t="s">
        <v>268</v>
      </c>
      <c r="B641" s="110">
        <v>0.6</v>
      </c>
      <c r="C641" s="110">
        <v>0.4</v>
      </c>
    </row>
    <row r="642" spans="1:3" x14ac:dyDescent="0.25">
      <c r="A642" s="51" t="s">
        <v>1086</v>
      </c>
      <c r="B642" s="112">
        <v>0.65</v>
      </c>
      <c r="C642" s="112">
        <v>0.35</v>
      </c>
    </row>
    <row r="643" spans="1:3" x14ac:dyDescent="0.25">
      <c r="A643" s="51" t="s">
        <v>498</v>
      </c>
      <c r="B643" s="110">
        <v>0.7</v>
      </c>
      <c r="C643" s="110">
        <v>0.3</v>
      </c>
    </row>
    <row r="644" spans="1:3" x14ac:dyDescent="0.25">
      <c r="A644" s="51" t="s">
        <v>894</v>
      </c>
      <c r="B644" s="110">
        <v>0.56000000000000005</v>
      </c>
      <c r="C644" s="110">
        <v>0.43999999999999995</v>
      </c>
    </row>
    <row r="645" spans="1:3" hidden="1" x14ac:dyDescent="0.25">
      <c r="A645" s="51" t="s">
        <v>1208</v>
      </c>
      <c r="B645" s="45">
        <v>0.47</v>
      </c>
      <c r="C645" s="45">
        <v>0.53</v>
      </c>
    </row>
    <row r="646" spans="1:3" hidden="1" x14ac:dyDescent="0.25">
      <c r="A646" s="51" t="s">
        <v>174</v>
      </c>
      <c r="B646" s="111">
        <v>0.7</v>
      </c>
      <c r="C646" s="111">
        <v>0.3</v>
      </c>
    </row>
    <row r="647" spans="1:3" hidden="1" x14ac:dyDescent="0.25">
      <c r="A647" s="51" t="s">
        <v>505</v>
      </c>
      <c r="B647" s="110">
        <v>0.7</v>
      </c>
      <c r="C647" s="110">
        <v>0.3</v>
      </c>
    </row>
    <row r="648" spans="1:3" hidden="1" x14ac:dyDescent="0.25">
      <c r="A648" s="51" t="s">
        <v>1167</v>
      </c>
      <c r="B648" s="45">
        <v>0.48</v>
      </c>
      <c r="C648" s="45">
        <v>0.52</v>
      </c>
    </row>
    <row r="649" spans="1:3" hidden="1" x14ac:dyDescent="0.25">
      <c r="A649" s="51" t="s">
        <v>1093</v>
      </c>
      <c r="B649" s="26">
        <v>0.61624999999999996</v>
      </c>
      <c r="C649" s="26">
        <v>0.38375000000000004</v>
      </c>
    </row>
    <row r="650" spans="1:3" hidden="1" x14ac:dyDescent="0.25">
      <c r="A650" s="51" t="s">
        <v>1132</v>
      </c>
      <c r="B650" s="45">
        <v>0.55000000000000004</v>
      </c>
      <c r="C650" s="45">
        <v>0.45</v>
      </c>
    </row>
    <row r="651" spans="1:3" hidden="1" x14ac:dyDescent="0.25">
      <c r="A651" s="51" t="s">
        <v>1269</v>
      </c>
      <c r="B651" s="96">
        <v>0.54</v>
      </c>
      <c r="C651" s="96">
        <v>0.46</v>
      </c>
    </row>
    <row r="652" spans="1:3" hidden="1" x14ac:dyDescent="0.25">
      <c r="A652" s="51" t="s">
        <v>1210</v>
      </c>
      <c r="B652" s="45">
        <v>0.5</v>
      </c>
      <c r="C652" s="45">
        <v>0.5</v>
      </c>
    </row>
    <row r="653" spans="1:3" hidden="1" x14ac:dyDescent="0.25">
      <c r="A653" s="51" t="s">
        <v>1213</v>
      </c>
      <c r="B653" s="45">
        <v>0.45</v>
      </c>
      <c r="C653" s="45">
        <v>0.55000000000000004</v>
      </c>
    </row>
    <row r="654" spans="1:3" hidden="1" x14ac:dyDescent="0.25">
      <c r="A654" s="51" t="s">
        <v>902</v>
      </c>
      <c r="B654" s="111">
        <v>0.75</v>
      </c>
      <c r="C654" s="111">
        <v>0.25</v>
      </c>
    </row>
    <row r="655" spans="1:3" hidden="1" x14ac:dyDescent="0.25">
      <c r="A655" s="51" t="s">
        <v>195</v>
      </c>
      <c r="B655" s="111">
        <v>0.75</v>
      </c>
      <c r="C655" s="111">
        <v>0.25</v>
      </c>
    </row>
    <row r="656" spans="1:3" hidden="1" x14ac:dyDescent="0.25">
      <c r="A656" s="51" t="s">
        <v>957</v>
      </c>
      <c r="B656" s="112">
        <v>0.7</v>
      </c>
      <c r="C656" s="112">
        <v>0.3</v>
      </c>
    </row>
    <row r="657" spans="1:5" hidden="1" x14ac:dyDescent="0.25">
      <c r="A657" s="108" t="s">
        <v>1074</v>
      </c>
      <c r="B657" s="45">
        <v>0.75</v>
      </c>
      <c r="C657" s="45">
        <v>0.25</v>
      </c>
    </row>
    <row r="658" spans="1:5" hidden="1" x14ac:dyDescent="0.25">
      <c r="A658" s="51" t="s">
        <v>322</v>
      </c>
      <c r="B658" s="111">
        <v>0.5</v>
      </c>
      <c r="C658" s="111">
        <v>0.5</v>
      </c>
    </row>
    <row r="659" spans="1:5" hidden="1" x14ac:dyDescent="0.25">
      <c r="A659" s="51" t="s">
        <v>1773</v>
      </c>
      <c r="B659" s="112">
        <v>0.7</v>
      </c>
      <c r="C659" s="112">
        <v>0.3</v>
      </c>
    </row>
    <row r="660" spans="1:5" hidden="1" x14ac:dyDescent="0.25">
      <c r="A660" s="51" t="s">
        <v>1776</v>
      </c>
      <c r="B660" s="112">
        <v>0.6</v>
      </c>
      <c r="C660" s="112">
        <v>0.4</v>
      </c>
    </row>
    <row r="661" spans="1:5" hidden="1" x14ac:dyDescent="0.25">
      <c r="A661" s="51" t="s">
        <v>284</v>
      </c>
      <c r="B661" s="110">
        <v>0.63</v>
      </c>
      <c r="C661" s="110">
        <v>0.37</v>
      </c>
    </row>
    <row r="662" spans="1:5" hidden="1" x14ac:dyDescent="0.25">
      <c r="A662" s="51" t="s">
        <v>956</v>
      </c>
      <c r="B662" s="112">
        <v>0.65</v>
      </c>
      <c r="C662" s="112">
        <v>0.35</v>
      </c>
    </row>
    <row r="663" spans="1:5" hidden="1" x14ac:dyDescent="0.25">
      <c r="A663" s="51" t="s">
        <v>1204</v>
      </c>
      <c r="B663" s="45">
        <v>0.56999999999999995</v>
      </c>
      <c r="C663" s="45">
        <v>0.43</v>
      </c>
    </row>
    <row r="664" spans="1:5" hidden="1" x14ac:dyDescent="0.25">
      <c r="A664" s="51" t="s">
        <v>1415</v>
      </c>
      <c r="B664" s="26">
        <v>0.55664940308988797</v>
      </c>
      <c r="C664" s="26">
        <v>0.44335059691011225</v>
      </c>
    </row>
    <row r="665" spans="1:5" hidden="1" x14ac:dyDescent="0.25">
      <c r="A665" s="51" t="s">
        <v>1193</v>
      </c>
      <c r="B665" s="45">
        <v>0.62</v>
      </c>
      <c r="C665" s="45">
        <v>0.38</v>
      </c>
    </row>
    <row r="666" spans="1:5" hidden="1" x14ac:dyDescent="0.25">
      <c r="A666" s="51" t="s">
        <v>1164</v>
      </c>
      <c r="B666" s="45">
        <v>0.45</v>
      </c>
      <c r="C666" s="45">
        <v>0.55000000000000004</v>
      </c>
    </row>
    <row r="667" spans="1:5" hidden="1" x14ac:dyDescent="0.25">
      <c r="A667" s="51" t="s">
        <v>910</v>
      </c>
      <c r="B667" s="112">
        <v>0.5</v>
      </c>
      <c r="C667" s="112">
        <v>0.5</v>
      </c>
    </row>
    <row r="668" spans="1:5" hidden="1" x14ac:dyDescent="0.25">
      <c r="A668" s="108" t="s">
        <v>1068</v>
      </c>
      <c r="B668" s="45">
        <v>0.52</v>
      </c>
      <c r="C668" s="45">
        <v>0.48</v>
      </c>
    </row>
    <row r="669" spans="1:5" hidden="1" x14ac:dyDescent="0.25">
      <c r="A669" s="51" t="s">
        <v>1296</v>
      </c>
      <c r="B669" s="45">
        <v>0.52</v>
      </c>
      <c r="C669" s="45">
        <v>0.48</v>
      </c>
      <c r="E669" s="98"/>
    </row>
    <row r="670" spans="1:5" hidden="1" x14ac:dyDescent="0.25">
      <c r="A670" s="51" t="s">
        <v>999</v>
      </c>
      <c r="B670" s="110">
        <v>0.7</v>
      </c>
      <c r="C670" s="110">
        <v>0.3</v>
      </c>
    </row>
    <row r="671" spans="1:5" hidden="1" x14ac:dyDescent="0.25">
      <c r="A671" s="51" t="s">
        <v>506</v>
      </c>
      <c r="B671" s="110">
        <v>0.57999999999999996</v>
      </c>
      <c r="C671" s="110">
        <v>0.42</v>
      </c>
    </row>
    <row r="672" spans="1:5" hidden="1" x14ac:dyDescent="0.25">
      <c r="A672" s="51" t="s">
        <v>507</v>
      </c>
      <c r="B672" s="110">
        <v>0.72</v>
      </c>
      <c r="C672" s="110">
        <v>0.28000000000000003</v>
      </c>
    </row>
    <row r="673" spans="1:3" hidden="1" x14ac:dyDescent="0.25">
      <c r="A673" s="51" t="s">
        <v>1165</v>
      </c>
      <c r="B673" s="45">
        <v>0.6</v>
      </c>
      <c r="C673" s="45">
        <v>0.4</v>
      </c>
    </row>
    <row r="674" spans="1:3" hidden="1" x14ac:dyDescent="0.25">
      <c r="A674" s="51" t="s">
        <v>168</v>
      </c>
      <c r="B674" s="111">
        <v>0.64</v>
      </c>
      <c r="C674" s="111">
        <v>0.36</v>
      </c>
    </row>
    <row r="675" spans="1:3" hidden="1" x14ac:dyDescent="0.25">
      <c r="A675" s="51" t="s">
        <v>1088</v>
      </c>
      <c r="B675" s="26">
        <v>0.57499999999999996</v>
      </c>
      <c r="C675" s="26">
        <v>0.42499999999999999</v>
      </c>
    </row>
    <row r="676" spans="1:3" hidden="1" x14ac:dyDescent="0.25">
      <c r="A676" s="51" t="s">
        <v>1089</v>
      </c>
      <c r="B676" s="26">
        <v>0.59000000000000008</v>
      </c>
      <c r="C676" s="26">
        <v>0.41</v>
      </c>
    </row>
    <row r="677" spans="1:3" hidden="1" x14ac:dyDescent="0.25">
      <c r="A677" s="51" t="s">
        <v>1104</v>
      </c>
      <c r="B677" s="112">
        <v>0.65</v>
      </c>
      <c r="C677" s="112">
        <v>0.35</v>
      </c>
    </row>
    <row r="678" spans="1:3" hidden="1" x14ac:dyDescent="0.25">
      <c r="A678" s="51" t="s">
        <v>159</v>
      </c>
      <c r="B678" s="111">
        <v>0.7</v>
      </c>
      <c r="C678" s="111">
        <v>0.3</v>
      </c>
    </row>
    <row r="679" spans="1:3" hidden="1" x14ac:dyDescent="0.25">
      <c r="A679" s="51" t="s">
        <v>166</v>
      </c>
      <c r="B679" s="111">
        <v>0.72</v>
      </c>
      <c r="C679" s="111">
        <v>0.28000000000000003</v>
      </c>
    </row>
    <row r="680" spans="1:3" hidden="1" x14ac:dyDescent="0.25">
      <c r="A680" s="51" t="s">
        <v>175</v>
      </c>
      <c r="B680" s="111">
        <v>0.72</v>
      </c>
      <c r="C680" s="111">
        <v>0.28000000000000003</v>
      </c>
    </row>
    <row r="681" spans="1:3" hidden="1" x14ac:dyDescent="0.25">
      <c r="A681" s="51" t="s">
        <v>336</v>
      </c>
      <c r="B681" s="110">
        <v>0.51</v>
      </c>
      <c r="C681" s="110">
        <v>0.49</v>
      </c>
    </row>
    <row r="682" spans="1:3" hidden="1" x14ac:dyDescent="0.25">
      <c r="A682" s="51" t="s">
        <v>504</v>
      </c>
      <c r="B682" s="110">
        <v>0.64</v>
      </c>
      <c r="C682" s="110">
        <v>0.36</v>
      </c>
    </row>
    <row r="683" spans="1:3" hidden="1" x14ac:dyDescent="0.25">
      <c r="A683" s="51" t="s">
        <v>1002</v>
      </c>
      <c r="B683" s="110">
        <v>0.5</v>
      </c>
      <c r="C683" s="110">
        <v>0.5</v>
      </c>
    </row>
    <row r="684" spans="1:3" x14ac:dyDescent="0.25">
      <c r="A684" s="51" t="s">
        <v>305</v>
      </c>
      <c r="B684" s="110">
        <v>0.56000000000000005</v>
      </c>
      <c r="C684" s="110">
        <v>0.43999999999999995</v>
      </c>
    </row>
    <row r="685" spans="1:3" hidden="1" x14ac:dyDescent="0.25">
      <c r="A685" s="51" t="s">
        <v>1315</v>
      </c>
      <c r="B685" s="26">
        <v>0.5</v>
      </c>
      <c r="C685" s="26">
        <v>0.5</v>
      </c>
    </row>
    <row r="686" spans="1:3" hidden="1" x14ac:dyDescent="0.25">
      <c r="A686" s="51" t="s">
        <v>1070</v>
      </c>
      <c r="B686" s="45">
        <v>0.65</v>
      </c>
      <c r="C686" s="45">
        <v>0.35</v>
      </c>
    </row>
    <row r="687" spans="1:3" ht="30" hidden="1" x14ac:dyDescent="0.25">
      <c r="A687" s="108" t="s">
        <v>1102</v>
      </c>
      <c r="B687" s="45">
        <v>0.8</v>
      </c>
      <c r="C687" s="45">
        <v>0.2</v>
      </c>
    </row>
    <row r="688" spans="1:3" hidden="1" x14ac:dyDescent="0.25">
      <c r="A688" s="46" t="s">
        <v>1782</v>
      </c>
      <c r="B688" s="45">
        <v>0.48</v>
      </c>
      <c r="C688" s="45">
        <v>0.52</v>
      </c>
    </row>
  </sheetData>
  <autoFilter ref="A1:C688" xr:uid="{8F0380B1-E759-4E8A-9BAC-36726A26A651}">
    <filterColumn colId="0">
      <filters>
        <filter val="Action, Superhero, Sci-Fi"/>
        <filter val="Action,Adventure,Comedy,Drama,Sci-Fi"/>
        <filter val="Action,Adventure,Comedy,Drama,Sci-Fi,Shonen"/>
        <filter val="Action,Adventure,Sci-Fi"/>
        <filter val="Action,Adventure,Sci-Fi,Thriler"/>
        <filter val="Action,Adventure,Sci-Fi,Thriller"/>
        <filter val="Action,Comedy,Sci-Fi"/>
        <filter val="Action,Drama,Sci-Fi"/>
        <filter val="Action,Sci-Fi"/>
        <filter val="Action,Sci-Fi,Shonen"/>
        <filter val="Action,Sci-Fi,Thriller"/>
        <filter val="Action,Thriller,Sci-Fi"/>
        <filter val="Adventure,Animation,Sci-Fi"/>
        <filter val="Adventure,Comdey,Family,Sci-Fi"/>
        <filter val="Adventure,Comedy,Science Fiction"/>
        <filter val="Adventure,Drama,Sci-Fi"/>
        <filter val="Adventure,Fantasy,Sci-Fi"/>
        <filter val="Adventure,Romance,Sci-Fi"/>
        <filter val="Adventure,Sci-Fi"/>
        <filter val="Adventure,Sci-Fi,Thriller"/>
        <filter val="Alien,Drama,Sci-Fi,Thriller"/>
        <filter val="Animation,Comedy,Sci-Fi"/>
        <filter val="Animation,Sci-Fi"/>
        <filter val="Comedy,Drama,Sci-Fi"/>
        <filter val="Comedy,Horror,Sci-Fi"/>
        <filter val="Comedy,Romance,Sci-Fi"/>
        <filter val="Comedy,Sci-Fi"/>
        <filter val="Drama,Mystery,Sci-Fi"/>
        <filter val="Drama,Sci- Fi"/>
        <filter val="Drama,Sci-Fi"/>
        <filter val="Drama,Sci-Fi,Thriller"/>
        <filter val="Drama,Thriller,Sci-Fi"/>
        <filter val="Family Drama,Sci- Fi"/>
        <filter val="History,Mystery,Investigation,Science"/>
        <filter val="History,Mystery,Science"/>
        <filter val="Horror, Action, Fantasy, Sci-Fi"/>
        <filter val="Horror,Sci-Fi"/>
        <filter val="Horror,Sci-Fi,Thriller"/>
        <filter val="Horror,Thriller,Sci-Fi"/>
        <filter val="Mystery,Sci-Fi"/>
        <filter val="Sci- Fi"/>
        <filter val="Sci- Fi,Drama,Fantasy"/>
        <filter val="Sci-Fi"/>
        <filter val="Sci-Fi Epic,Action,Adventure"/>
        <filter val="Sci-Fi, Fantasy"/>
        <filter val="Sci-Fi,Action,Adventure"/>
        <filter val="Sci-Fi,Thriller"/>
        <filter val="Thriller,Sci-Fi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338AB-0C10-4F72-A7FF-20C936169ED9}">
  <sheetPr codeName="Sheet9"/>
  <dimension ref="A1:BE22"/>
  <sheetViews>
    <sheetView topLeftCell="AB1" workbookViewId="0">
      <selection activeCell="BE1" sqref="BE1"/>
    </sheetView>
  </sheetViews>
  <sheetFormatPr defaultColWidth="8.85546875" defaultRowHeight="15" x14ac:dyDescent="0.25"/>
  <sheetData>
    <row r="1" spans="1:57" ht="135" x14ac:dyDescent="0.25">
      <c r="A1" s="24" t="s">
        <v>17</v>
      </c>
      <c r="B1" s="24" t="s">
        <v>18</v>
      </c>
      <c r="C1" s="24" t="s">
        <v>19</v>
      </c>
      <c r="D1" s="24" t="s">
        <v>20</v>
      </c>
      <c r="E1" s="24" t="s">
        <v>1814</v>
      </c>
      <c r="F1" s="24" t="s">
        <v>1815</v>
      </c>
      <c r="G1" s="24" t="s">
        <v>22</v>
      </c>
      <c r="H1" s="24" t="s">
        <v>23</v>
      </c>
      <c r="I1" s="24" t="s">
        <v>1816</v>
      </c>
      <c r="J1" s="24" t="s">
        <v>25</v>
      </c>
      <c r="K1" s="24" t="s">
        <v>26</v>
      </c>
      <c r="L1" s="24" t="s">
        <v>1817</v>
      </c>
      <c r="M1" s="24" t="s">
        <v>1818</v>
      </c>
      <c r="N1" s="24" t="s">
        <v>1818</v>
      </c>
      <c r="O1" s="24" t="s">
        <v>29</v>
      </c>
      <c r="P1" s="24" t="s">
        <v>30</v>
      </c>
      <c r="Q1" s="24" t="s">
        <v>1819</v>
      </c>
      <c r="R1" s="24" t="s">
        <v>1818</v>
      </c>
      <c r="S1" s="24" t="s">
        <v>32</v>
      </c>
      <c r="T1" s="24" t="s">
        <v>33</v>
      </c>
      <c r="U1" s="24" t="s">
        <v>1820</v>
      </c>
      <c r="V1" s="24" t="s">
        <v>1821</v>
      </c>
      <c r="W1" s="24" t="s">
        <v>1821</v>
      </c>
      <c r="X1" s="24" t="s">
        <v>1822</v>
      </c>
      <c r="Y1" s="24" t="s">
        <v>1823</v>
      </c>
      <c r="Z1" s="24" t="s">
        <v>36</v>
      </c>
      <c r="AA1" s="24" t="s">
        <v>37</v>
      </c>
      <c r="AB1" s="24" t="s">
        <v>1824</v>
      </c>
      <c r="AC1" s="24" t="s">
        <v>1825</v>
      </c>
      <c r="AD1" s="24" t="s">
        <v>1826</v>
      </c>
      <c r="AE1" s="24" t="s">
        <v>1827</v>
      </c>
      <c r="AF1" s="24" t="s">
        <v>1828</v>
      </c>
      <c r="AG1" s="24" t="s">
        <v>1829</v>
      </c>
      <c r="AH1" s="24" t="s">
        <v>1822</v>
      </c>
      <c r="AI1" s="24" t="s">
        <v>1817</v>
      </c>
      <c r="AJ1" s="24" t="s">
        <v>1819</v>
      </c>
      <c r="AK1" s="24" t="s">
        <v>1830</v>
      </c>
      <c r="AL1" s="24" t="s">
        <v>1831</v>
      </c>
      <c r="AM1" s="24" t="s">
        <v>1832</v>
      </c>
      <c r="AN1" s="24" t="s">
        <v>1833</v>
      </c>
      <c r="AO1" s="24" t="s">
        <v>1834</v>
      </c>
      <c r="AP1" s="24" t="s">
        <v>1835</v>
      </c>
      <c r="AQ1" s="24" t="s">
        <v>1836</v>
      </c>
      <c r="AR1" s="24" t="s">
        <v>1837</v>
      </c>
      <c r="AS1" s="24" t="s">
        <v>469</v>
      </c>
      <c r="AT1" s="24" t="s">
        <v>1838</v>
      </c>
      <c r="AU1" s="24" t="s">
        <v>1839</v>
      </c>
      <c r="AV1" s="24" t="s">
        <v>1840</v>
      </c>
      <c r="AW1" s="24" t="s">
        <v>1841</v>
      </c>
      <c r="AX1" s="24" t="s">
        <v>1820</v>
      </c>
      <c r="AY1" s="24" t="s">
        <v>1842</v>
      </c>
      <c r="AZ1" s="24" t="s">
        <v>1843</v>
      </c>
      <c r="BA1" s="24" t="s">
        <v>1813</v>
      </c>
      <c r="BB1" s="24" t="s">
        <v>1846</v>
      </c>
      <c r="BC1" s="24" t="s">
        <v>1844</v>
      </c>
      <c r="BD1" s="24" t="s">
        <v>1845</v>
      </c>
      <c r="BE1" s="24" t="s">
        <v>1847</v>
      </c>
    </row>
    <row r="2" spans="1:57" x14ac:dyDescent="0.25">
      <c r="A2" t="s">
        <v>47</v>
      </c>
      <c r="B2" t="s">
        <v>42</v>
      </c>
      <c r="C2" s="14">
        <v>7.0000000000000007E-2</v>
      </c>
      <c r="D2" s="15">
        <v>0.06</v>
      </c>
      <c r="E2" s="14">
        <f>AVERAGE(C2,D2)</f>
        <v>6.5000000000000002E-2</v>
      </c>
      <c r="F2" s="14">
        <f>AVERAGE(C2,D2,H2)</f>
        <v>4.5000000000000005E-2</v>
      </c>
      <c r="G2" s="16">
        <v>0.01</v>
      </c>
      <c r="H2" s="16">
        <v>5.0000000000000001E-3</v>
      </c>
      <c r="I2" s="14">
        <f>AVERAGE(G2,H2)</f>
        <v>7.4999999999999997E-3</v>
      </c>
      <c r="J2" s="14">
        <v>0.01</v>
      </c>
      <c r="K2" s="16">
        <v>0.01</v>
      </c>
      <c r="L2" s="15">
        <f>AVERAGE(G2,H2,J2,K2)</f>
        <v>8.7500000000000008E-3</v>
      </c>
      <c r="M2" s="15">
        <f>AVERAGE(C2,G2,H2,D2)</f>
        <v>3.6250000000000004E-2</v>
      </c>
      <c r="N2" s="15">
        <f>AVERAGE(C2,D2,G2,H2)</f>
        <v>3.6250000000000004E-2</v>
      </c>
      <c r="O2" s="16">
        <v>0.01</v>
      </c>
      <c r="P2" s="16">
        <v>0.4</v>
      </c>
      <c r="Q2" s="14">
        <f>AVERAGE(C2,K2,G2,H2,J2)</f>
        <v>2.0999999999999998E-2</v>
      </c>
      <c r="R2" s="14">
        <f>AVERAGE(C2,D2,H2,G2)</f>
        <v>3.6250000000000004E-2</v>
      </c>
      <c r="S2" s="16">
        <v>0.01</v>
      </c>
      <c r="T2" s="16">
        <v>0.01</v>
      </c>
      <c r="U2" s="14">
        <f>AVERAGE(C2,G2,H2,J2,O2,T2)</f>
        <v>1.9166666666666665E-2</v>
      </c>
      <c r="V2" s="14">
        <f>AVERAGE(C2,K2,G2,H2,J2,T2,O2)</f>
        <v>1.7857142857142856E-2</v>
      </c>
      <c r="W2" s="14">
        <f>AVERAGE(C2,K2,G2,H2,J2,T2,O2)</f>
        <v>1.7857142857142856E-2</v>
      </c>
      <c r="X2" s="14">
        <f>AVERAGE(C2,G2,H2,O2,T2)</f>
        <v>2.0999999999999998E-2</v>
      </c>
      <c r="Y2" s="14">
        <f>AVERAGE(K2,H2,J2)</f>
        <v>8.3333333333333332E-3</v>
      </c>
      <c r="Z2" s="16">
        <v>0.02</v>
      </c>
      <c r="AA2" s="16">
        <v>0.01</v>
      </c>
      <c r="AB2" s="14">
        <f>AVERAGE(C2,D2,Z2,AA2,H2,G2,T2,J2)</f>
        <v>2.4375000000000004E-2</v>
      </c>
      <c r="AC2" s="14">
        <f>AVERAGE(C2,H2,G2,T2,J2,O2,K2)</f>
        <v>1.7857142857142856E-2</v>
      </c>
      <c r="AD2" s="14">
        <f>AVERAGE(C2,D2,G2,H2,J2,T2,O2)</f>
        <v>2.5000000000000005E-2</v>
      </c>
      <c r="AE2" s="14">
        <f>AVERAGE(C2,D2,H2,T2,K2,J2,G2)</f>
        <v>2.5000000000000005E-2</v>
      </c>
      <c r="AF2" s="14">
        <f>AVERAGE(C2,G2,H2)</f>
        <v>2.8333333333333335E-2</v>
      </c>
      <c r="AG2" s="14">
        <f>AVERAGE(C2,G2,H2,K2)</f>
        <v>2.375E-2</v>
      </c>
      <c r="AH2" s="26">
        <f>AVERAGE(C2,O2,G2,T2,H2)</f>
        <v>2.0999999999999998E-2</v>
      </c>
      <c r="AI2" s="26">
        <f>AVERAGE(K2,G2,H2,J2)</f>
        <v>8.7500000000000008E-3</v>
      </c>
      <c r="AJ2" s="26">
        <f>AVERAGE(C2,G2,H2,K2,J2)</f>
        <v>2.0999999999999998E-2</v>
      </c>
      <c r="AK2" s="26">
        <f>AVERAGE(C2,D2,O2,G2,H2)</f>
        <v>3.1000000000000007E-2</v>
      </c>
      <c r="AL2" s="26">
        <f>AVERAGE(C2,D2,G2,H2,J2,K2)</f>
        <v>2.7500000000000007E-2</v>
      </c>
      <c r="AM2" s="26">
        <f>AVERAGE(D2,G2,H2)</f>
        <v>2.4999999999999998E-2</v>
      </c>
      <c r="AN2" s="26">
        <f>AVERAGE(C2,O2)</f>
        <v>0.04</v>
      </c>
      <c r="AO2" s="26">
        <f>AVERAGE(C2,G2)</f>
        <v>0.04</v>
      </c>
      <c r="AP2" s="26">
        <f>AVERAGE(I2,J2,K2)</f>
        <v>9.1666666666666684E-3</v>
      </c>
      <c r="AQ2" s="26">
        <f>AVERAGE(N2,J2)</f>
        <v>2.3125000000000003E-2</v>
      </c>
      <c r="AR2" s="26">
        <f>AVERAGE(AL2,O2,P2)</f>
        <v>0.14583333333333334</v>
      </c>
      <c r="AS2" s="16">
        <v>0.01</v>
      </c>
      <c r="AT2" s="26">
        <f>AVERAGE(D2,H2)</f>
        <v>3.2500000000000001E-2</v>
      </c>
      <c r="AU2" s="26">
        <f>AVERAGE(C2,G2,H2)</f>
        <v>2.8333333333333335E-2</v>
      </c>
      <c r="AV2" s="26">
        <f>AVERAGE(C2,D2,G2,H2,J2,O2,T2,Z2,S2)</f>
        <v>2.2777777777777782E-2</v>
      </c>
      <c r="AW2" s="27">
        <v>2.0999999999999998E-2</v>
      </c>
      <c r="AX2" s="26">
        <v>1.3666666666666667E-2</v>
      </c>
      <c r="AY2" s="26">
        <v>4.6666666666666669E-2</v>
      </c>
    </row>
    <row r="3" spans="1:57" x14ac:dyDescent="0.25">
      <c r="A3" t="s">
        <v>47</v>
      </c>
      <c r="B3" s="1" t="s">
        <v>53</v>
      </c>
      <c r="C3" s="14">
        <v>0.02</v>
      </c>
      <c r="D3" s="15">
        <v>0.12</v>
      </c>
      <c r="E3" s="14">
        <f t="shared" ref="E3:E12" si="0">AVERAGE(C3,D3)</f>
        <v>6.9999999999999993E-2</v>
      </c>
      <c r="F3" s="14">
        <f t="shared" ref="F3:F13" si="1">AVERAGE(C3,D3,H3)</f>
        <v>4.9999999999999996E-2</v>
      </c>
      <c r="G3" s="16">
        <v>0.3</v>
      </c>
      <c r="H3" s="16">
        <v>0.01</v>
      </c>
      <c r="I3" s="14">
        <f t="shared" ref="I3:I13" si="2">AVERAGE(G3,H3)</f>
        <v>0.155</v>
      </c>
      <c r="J3" s="17">
        <v>0.5</v>
      </c>
      <c r="K3" s="16">
        <v>0.03</v>
      </c>
      <c r="L3" s="15">
        <f t="shared" ref="L3:L13" si="3">AVERAGE(G3,H3,J3,K3)</f>
        <v>0.21000000000000002</v>
      </c>
      <c r="M3" s="15">
        <f t="shared" ref="M3:M13" si="4">AVERAGE(C3,G3,H3,D3)</f>
        <v>0.1125</v>
      </c>
      <c r="N3" s="15">
        <f t="shared" ref="N3:N13" si="5">AVERAGE(C3,D3,G3,H3)</f>
        <v>0.11249999999999999</v>
      </c>
      <c r="O3" s="16">
        <v>0.01</v>
      </c>
      <c r="P3" s="16">
        <v>0.01</v>
      </c>
      <c r="Q3" s="14">
        <f t="shared" ref="Q3:Q13" si="6">AVERAGE(C3,K3,G3,H3,J3)</f>
        <v>0.17199999999999999</v>
      </c>
      <c r="R3" s="14">
        <f t="shared" ref="R3:R13" si="7">AVERAGE(C3,D3,H3,G3)</f>
        <v>0.11249999999999999</v>
      </c>
      <c r="S3" s="16">
        <v>0.01</v>
      </c>
      <c r="T3" s="16">
        <v>0.01</v>
      </c>
      <c r="U3" s="14">
        <f t="shared" ref="U3:U13" si="8">AVERAGE(C3,G3,H3,J3,O3,T3)</f>
        <v>0.14166666666666669</v>
      </c>
      <c r="V3" s="14">
        <f t="shared" ref="V3:V13" si="9">AVERAGE(C3,K3,G3,H3,J3,T3,O3)</f>
        <v>0.12571428571428572</v>
      </c>
      <c r="W3" s="14">
        <f t="shared" ref="W3:W13" si="10">AVERAGE(C3,K3,G3,H3,J3,T3,O3)</f>
        <v>0.12571428571428572</v>
      </c>
      <c r="X3" s="14">
        <f t="shared" ref="X3:X13" si="11">AVERAGE(C3,G3,H3,O3,T3)</f>
        <v>7.0000000000000007E-2</v>
      </c>
      <c r="Y3" s="14">
        <f t="shared" ref="Y3:Y13" si="12">AVERAGE(K3,H3,J3)</f>
        <v>0.18000000000000002</v>
      </c>
      <c r="Z3" s="16">
        <v>0.01</v>
      </c>
      <c r="AA3" s="16">
        <v>5.0000000000000001E-3</v>
      </c>
      <c r="AB3" s="14">
        <f t="shared" ref="AB3:AB13" si="13">AVERAGE(C3,D3,Z3,AA3,H3,G3,T3,J3)</f>
        <v>0.121875</v>
      </c>
      <c r="AC3" s="14">
        <f t="shared" ref="AC3:AC13" si="14">AVERAGE(C3,H3,G3,T3,J3,O3,K3)</f>
        <v>0.12571428571428572</v>
      </c>
      <c r="AD3" s="14">
        <f t="shared" ref="AD3:AD13" si="15">AVERAGE(C3,D3,G3,H3,J3,T3,O3)</f>
        <v>0.13857142857142857</v>
      </c>
      <c r="AE3" s="14">
        <f t="shared" ref="AE3:AE13" si="16">AVERAGE(C3,D3,H3,T3,K3,J3,G3)</f>
        <v>0.14142857142857143</v>
      </c>
      <c r="AF3" s="14">
        <f t="shared" ref="AF3:AF13" si="17">AVERAGE(C3,G3,H3)</f>
        <v>0.11</v>
      </c>
      <c r="AG3" s="14">
        <f t="shared" ref="AG3:AG13" si="18">AVERAGE(C3,G3,H3,K3)</f>
        <v>0.09</v>
      </c>
      <c r="AH3" s="26">
        <f t="shared" ref="AH3:AH13" si="19">AVERAGE(C3,O3,G3,T3,H3)</f>
        <v>6.9999999999999993E-2</v>
      </c>
      <c r="AI3" s="26">
        <f t="shared" ref="AI3:AI13" si="20">AVERAGE(K3,G3,H3,J3)</f>
        <v>0.21</v>
      </c>
      <c r="AJ3" s="26">
        <f t="shared" ref="AJ3:AJ13" si="21">AVERAGE(C3,G3,H3,K3,J3)</f>
        <v>0.17199999999999999</v>
      </c>
      <c r="AK3" s="26">
        <f t="shared" ref="AK3:AK13" si="22">AVERAGE(C3,D3,O3,G3,H3)</f>
        <v>9.1999999999999998E-2</v>
      </c>
      <c r="AL3" s="26">
        <f t="shared" ref="AL3:AL13" si="23">AVERAGE(C3,D3,G3,H3,J3,K3)</f>
        <v>0.16333333333333333</v>
      </c>
      <c r="AM3" s="26">
        <f t="shared" ref="AM3:AM13" si="24">AVERAGE(D3,G3,H3)</f>
        <v>0.14333333333333334</v>
      </c>
      <c r="AN3" s="26">
        <f t="shared" ref="AN3:AN13" si="25">AVERAGE(C3,O3)</f>
        <v>1.4999999999999999E-2</v>
      </c>
      <c r="AO3" s="26">
        <f t="shared" ref="AO3:AO13" si="26">AVERAGE(C3,G3)</f>
        <v>0.16</v>
      </c>
      <c r="AP3" s="26">
        <f t="shared" ref="AP3:AP13" si="27">AVERAGE(I3,J3,K3)</f>
        <v>0.22833333333333336</v>
      </c>
      <c r="AQ3" s="26">
        <f t="shared" ref="AQ3:AQ13" si="28">AVERAGE(N3,J3)</f>
        <v>0.30625000000000002</v>
      </c>
      <c r="AR3" s="26">
        <f t="shared" ref="AR3:AR13" si="29">AVERAGE(AL3,O3,P3)</f>
        <v>6.1111111111111116E-2</v>
      </c>
      <c r="AS3" s="16">
        <v>5.0000000000000001E-3</v>
      </c>
      <c r="AT3" s="26">
        <f t="shared" ref="AT3:AT13" si="30">AVERAGE(D3,H3)</f>
        <v>6.5000000000000002E-2</v>
      </c>
      <c r="AU3" s="26">
        <f t="shared" ref="AU3:AU13" si="31">AVERAGE(C3,G3,H3)</f>
        <v>0.11</v>
      </c>
      <c r="AV3" s="26">
        <f t="shared" ref="AV3:AV13" si="32">AVERAGE(C3,D3,G3,H3,J3,O3,T3,Z3,S3)</f>
        <v>0.11</v>
      </c>
      <c r="AW3" s="27">
        <v>0.17199999999999999</v>
      </c>
      <c r="AX3" s="26">
        <v>6.4000000000000001E-2</v>
      </c>
      <c r="AY3" s="26">
        <v>5.6666666666666664E-2</v>
      </c>
    </row>
    <row r="4" spans="1:57" x14ac:dyDescent="0.25">
      <c r="A4" t="s">
        <v>47</v>
      </c>
      <c r="B4" s="1" t="s">
        <v>59</v>
      </c>
      <c r="C4" s="14">
        <v>0.02</v>
      </c>
      <c r="D4" s="15">
        <v>0.12</v>
      </c>
      <c r="E4" s="14">
        <f t="shared" si="0"/>
        <v>6.9999999999999993E-2</v>
      </c>
      <c r="F4" s="14">
        <f t="shared" si="1"/>
        <v>4.9999999999999996E-2</v>
      </c>
      <c r="G4" s="16">
        <v>0.3</v>
      </c>
      <c r="H4" s="16">
        <v>0.01</v>
      </c>
      <c r="I4" s="14">
        <f t="shared" si="2"/>
        <v>0.155</v>
      </c>
      <c r="J4" s="14">
        <v>0.02</v>
      </c>
      <c r="K4" s="16">
        <v>0.14000000000000001</v>
      </c>
      <c r="L4" s="15">
        <f t="shared" si="3"/>
        <v>0.11750000000000001</v>
      </c>
      <c r="M4" s="15">
        <f t="shared" si="4"/>
        <v>0.1125</v>
      </c>
      <c r="N4" s="15">
        <f t="shared" si="5"/>
        <v>0.11249999999999999</v>
      </c>
      <c r="O4" s="16">
        <v>0.01</v>
      </c>
      <c r="P4" s="16">
        <v>0.01</v>
      </c>
      <c r="Q4" s="14">
        <f t="shared" si="6"/>
        <v>9.8000000000000004E-2</v>
      </c>
      <c r="R4" s="14">
        <f t="shared" si="7"/>
        <v>0.11249999999999999</v>
      </c>
      <c r="S4" s="16">
        <v>0.01</v>
      </c>
      <c r="T4" s="16">
        <v>0.01</v>
      </c>
      <c r="U4" s="14">
        <f t="shared" si="8"/>
        <v>6.1666666666666675E-2</v>
      </c>
      <c r="V4" s="14">
        <f t="shared" si="9"/>
        <v>7.2857142857142856E-2</v>
      </c>
      <c r="W4" s="14">
        <f t="shared" si="10"/>
        <v>7.2857142857142856E-2</v>
      </c>
      <c r="X4" s="14">
        <f t="shared" si="11"/>
        <v>7.0000000000000007E-2</v>
      </c>
      <c r="Y4" s="14">
        <f t="shared" si="12"/>
        <v>5.6666666666666671E-2</v>
      </c>
      <c r="Z4" s="16">
        <v>0.01</v>
      </c>
      <c r="AA4" s="16">
        <v>5.0000000000000001E-3</v>
      </c>
      <c r="AB4" s="14">
        <f t="shared" si="13"/>
        <v>6.1874999999999999E-2</v>
      </c>
      <c r="AC4" s="14">
        <f t="shared" si="14"/>
        <v>7.2857142857142856E-2</v>
      </c>
      <c r="AD4" s="14">
        <f t="shared" si="15"/>
        <v>6.9999999999999993E-2</v>
      </c>
      <c r="AE4" s="14">
        <f t="shared" si="16"/>
        <v>8.8571428571428593E-2</v>
      </c>
      <c r="AF4" s="14">
        <f t="shared" si="17"/>
        <v>0.11</v>
      </c>
      <c r="AG4" s="14">
        <f t="shared" si="18"/>
        <v>0.11750000000000001</v>
      </c>
      <c r="AH4" s="26">
        <f t="shared" si="19"/>
        <v>6.9999999999999993E-2</v>
      </c>
      <c r="AI4" s="26">
        <f t="shared" si="20"/>
        <v>0.11750000000000001</v>
      </c>
      <c r="AJ4" s="26">
        <f t="shared" si="21"/>
        <v>9.8000000000000004E-2</v>
      </c>
      <c r="AK4" s="26">
        <f t="shared" si="22"/>
        <v>9.1999999999999998E-2</v>
      </c>
      <c r="AL4" s="26">
        <f t="shared" si="23"/>
        <v>0.10166666666666667</v>
      </c>
      <c r="AM4" s="26">
        <f t="shared" si="24"/>
        <v>0.14333333333333334</v>
      </c>
      <c r="AN4" s="26">
        <f t="shared" si="25"/>
        <v>1.4999999999999999E-2</v>
      </c>
      <c r="AO4" s="26">
        <f t="shared" si="26"/>
        <v>0.16</v>
      </c>
      <c r="AP4" s="26">
        <f t="shared" si="27"/>
        <v>0.105</v>
      </c>
      <c r="AQ4" s="26">
        <f t="shared" si="28"/>
        <v>6.6249999999999989E-2</v>
      </c>
      <c r="AR4" s="26">
        <f t="shared" si="29"/>
        <v>4.0555555555555553E-2</v>
      </c>
      <c r="AS4" s="16">
        <v>5.0000000000000001E-3</v>
      </c>
      <c r="AT4" s="26">
        <f t="shared" si="30"/>
        <v>6.5000000000000002E-2</v>
      </c>
      <c r="AU4" s="26">
        <f t="shared" si="31"/>
        <v>0.11</v>
      </c>
      <c r="AV4" s="26">
        <f t="shared" si="32"/>
        <v>5.6666666666666671E-2</v>
      </c>
      <c r="AW4" s="27">
        <v>9.8000000000000004E-2</v>
      </c>
      <c r="AX4" s="26">
        <v>3.9333333333333331E-2</v>
      </c>
      <c r="AY4" s="26">
        <v>9.3333333333333338E-2</v>
      </c>
    </row>
    <row r="5" spans="1:57" x14ac:dyDescent="0.25">
      <c r="A5" t="s">
        <v>47</v>
      </c>
      <c r="B5" s="1" t="s">
        <v>63</v>
      </c>
      <c r="C5" s="14">
        <v>0.13</v>
      </c>
      <c r="D5" s="15">
        <v>0.15</v>
      </c>
      <c r="E5" s="14">
        <f t="shared" si="0"/>
        <v>0.14000000000000001</v>
      </c>
      <c r="F5" s="14">
        <f t="shared" si="1"/>
        <v>9.6666666666666679E-2</v>
      </c>
      <c r="G5" s="16">
        <v>0.01</v>
      </c>
      <c r="H5" s="16">
        <v>0.01</v>
      </c>
      <c r="I5" s="14">
        <f t="shared" si="2"/>
        <v>0.01</v>
      </c>
      <c r="J5" s="14">
        <v>0.02</v>
      </c>
      <c r="K5" s="16">
        <v>0.02</v>
      </c>
      <c r="L5" s="15">
        <f t="shared" si="3"/>
        <v>1.4999999999999999E-2</v>
      </c>
      <c r="M5" s="15">
        <f t="shared" si="4"/>
        <v>7.5000000000000011E-2</v>
      </c>
      <c r="N5" s="15">
        <f t="shared" si="5"/>
        <v>7.5000000000000011E-2</v>
      </c>
      <c r="O5" s="16">
        <v>0.03</v>
      </c>
      <c r="P5" s="16">
        <v>0.05</v>
      </c>
      <c r="Q5" s="14">
        <f t="shared" si="6"/>
        <v>3.7999999999999999E-2</v>
      </c>
      <c r="R5" s="14">
        <f t="shared" si="7"/>
        <v>7.5000000000000011E-2</v>
      </c>
      <c r="S5" s="16">
        <v>7.0000000000000007E-2</v>
      </c>
      <c r="T5" s="16">
        <v>0.06</v>
      </c>
      <c r="U5" s="14">
        <f t="shared" si="8"/>
        <v>4.3333333333333335E-2</v>
      </c>
      <c r="V5" s="14">
        <f t="shared" si="9"/>
        <v>0.04</v>
      </c>
      <c r="W5" s="14">
        <f t="shared" si="10"/>
        <v>0.04</v>
      </c>
      <c r="X5" s="14">
        <f t="shared" si="11"/>
        <v>4.8000000000000001E-2</v>
      </c>
      <c r="Y5" s="14">
        <f t="shared" si="12"/>
        <v>1.6666666666666666E-2</v>
      </c>
      <c r="Z5" s="16">
        <v>0.04</v>
      </c>
      <c r="AA5" s="16">
        <v>0.04</v>
      </c>
      <c r="AB5" s="14">
        <f t="shared" si="13"/>
        <v>5.7500000000000002E-2</v>
      </c>
      <c r="AC5" s="14">
        <f t="shared" si="14"/>
        <v>0.04</v>
      </c>
      <c r="AD5" s="14">
        <f t="shared" si="15"/>
        <v>5.8571428571428573E-2</v>
      </c>
      <c r="AE5" s="14">
        <f t="shared" si="16"/>
        <v>5.7142857142857155E-2</v>
      </c>
      <c r="AF5" s="14">
        <f t="shared" si="17"/>
        <v>5.000000000000001E-2</v>
      </c>
      <c r="AG5" s="14">
        <f t="shared" si="18"/>
        <v>4.2500000000000003E-2</v>
      </c>
      <c r="AH5" s="26">
        <f t="shared" si="19"/>
        <v>4.8000000000000001E-2</v>
      </c>
      <c r="AI5" s="26">
        <f t="shared" si="20"/>
        <v>1.4999999999999999E-2</v>
      </c>
      <c r="AJ5" s="26">
        <f t="shared" si="21"/>
        <v>3.7999999999999999E-2</v>
      </c>
      <c r="AK5" s="26">
        <f t="shared" si="22"/>
        <v>6.6000000000000017E-2</v>
      </c>
      <c r="AL5" s="26">
        <f t="shared" si="23"/>
        <v>5.6666666666666678E-2</v>
      </c>
      <c r="AM5" s="26">
        <f t="shared" si="24"/>
        <v>5.6666666666666671E-2</v>
      </c>
      <c r="AN5" s="26">
        <f t="shared" si="25"/>
        <v>0.08</v>
      </c>
      <c r="AO5" s="26">
        <f t="shared" si="26"/>
        <v>7.0000000000000007E-2</v>
      </c>
      <c r="AP5" s="26">
        <f t="shared" si="27"/>
        <v>1.6666666666666666E-2</v>
      </c>
      <c r="AQ5" s="26">
        <f t="shared" si="28"/>
        <v>4.7500000000000007E-2</v>
      </c>
      <c r="AR5" s="26">
        <f t="shared" si="29"/>
        <v>4.5555555555555551E-2</v>
      </c>
      <c r="AS5" s="16">
        <v>0.04</v>
      </c>
      <c r="AT5" s="26">
        <f t="shared" si="30"/>
        <v>0.08</v>
      </c>
      <c r="AU5" s="26">
        <f t="shared" si="31"/>
        <v>5.000000000000001E-2</v>
      </c>
      <c r="AV5" s="26">
        <f t="shared" si="32"/>
        <v>5.7777777777777782E-2</v>
      </c>
      <c r="AW5" s="27">
        <v>3.7999999999999999E-2</v>
      </c>
      <c r="AX5" s="26">
        <v>4.2666666666666665E-2</v>
      </c>
      <c r="AY5" s="26">
        <v>0.10000000000000002</v>
      </c>
    </row>
    <row r="6" spans="1:57" x14ac:dyDescent="0.25">
      <c r="A6" t="s">
        <v>47</v>
      </c>
      <c r="B6" s="1" t="s">
        <v>67</v>
      </c>
      <c r="C6" s="14">
        <v>0.02</v>
      </c>
      <c r="D6" s="15">
        <v>0.11</v>
      </c>
      <c r="E6" s="14">
        <f t="shared" si="0"/>
        <v>6.5000000000000002E-2</v>
      </c>
      <c r="F6" s="14">
        <f t="shared" si="1"/>
        <v>0.19333333333333336</v>
      </c>
      <c r="G6" s="15">
        <v>0.03</v>
      </c>
      <c r="H6" s="15">
        <v>0.45</v>
      </c>
      <c r="I6" s="14">
        <f t="shared" si="2"/>
        <v>0.24</v>
      </c>
      <c r="J6" s="14">
        <v>0.03</v>
      </c>
      <c r="K6" s="15">
        <v>0.04</v>
      </c>
      <c r="L6" s="15">
        <f t="shared" si="3"/>
        <v>0.13750000000000001</v>
      </c>
      <c r="M6" s="15">
        <f t="shared" si="4"/>
        <v>0.1525</v>
      </c>
      <c r="N6" s="15">
        <f t="shared" si="5"/>
        <v>0.1525</v>
      </c>
      <c r="O6" s="15">
        <v>0.01</v>
      </c>
      <c r="P6" s="15">
        <v>0.01</v>
      </c>
      <c r="Q6" s="14">
        <f t="shared" si="6"/>
        <v>0.11400000000000002</v>
      </c>
      <c r="R6" s="14">
        <f t="shared" si="7"/>
        <v>0.15250000000000002</v>
      </c>
      <c r="S6" s="15">
        <v>0.01</v>
      </c>
      <c r="T6" s="15">
        <v>0.01</v>
      </c>
      <c r="U6" s="14">
        <f t="shared" si="8"/>
        <v>9.1666666666666674E-2</v>
      </c>
      <c r="V6" s="14">
        <f t="shared" si="9"/>
        <v>8.4285714285714297E-2</v>
      </c>
      <c r="W6" s="14">
        <f t="shared" si="10"/>
        <v>8.4285714285714297E-2</v>
      </c>
      <c r="X6" s="14">
        <f t="shared" si="11"/>
        <v>0.10400000000000001</v>
      </c>
      <c r="Y6" s="14">
        <f t="shared" si="12"/>
        <v>0.17333333333333334</v>
      </c>
      <c r="Z6" s="15">
        <v>0.01</v>
      </c>
      <c r="AA6" s="15">
        <v>5.0000000000000001E-3</v>
      </c>
      <c r="AB6" s="14">
        <f t="shared" si="13"/>
        <v>8.3125000000000004E-2</v>
      </c>
      <c r="AC6" s="14">
        <f t="shared" si="14"/>
        <v>8.4285714285714297E-2</v>
      </c>
      <c r="AD6" s="14">
        <f t="shared" si="15"/>
        <v>9.4285714285714292E-2</v>
      </c>
      <c r="AE6" s="14">
        <f t="shared" si="16"/>
        <v>9.8571428571428601E-2</v>
      </c>
      <c r="AF6" s="14">
        <f t="shared" si="17"/>
        <v>0.16666666666666666</v>
      </c>
      <c r="AG6" s="14">
        <f t="shared" si="18"/>
        <v>0.13500000000000001</v>
      </c>
      <c r="AH6" s="26">
        <f t="shared" si="19"/>
        <v>0.10400000000000001</v>
      </c>
      <c r="AI6" s="26">
        <f t="shared" si="20"/>
        <v>0.13750000000000001</v>
      </c>
      <c r="AJ6" s="26">
        <f t="shared" si="21"/>
        <v>0.11400000000000002</v>
      </c>
      <c r="AK6" s="26">
        <f t="shared" si="22"/>
        <v>0.124</v>
      </c>
      <c r="AL6" s="26">
        <f t="shared" si="23"/>
        <v>0.11333333333333334</v>
      </c>
      <c r="AM6" s="26">
        <f t="shared" si="24"/>
        <v>0.19666666666666668</v>
      </c>
      <c r="AN6" s="26">
        <f t="shared" si="25"/>
        <v>1.4999999999999999E-2</v>
      </c>
      <c r="AO6" s="26">
        <f t="shared" si="26"/>
        <v>2.5000000000000001E-2</v>
      </c>
      <c r="AP6" s="26">
        <f t="shared" si="27"/>
        <v>0.10333333333333333</v>
      </c>
      <c r="AQ6" s="26">
        <f t="shared" si="28"/>
        <v>9.1249999999999998E-2</v>
      </c>
      <c r="AR6" s="26">
        <f t="shared" si="29"/>
        <v>4.4444444444444446E-2</v>
      </c>
      <c r="AS6" s="15">
        <v>5.0000000000000001E-3</v>
      </c>
      <c r="AT6" s="26">
        <f t="shared" si="30"/>
        <v>0.28000000000000003</v>
      </c>
      <c r="AU6" s="26">
        <f t="shared" si="31"/>
        <v>0.16666666666666666</v>
      </c>
      <c r="AV6" s="26">
        <f t="shared" si="32"/>
        <v>7.5555555555555556E-2</v>
      </c>
      <c r="AW6" s="27">
        <v>0.11400000000000002</v>
      </c>
      <c r="AX6" s="26">
        <v>4.4666666666666667E-2</v>
      </c>
      <c r="AY6" s="26">
        <v>5.6666666666666671E-2</v>
      </c>
    </row>
    <row r="7" spans="1:57" x14ac:dyDescent="0.25">
      <c r="A7" t="s">
        <v>47</v>
      </c>
      <c r="B7" s="1" t="s">
        <v>70</v>
      </c>
      <c r="C7" s="14">
        <v>0.05</v>
      </c>
      <c r="D7" s="15">
        <v>0.1</v>
      </c>
      <c r="E7" s="14">
        <f t="shared" si="0"/>
        <v>7.5000000000000011E-2</v>
      </c>
      <c r="F7" s="14">
        <f t="shared" si="1"/>
        <v>5.3333333333333344E-2</v>
      </c>
      <c r="G7" s="16">
        <v>0.01</v>
      </c>
      <c r="H7" s="16">
        <v>0.01</v>
      </c>
      <c r="I7" s="14">
        <f t="shared" si="2"/>
        <v>0.01</v>
      </c>
      <c r="J7" s="14">
        <v>0.01</v>
      </c>
      <c r="K7" s="16">
        <v>0.02</v>
      </c>
      <c r="L7" s="15">
        <f t="shared" si="3"/>
        <v>1.2500000000000001E-2</v>
      </c>
      <c r="M7" s="15">
        <f t="shared" si="4"/>
        <v>4.2500000000000003E-2</v>
      </c>
      <c r="N7" s="15">
        <f t="shared" si="5"/>
        <v>4.250000000000001E-2</v>
      </c>
      <c r="O7" s="16">
        <v>0.01</v>
      </c>
      <c r="P7" s="16">
        <v>0.01</v>
      </c>
      <c r="Q7" s="14">
        <f t="shared" si="6"/>
        <v>1.9999999999999997E-2</v>
      </c>
      <c r="R7" s="14">
        <f t="shared" si="7"/>
        <v>4.250000000000001E-2</v>
      </c>
      <c r="S7" s="16">
        <v>0.01</v>
      </c>
      <c r="T7" s="16">
        <v>0.57999999999999996</v>
      </c>
      <c r="U7" s="14">
        <f t="shared" si="8"/>
        <v>0.11166666666666665</v>
      </c>
      <c r="V7" s="14">
        <f t="shared" si="9"/>
        <v>9.857142857142856E-2</v>
      </c>
      <c r="W7" s="14">
        <f t="shared" si="10"/>
        <v>9.857142857142856E-2</v>
      </c>
      <c r="X7" s="14">
        <f t="shared" si="11"/>
        <v>0.13199999999999998</v>
      </c>
      <c r="Y7" s="14">
        <f t="shared" si="12"/>
        <v>1.3333333333333334E-2</v>
      </c>
      <c r="Z7" s="16">
        <v>0.01</v>
      </c>
      <c r="AA7" s="16">
        <v>5.0000000000000001E-3</v>
      </c>
      <c r="AB7" s="14">
        <f t="shared" si="13"/>
        <v>9.6875000000000003E-2</v>
      </c>
      <c r="AC7" s="14">
        <f t="shared" si="14"/>
        <v>9.857142857142856E-2</v>
      </c>
      <c r="AD7" s="14">
        <f t="shared" si="15"/>
        <v>0.11</v>
      </c>
      <c r="AE7" s="14">
        <f t="shared" si="16"/>
        <v>0.11142857142857143</v>
      </c>
      <c r="AF7" s="14">
        <f t="shared" si="17"/>
        <v>2.3333333333333334E-2</v>
      </c>
      <c r="AG7" s="14">
        <f t="shared" si="18"/>
        <v>2.2500000000000003E-2</v>
      </c>
      <c r="AH7" s="26">
        <f t="shared" si="19"/>
        <v>0.13199999999999998</v>
      </c>
      <c r="AI7" s="26">
        <f t="shared" si="20"/>
        <v>1.2500000000000001E-2</v>
      </c>
      <c r="AJ7" s="26">
        <f t="shared" si="21"/>
        <v>0.02</v>
      </c>
      <c r="AK7" s="26">
        <f t="shared" si="22"/>
        <v>3.6000000000000011E-2</v>
      </c>
      <c r="AL7" s="26">
        <f t="shared" si="23"/>
        <v>3.333333333333334E-2</v>
      </c>
      <c r="AM7" s="26">
        <f t="shared" si="24"/>
        <v>0.04</v>
      </c>
      <c r="AN7" s="26">
        <f t="shared" si="25"/>
        <v>3.0000000000000002E-2</v>
      </c>
      <c r="AO7" s="26">
        <f t="shared" si="26"/>
        <v>3.0000000000000002E-2</v>
      </c>
      <c r="AP7" s="26">
        <f t="shared" si="27"/>
        <v>1.3333333333333334E-2</v>
      </c>
      <c r="AQ7" s="26">
        <f t="shared" si="28"/>
        <v>2.6250000000000006E-2</v>
      </c>
      <c r="AR7" s="26">
        <f t="shared" si="29"/>
        <v>1.7777777777777781E-2</v>
      </c>
      <c r="AS7" s="16">
        <v>5.0000000000000001E-3</v>
      </c>
      <c r="AT7" s="26">
        <f t="shared" si="30"/>
        <v>5.5E-2</v>
      </c>
      <c r="AU7" s="26">
        <f t="shared" si="31"/>
        <v>2.3333333333333334E-2</v>
      </c>
      <c r="AV7" s="26">
        <f t="shared" si="32"/>
        <v>8.7777777777777788E-2</v>
      </c>
      <c r="AW7" s="27">
        <v>0.02</v>
      </c>
      <c r="AX7" s="26">
        <v>0.20333333333333334</v>
      </c>
      <c r="AY7" s="26">
        <v>5.6666666666666671E-2</v>
      </c>
    </row>
    <row r="8" spans="1:57" x14ac:dyDescent="0.25">
      <c r="A8" t="s">
        <v>47</v>
      </c>
      <c r="B8" s="1" t="s">
        <v>75</v>
      </c>
      <c r="C8" s="14">
        <v>0.11</v>
      </c>
      <c r="D8" s="15">
        <v>0.12</v>
      </c>
      <c r="E8" s="14">
        <f t="shared" si="0"/>
        <v>0.11499999999999999</v>
      </c>
      <c r="F8" s="14">
        <f t="shared" si="1"/>
        <v>0.08</v>
      </c>
      <c r="G8" s="16">
        <v>0.01</v>
      </c>
      <c r="H8" s="16">
        <v>0.01</v>
      </c>
      <c r="I8" s="14">
        <f t="shared" si="2"/>
        <v>0.01</v>
      </c>
      <c r="J8" s="14">
        <v>0.01</v>
      </c>
      <c r="K8" s="16">
        <v>0.03</v>
      </c>
      <c r="L8" s="15">
        <f t="shared" si="3"/>
        <v>1.4999999999999999E-2</v>
      </c>
      <c r="M8" s="15">
        <f t="shared" si="4"/>
        <v>6.25E-2</v>
      </c>
      <c r="N8" s="15">
        <f t="shared" si="5"/>
        <v>6.25E-2</v>
      </c>
      <c r="O8" s="16">
        <v>0.45</v>
      </c>
      <c r="P8" s="16">
        <v>0.03</v>
      </c>
      <c r="Q8" s="14">
        <f t="shared" si="6"/>
        <v>3.4000000000000009E-2</v>
      </c>
      <c r="R8" s="14">
        <f t="shared" si="7"/>
        <v>6.25E-2</v>
      </c>
      <c r="S8" s="16">
        <v>0.05</v>
      </c>
      <c r="T8" s="16">
        <v>0.01</v>
      </c>
      <c r="U8" s="14">
        <f t="shared" si="8"/>
        <v>0.10000000000000002</v>
      </c>
      <c r="V8" s="14">
        <f t="shared" si="9"/>
        <v>9.0000000000000011E-2</v>
      </c>
      <c r="W8" s="14">
        <f t="shared" si="10"/>
        <v>9.0000000000000011E-2</v>
      </c>
      <c r="X8" s="14">
        <f t="shared" si="11"/>
        <v>0.11800000000000002</v>
      </c>
      <c r="Y8" s="14">
        <f t="shared" si="12"/>
        <v>1.6666666666666666E-2</v>
      </c>
      <c r="Z8" s="16">
        <v>0.02</v>
      </c>
      <c r="AA8" s="16">
        <v>0.01</v>
      </c>
      <c r="AB8" s="14">
        <f t="shared" si="13"/>
        <v>3.7499999999999999E-2</v>
      </c>
      <c r="AC8" s="14">
        <f t="shared" si="14"/>
        <v>9.0000000000000011E-2</v>
      </c>
      <c r="AD8" s="14">
        <f t="shared" si="15"/>
        <v>0.10285714285714286</v>
      </c>
      <c r="AE8" s="14">
        <f t="shared" si="16"/>
        <v>4.2857142857142864E-2</v>
      </c>
      <c r="AF8" s="14">
        <f t="shared" si="17"/>
        <v>4.3333333333333335E-2</v>
      </c>
      <c r="AG8" s="14">
        <f t="shared" si="18"/>
        <v>0.04</v>
      </c>
      <c r="AH8" s="26">
        <f t="shared" si="19"/>
        <v>0.11800000000000002</v>
      </c>
      <c r="AI8" s="26">
        <f t="shared" si="20"/>
        <v>1.5000000000000001E-2</v>
      </c>
      <c r="AJ8" s="26">
        <f t="shared" si="21"/>
        <v>3.4000000000000002E-2</v>
      </c>
      <c r="AK8" s="26">
        <f t="shared" si="22"/>
        <v>0.13999999999999999</v>
      </c>
      <c r="AL8" s="26">
        <f t="shared" si="23"/>
        <v>4.8333333333333339E-2</v>
      </c>
      <c r="AM8" s="26">
        <f t="shared" si="24"/>
        <v>4.6666666666666669E-2</v>
      </c>
      <c r="AN8" s="26">
        <f t="shared" si="25"/>
        <v>0.28000000000000003</v>
      </c>
      <c r="AO8" s="26">
        <f t="shared" si="26"/>
        <v>0.06</v>
      </c>
      <c r="AP8" s="26">
        <f t="shared" si="27"/>
        <v>1.6666666666666666E-2</v>
      </c>
      <c r="AQ8" s="26">
        <f t="shared" si="28"/>
        <v>3.6249999999999998E-2</v>
      </c>
      <c r="AR8" s="26">
        <f t="shared" si="29"/>
        <v>0.17611111111111111</v>
      </c>
      <c r="AS8" s="16">
        <v>0.01</v>
      </c>
      <c r="AT8" s="26">
        <f t="shared" si="30"/>
        <v>6.5000000000000002E-2</v>
      </c>
      <c r="AU8" s="26">
        <f t="shared" si="31"/>
        <v>4.3333333333333335E-2</v>
      </c>
      <c r="AV8" s="26">
        <f t="shared" si="32"/>
        <v>8.7777777777777788E-2</v>
      </c>
      <c r="AW8" s="27">
        <v>3.4000000000000002E-2</v>
      </c>
      <c r="AX8" s="26">
        <v>0.16466666666666666</v>
      </c>
      <c r="AY8" s="26">
        <v>8.666666666666667E-2</v>
      </c>
    </row>
    <row r="9" spans="1:57" x14ac:dyDescent="0.25">
      <c r="A9" t="s">
        <v>47</v>
      </c>
      <c r="B9" t="s">
        <v>79</v>
      </c>
      <c r="C9" s="14">
        <v>7.0000000000000007E-2</v>
      </c>
      <c r="D9" s="15">
        <v>7.0000000000000007E-2</v>
      </c>
      <c r="E9" s="14">
        <f t="shared" si="0"/>
        <v>7.0000000000000007E-2</v>
      </c>
      <c r="F9" s="14">
        <f t="shared" si="1"/>
        <v>5.000000000000001E-2</v>
      </c>
      <c r="G9" s="16">
        <v>0.01</v>
      </c>
      <c r="H9" s="16">
        <v>0.01</v>
      </c>
      <c r="I9" s="14">
        <f t="shared" si="2"/>
        <v>0.01</v>
      </c>
      <c r="J9" s="14">
        <v>0.01</v>
      </c>
      <c r="K9" s="16">
        <v>0.01</v>
      </c>
      <c r="L9" s="15">
        <f t="shared" si="3"/>
        <v>0.01</v>
      </c>
      <c r="M9" s="15">
        <f t="shared" si="4"/>
        <v>0.04</v>
      </c>
      <c r="N9" s="15">
        <f t="shared" si="5"/>
        <v>4.0000000000000008E-2</v>
      </c>
      <c r="O9" s="16">
        <v>0.2</v>
      </c>
      <c r="P9" s="16">
        <v>0.02</v>
      </c>
      <c r="Q9" s="14">
        <f t="shared" si="6"/>
        <v>2.1999999999999999E-2</v>
      </c>
      <c r="R9" s="14">
        <f t="shared" si="7"/>
        <v>4.0000000000000008E-2</v>
      </c>
      <c r="S9" s="16">
        <v>0.02</v>
      </c>
      <c r="T9" s="16">
        <v>0.01</v>
      </c>
      <c r="U9" s="14">
        <f t="shared" si="8"/>
        <v>5.1666666666666666E-2</v>
      </c>
      <c r="V9" s="14">
        <f t="shared" si="9"/>
        <v>4.5714285714285714E-2</v>
      </c>
      <c r="W9" s="14">
        <f t="shared" si="10"/>
        <v>4.5714285714285714E-2</v>
      </c>
      <c r="X9" s="14">
        <f t="shared" si="11"/>
        <v>6.0000000000000012E-2</v>
      </c>
      <c r="Y9" s="14">
        <f t="shared" si="12"/>
        <v>0.01</v>
      </c>
      <c r="Z9" s="16">
        <v>0.01</v>
      </c>
      <c r="AA9" s="16">
        <v>0.01</v>
      </c>
      <c r="AB9" s="14">
        <f t="shared" si="13"/>
        <v>2.5000000000000008E-2</v>
      </c>
      <c r="AC9" s="14">
        <f t="shared" si="14"/>
        <v>4.5714285714285714E-2</v>
      </c>
      <c r="AD9" s="14">
        <f t="shared" si="15"/>
        <v>5.4285714285714291E-2</v>
      </c>
      <c r="AE9" s="14">
        <f t="shared" si="16"/>
        <v>2.7142857142857153E-2</v>
      </c>
      <c r="AF9" s="14">
        <f t="shared" si="17"/>
        <v>0.03</v>
      </c>
      <c r="AG9" s="14">
        <f t="shared" si="18"/>
        <v>2.4999999999999998E-2</v>
      </c>
      <c r="AH9" s="26">
        <f t="shared" si="19"/>
        <v>6.0000000000000012E-2</v>
      </c>
      <c r="AI9" s="26">
        <f t="shared" si="20"/>
        <v>0.01</v>
      </c>
      <c r="AJ9" s="26">
        <f t="shared" si="21"/>
        <v>2.1999999999999999E-2</v>
      </c>
      <c r="AK9" s="26">
        <f t="shared" si="22"/>
        <v>7.2000000000000008E-2</v>
      </c>
      <c r="AL9" s="26">
        <f t="shared" si="23"/>
        <v>3.0000000000000009E-2</v>
      </c>
      <c r="AM9" s="26">
        <f t="shared" si="24"/>
        <v>0.03</v>
      </c>
      <c r="AN9" s="26">
        <f t="shared" si="25"/>
        <v>0.13500000000000001</v>
      </c>
      <c r="AO9" s="26">
        <f t="shared" si="26"/>
        <v>0.04</v>
      </c>
      <c r="AP9" s="26">
        <f t="shared" si="27"/>
        <v>0.01</v>
      </c>
      <c r="AQ9" s="26">
        <f t="shared" si="28"/>
        <v>2.5000000000000005E-2</v>
      </c>
      <c r="AR9" s="26">
        <f t="shared" si="29"/>
        <v>8.3333333333333329E-2</v>
      </c>
      <c r="AS9" s="16">
        <v>0.01</v>
      </c>
      <c r="AT9" s="26">
        <f t="shared" si="30"/>
        <v>0.04</v>
      </c>
      <c r="AU9" s="26">
        <f t="shared" si="31"/>
        <v>0.03</v>
      </c>
      <c r="AV9" s="26">
        <f t="shared" si="32"/>
        <v>4.5555555555555564E-2</v>
      </c>
      <c r="AW9" s="27">
        <v>2.1999999999999999E-2</v>
      </c>
      <c r="AX9" s="26">
        <v>7.7333333333333337E-2</v>
      </c>
      <c r="AY9" s="26">
        <v>5.000000000000001E-2</v>
      </c>
    </row>
    <row r="10" spans="1:57" x14ac:dyDescent="0.25">
      <c r="A10" t="s">
        <v>85</v>
      </c>
      <c r="B10" t="s">
        <v>43</v>
      </c>
      <c r="C10" s="14">
        <v>0.22</v>
      </c>
      <c r="D10" s="15">
        <v>0.05</v>
      </c>
      <c r="E10" s="14">
        <f t="shared" si="0"/>
        <v>0.13500000000000001</v>
      </c>
      <c r="F10" s="14">
        <f t="shared" si="1"/>
        <v>0.17333333333333334</v>
      </c>
      <c r="G10" s="15">
        <v>0.1</v>
      </c>
      <c r="H10" s="15">
        <v>0.25</v>
      </c>
      <c r="I10" s="14">
        <f t="shared" si="2"/>
        <v>0.17499999999999999</v>
      </c>
      <c r="J10" s="14">
        <v>0.16</v>
      </c>
      <c r="K10" s="15">
        <v>0.3</v>
      </c>
      <c r="L10" s="15">
        <f t="shared" si="3"/>
        <v>0.20250000000000001</v>
      </c>
      <c r="M10" s="15">
        <f t="shared" si="4"/>
        <v>0.15500000000000003</v>
      </c>
      <c r="N10" s="15">
        <f t="shared" si="5"/>
        <v>0.155</v>
      </c>
      <c r="O10" s="15">
        <v>0.15</v>
      </c>
      <c r="P10" s="15">
        <v>0.18</v>
      </c>
      <c r="Q10" s="14">
        <f t="shared" si="6"/>
        <v>0.20600000000000002</v>
      </c>
      <c r="R10" s="14">
        <f t="shared" si="7"/>
        <v>0.155</v>
      </c>
      <c r="S10" s="15">
        <v>0.3</v>
      </c>
      <c r="T10" s="15">
        <v>0.14000000000000001</v>
      </c>
      <c r="U10" s="14">
        <f t="shared" si="8"/>
        <v>0.17</v>
      </c>
      <c r="V10" s="14">
        <f t="shared" si="9"/>
        <v>0.18857142857142856</v>
      </c>
      <c r="W10" s="14">
        <f t="shared" si="10"/>
        <v>0.18857142857142856</v>
      </c>
      <c r="X10" s="14">
        <f t="shared" si="11"/>
        <v>0.17200000000000001</v>
      </c>
      <c r="Y10" s="14">
        <f t="shared" si="12"/>
        <v>0.23666666666666669</v>
      </c>
      <c r="Z10" s="15">
        <v>0.35</v>
      </c>
      <c r="AA10" s="15">
        <v>0.36</v>
      </c>
      <c r="AB10" s="14">
        <f t="shared" si="13"/>
        <v>0.20375000000000001</v>
      </c>
      <c r="AC10" s="14">
        <f t="shared" si="14"/>
        <v>0.18857142857142858</v>
      </c>
      <c r="AD10" s="14">
        <f t="shared" si="15"/>
        <v>0.15285714285714286</v>
      </c>
      <c r="AE10" s="14">
        <f t="shared" si="16"/>
        <v>0.17428571428571429</v>
      </c>
      <c r="AF10" s="14">
        <f t="shared" si="17"/>
        <v>0.19000000000000003</v>
      </c>
      <c r="AG10" s="14">
        <f t="shared" si="18"/>
        <v>0.21750000000000003</v>
      </c>
      <c r="AH10" s="26">
        <f t="shared" si="19"/>
        <v>0.17199999999999999</v>
      </c>
      <c r="AI10" s="26">
        <f t="shared" si="20"/>
        <v>0.20250000000000001</v>
      </c>
      <c r="AJ10" s="26">
        <f t="shared" si="21"/>
        <v>0.20600000000000002</v>
      </c>
      <c r="AK10" s="26">
        <f t="shared" si="22"/>
        <v>0.154</v>
      </c>
      <c r="AL10" s="26">
        <f t="shared" si="23"/>
        <v>0.18000000000000002</v>
      </c>
      <c r="AM10" s="26">
        <f t="shared" si="24"/>
        <v>0.13333333333333333</v>
      </c>
      <c r="AN10" s="26">
        <f t="shared" si="25"/>
        <v>0.185</v>
      </c>
      <c r="AO10" s="26">
        <f t="shared" si="26"/>
        <v>0.16</v>
      </c>
      <c r="AP10" s="26">
        <f t="shared" si="27"/>
        <v>0.21166666666666667</v>
      </c>
      <c r="AQ10" s="26">
        <f t="shared" si="28"/>
        <v>0.1575</v>
      </c>
      <c r="AR10" s="26">
        <f t="shared" si="29"/>
        <v>0.17</v>
      </c>
      <c r="AS10" s="15">
        <v>0.36</v>
      </c>
      <c r="AT10" s="26">
        <f t="shared" si="30"/>
        <v>0.15</v>
      </c>
      <c r="AU10" s="26">
        <f t="shared" si="31"/>
        <v>0.19000000000000003</v>
      </c>
      <c r="AV10" s="26">
        <f t="shared" si="32"/>
        <v>0.19111111111111112</v>
      </c>
      <c r="AW10" s="27">
        <v>0.20600000000000002</v>
      </c>
      <c r="AX10" s="26">
        <v>0.16533333333333333</v>
      </c>
      <c r="AY10" s="26">
        <v>0.19000000000000003</v>
      </c>
    </row>
    <row r="11" spans="1:57" x14ac:dyDescent="0.25">
      <c r="A11" t="s">
        <v>85</v>
      </c>
      <c r="B11" t="s">
        <v>54</v>
      </c>
      <c r="C11" s="14">
        <v>0.14000000000000001</v>
      </c>
      <c r="D11" s="15">
        <v>0.05</v>
      </c>
      <c r="E11" s="14">
        <f t="shared" si="0"/>
        <v>9.5000000000000001E-2</v>
      </c>
      <c r="F11" s="14">
        <f t="shared" si="1"/>
        <v>0.11333333333333333</v>
      </c>
      <c r="G11" s="15">
        <v>0.12</v>
      </c>
      <c r="H11" s="15">
        <v>0.15</v>
      </c>
      <c r="I11" s="14">
        <f t="shared" si="2"/>
        <v>0.13500000000000001</v>
      </c>
      <c r="J11" s="14">
        <v>0.13</v>
      </c>
      <c r="K11" s="15">
        <v>0.25</v>
      </c>
      <c r="L11" s="15">
        <f t="shared" si="3"/>
        <v>0.16250000000000001</v>
      </c>
      <c r="M11" s="15">
        <f t="shared" si="4"/>
        <v>0.115</v>
      </c>
      <c r="N11" s="15">
        <f t="shared" si="5"/>
        <v>0.11499999999999999</v>
      </c>
      <c r="O11" s="15">
        <v>7.0000000000000007E-2</v>
      </c>
      <c r="P11" s="15">
        <v>0.16</v>
      </c>
      <c r="Q11" s="14">
        <f t="shared" si="6"/>
        <v>0.158</v>
      </c>
      <c r="R11" s="14">
        <f t="shared" si="7"/>
        <v>0.11499999999999999</v>
      </c>
      <c r="S11" s="15">
        <v>0.31</v>
      </c>
      <c r="T11" s="15">
        <v>0.1</v>
      </c>
      <c r="U11" s="14">
        <f t="shared" si="8"/>
        <v>0.11833333333333335</v>
      </c>
      <c r="V11" s="14">
        <f t="shared" si="9"/>
        <v>0.13714285714285715</v>
      </c>
      <c r="W11" s="14">
        <f t="shared" si="10"/>
        <v>0.13714285714285715</v>
      </c>
      <c r="X11" s="14">
        <f t="shared" si="11"/>
        <v>0.11600000000000002</v>
      </c>
      <c r="Y11" s="14">
        <f t="shared" si="12"/>
        <v>0.17666666666666667</v>
      </c>
      <c r="Z11" s="15">
        <v>0.25</v>
      </c>
      <c r="AA11" s="15">
        <v>0.3</v>
      </c>
      <c r="AB11" s="14">
        <f t="shared" si="13"/>
        <v>0.15500000000000003</v>
      </c>
      <c r="AC11" s="14">
        <f t="shared" si="14"/>
        <v>0.13714285714285715</v>
      </c>
      <c r="AD11" s="14">
        <f t="shared" si="15"/>
        <v>0.10857142857142857</v>
      </c>
      <c r="AE11" s="14">
        <f t="shared" si="16"/>
        <v>0.13428571428571429</v>
      </c>
      <c r="AF11" s="14">
        <f t="shared" si="17"/>
        <v>0.13666666666666669</v>
      </c>
      <c r="AG11" s="14">
        <f t="shared" si="18"/>
        <v>0.16500000000000001</v>
      </c>
      <c r="AH11" s="26">
        <f t="shared" si="19"/>
        <v>0.11600000000000002</v>
      </c>
      <c r="AI11" s="26">
        <f t="shared" si="20"/>
        <v>0.16250000000000001</v>
      </c>
      <c r="AJ11" s="26">
        <f t="shared" si="21"/>
        <v>0.158</v>
      </c>
      <c r="AK11" s="26">
        <f t="shared" si="22"/>
        <v>0.10600000000000001</v>
      </c>
      <c r="AL11" s="26">
        <f t="shared" si="23"/>
        <v>0.13999999999999999</v>
      </c>
      <c r="AM11" s="26">
        <f t="shared" si="24"/>
        <v>0.10666666666666665</v>
      </c>
      <c r="AN11" s="26">
        <f t="shared" si="25"/>
        <v>0.10500000000000001</v>
      </c>
      <c r="AO11" s="26">
        <f t="shared" si="26"/>
        <v>0.13</v>
      </c>
      <c r="AP11" s="26">
        <f t="shared" si="27"/>
        <v>0.17166666666666666</v>
      </c>
      <c r="AQ11" s="26">
        <f t="shared" si="28"/>
        <v>0.1225</v>
      </c>
      <c r="AR11" s="26">
        <f t="shared" si="29"/>
        <v>0.12333333333333334</v>
      </c>
      <c r="AS11" s="15">
        <v>0.3</v>
      </c>
      <c r="AT11" s="26">
        <f t="shared" si="30"/>
        <v>0.1</v>
      </c>
      <c r="AU11" s="26">
        <f t="shared" si="31"/>
        <v>0.13666666666666669</v>
      </c>
      <c r="AV11" s="26">
        <f t="shared" si="32"/>
        <v>0.14666666666666664</v>
      </c>
      <c r="AW11" s="27">
        <v>0.158</v>
      </c>
      <c r="AX11" s="26">
        <v>0.10933333333333334</v>
      </c>
      <c r="AY11" s="26">
        <v>0.14666666666666667</v>
      </c>
    </row>
    <row r="12" spans="1:57" x14ac:dyDescent="0.25">
      <c r="A12" t="s">
        <v>85</v>
      </c>
      <c r="B12" t="s">
        <v>88</v>
      </c>
      <c r="C12" s="14">
        <v>0.15</v>
      </c>
      <c r="D12" s="15">
        <v>0.05</v>
      </c>
      <c r="E12" s="14">
        <f t="shared" si="0"/>
        <v>0.1</v>
      </c>
      <c r="F12" s="14">
        <f t="shared" si="1"/>
        <v>9.5000000000000015E-2</v>
      </c>
      <c r="G12" s="15">
        <v>0.1</v>
      </c>
      <c r="H12" s="15">
        <v>8.5000000000000006E-2</v>
      </c>
      <c r="I12" s="14">
        <f t="shared" si="2"/>
        <v>9.2499999999999999E-2</v>
      </c>
      <c r="J12" s="14">
        <v>0.1</v>
      </c>
      <c r="K12" s="15">
        <v>0.15</v>
      </c>
      <c r="L12" s="15">
        <f t="shared" si="3"/>
        <v>0.10875000000000001</v>
      </c>
      <c r="M12" s="15">
        <f t="shared" si="4"/>
        <v>9.6250000000000002E-2</v>
      </c>
      <c r="N12" s="15">
        <f t="shared" si="5"/>
        <v>9.6250000000000016E-2</v>
      </c>
      <c r="O12" s="15">
        <v>0.05</v>
      </c>
      <c r="P12" s="15">
        <v>0.12</v>
      </c>
      <c r="Q12" s="14">
        <f t="shared" si="6"/>
        <v>0.11700000000000002</v>
      </c>
      <c r="R12" s="14">
        <f t="shared" si="7"/>
        <v>9.6250000000000002E-2</v>
      </c>
      <c r="S12" s="15">
        <v>0.2</v>
      </c>
      <c r="T12" s="15">
        <v>0.06</v>
      </c>
      <c r="U12" s="14">
        <f t="shared" si="8"/>
        <v>9.0833333333333335E-2</v>
      </c>
      <c r="V12" s="14">
        <f t="shared" si="9"/>
        <v>9.9285714285714297E-2</v>
      </c>
      <c r="W12" s="14">
        <f t="shared" si="10"/>
        <v>9.9285714285714297E-2</v>
      </c>
      <c r="X12" s="14">
        <f t="shared" si="11"/>
        <v>8.8999999999999996E-2</v>
      </c>
      <c r="Y12" s="14">
        <f t="shared" si="12"/>
        <v>0.11166666666666665</v>
      </c>
      <c r="Z12" s="15">
        <v>0.27</v>
      </c>
      <c r="AA12" s="15">
        <v>0.25</v>
      </c>
      <c r="AB12" s="14">
        <f t="shared" si="13"/>
        <v>0.13312499999999999</v>
      </c>
      <c r="AC12" s="14">
        <f t="shared" si="14"/>
        <v>9.9285714285714297E-2</v>
      </c>
      <c r="AD12" s="14">
        <f t="shared" si="15"/>
        <v>8.5000000000000034E-2</v>
      </c>
      <c r="AE12" s="14">
        <f t="shared" si="16"/>
        <v>9.9285714285714283E-2</v>
      </c>
      <c r="AF12" s="14">
        <f t="shared" si="17"/>
        <v>0.11166666666666668</v>
      </c>
      <c r="AG12" s="14">
        <f t="shared" si="18"/>
        <v>0.12125</v>
      </c>
      <c r="AH12" s="26">
        <f t="shared" si="19"/>
        <v>8.900000000000001E-2</v>
      </c>
      <c r="AI12" s="26">
        <f t="shared" si="20"/>
        <v>0.10875000000000001</v>
      </c>
      <c r="AJ12" s="26">
        <f t="shared" si="21"/>
        <v>0.11699999999999999</v>
      </c>
      <c r="AK12" s="26">
        <f t="shared" si="22"/>
        <v>8.6999999999999994E-2</v>
      </c>
      <c r="AL12" s="26">
        <f t="shared" si="23"/>
        <v>0.10583333333333335</v>
      </c>
      <c r="AM12" s="26">
        <f t="shared" si="24"/>
        <v>7.8333333333333352E-2</v>
      </c>
      <c r="AN12" s="26">
        <f t="shared" si="25"/>
        <v>0.1</v>
      </c>
      <c r="AO12" s="26">
        <f t="shared" si="26"/>
        <v>0.125</v>
      </c>
      <c r="AP12" s="26">
        <f t="shared" si="27"/>
        <v>0.11416666666666668</v>
      </c>
      <c r="AQ12" s="26">
        <f t="shared" si="28"/>
        <v>9.8125000000000018E-2</v>
      </c>
      <c r="AR12" s="26">
        <f t="shared" si="29"/>
        <v>9.1944444444444454E-2</v>
      </c>
      <c r="AS12" s="15">
        <v>0.25</v>
      </c>
      <c r="AT12" s="26">
        <f t="shared" si="30"/>
        <v>6.7500000000000004E-2</v>
      </c>
      <c r="AU12" s="26">
        <f t="shared" si="31"/>
        <v>0.11166666666666668</v>
      </c>
      <c r="AV12" s="26">
        <f t="shared" si="32"/>
        <v>0.11833333333333335</v>
      </c>
      <c r="AW12" s="27">
        <v>0.11699999999999999</v>
      </c>
      <c r="AX12" s="26">
        <v>7.566666666666666E-2</v>
      </c>
      <c r="AY12" s="26">
        <v>0.11666666666666665</v>
      </c>
    </row>
    <row r="13" spans="1:57" x14ac:dyDescent="0.25">
      <c r="B13" t="s">
        <v>254</v>
      </c>
      <c r="C13" s="48">
        <f>SUM(C2:C12)</f>
        <v>1</v>
      </c>
      <c r="D13" s="48">
        <f>SUM(D2:D12)</f>
        <v>1</v>
      </c>
      <c r="E13" s="48">
        <f>SUM(E2:E12)</f>
        <v>1.0000000000000002</v>
      </c>
      <c r="F13" s="48">
        <f t="shared" si="1"/>
        <v>1</v>
      </c>
      <c r="G13" s="48">
        <f>SUM(G2:G12)</f>
        <v>1</v>
      </c>
      <c r="H13" s="48">
        <f>SUM(H2:H12)</f>
        <v>1</v>
      </c>
      <c r="I13" s="48">
        <f t="shared" si="2"/>
        <v>1</v>
      </c>
      <c r="J13" s="48">
        <f>SUM(J2:J12)</f>
        <v>1.0000000000000002</v>
      </c>
      <c r="K13" s="48">
        <f>SUM(K2:K12)</f>
        <v>1</v>
      </c>
      <c r="L13" s="49">
        <f t="shared" si="3"/>
        <v>1</v>
      </c>
      <c r="M13" s="49">
        <f t="shared" si="4"/>
        <v>1</v>
      </c>
      <c r="N13" s="49">
        <f t="shared" si="5"/>
        <v>1</v>
      </c>
      <c r="O13" s="48">
        <f>SUM(O2:O12)</f>
        <v>1</v>
      </c>
      <c r="P13" s="48">
        <f>SUM(P2:P12)</f>
        <v>1</v>
      </c>
      <c r="Q13" s="48">
        <f t="shared" si="6"/>
        <v>1</v>
      </c>
      <c r="R13" s="48">
        <f t="shared" si="7"/>
        <v>1</v>
      </c>
      <c r="S13" s="48">
        <f>SUM(S2:S12)</f>
        <v>1</v>
      </c>
      <c r="T13" s="48">
        <f>SUM(T2:T12)</f>
        <v>1</v>
      </c>
      <c r="U13" s="48">
        <f t="shared" si="8"/>
        <v>1</v>
      </c>
      <c r="V13" s="48">
        <f t="shared" si="9"/>
        <v>1</v>
      </c>
      <c r="W13" s="48">
        <f t="shared" si="10"/>
        <v>1</v>
      </c>
      <c r="X13" s="48">
        <f t="shared" si="11"/>
        <v>1</v>
      </c>
      <c r="Y13" s="48">
        <f t="shared" si="12"/>
        <v>1</v>
      </c>
      <c r="Z13" s="48">
        <f>SUM(Z2:Z12)</f>
        <v>1</v>
      </c>
      <c r="AA13" s="48">
        <f>SUM(AA2:AA12)</f>
        <v>1</v>
      </c>
      <c r="AB13" s="48">
        <f t="shared" si="13"/>
        <v>1</v>
      </c>
      <c r="AC13" s="48">
        <f t="shared" si="14"/>
        <v>1</v>
      </c>
      <c r="AD13" s="48">
        <f t="shared" si="15"/>
        <v>1</v>
      </c>
      <c r="AE13" s="48">
        <f t="shared" si="16"/>
        <v>1</v>
      </c>
      <c r="AF13" s="48">
        <f t="shared" si="17"/>
        <v>1</v>
      </c>
      <c r="AG13" s="48">
        <f t="shared" si="18"/>
        <v>1</v>
      </c>
      <c r="AH13" s="50">
        <f t="shared" si="19"/>
        <v>1</v>
      </c>
      <c r="AI13" s="50">
        <f t="shared" si="20"/>
        <v>1</v>
      </c>
      <c r="AJ13" s="50">
        <f t="shared" si="21"/>
        <v>1</v>
      </c>
      <c r="AK13" s="50">
        <f t="shared" si="22"/>
        <v>1</v>
      </c>
      <c r="AL13" s="26">
        <f t="shared" si="23"/>
        <v>1</v>
      </c>
      <c r="AM13" s="26">
        <f t="shared" si="24"/>
        <v>1</v>
      </c>
      <c r="AN13" s="26">
        <f t="shared" si="25"/>
        <v>1</v>
      </c>
      <c r="AO13" s="26">
        <f t="shared" si="26"/>
        <v>1</v>
      </c>
      <c r="AP13" s="26">
        <f t="shared" si="27"/>
        <v>1</v>
      </c>
      <c r="AQ13" s="26">
        <f t="shared" si="28"/>
        <v>1</v>
      </c>
      <c r="AR13" s="26">
        <f t="shared" si="29"/>
        <v>1</v>
      </c>
      <c r="AS13" s="48">
        <f>SUM(AS2:AS12)</f>
        <v>1</v>
      </c>
      <c r="AT13" s="26">
        <f t="shared" si="30"/>
        <v>1</v>
      </c>
      <c r="AU13" s="26">
        <f t="shared" si="31"/>
        <v>1</v>
      </c>
      <c r="AV13" s="26">
        <f t="shared" si="32"/>
        <v>1</v>
      </c>
      <c r="AW13" s="27">
        <v>1</v>
      </c>
      <c r="AX13" s="26">
        <v>1</v>
      </c>
      <c r="AY13" s="26">
        <v>1</v>
      </c>
    </row>
    <row r="14" spans="1:57" x14ac:dyDescent="0.25">
      <c r="A14" t="s">
        <v>256</v>
      </c>
      <c r="B14" t="s">
        <v>256</v>
      </c>
      <c r="C14" s="26">
        <v>0.6</v>
      </c>
      <c r="D14" s="26">
        <v>0.2</v>
      </c>
      <c r="E14" s="26">
        <v>0.4</v>
      </c>
      <c r="F14" s="26">
        <v>0.3</v>
      </c>
      <c r="G14" s="26">
        <v>0.1</v>
      </c>
      <c r="H14" s="26">
        <v>0.15</v>
      </c>
      <c r="I14" s="26">
        <f>AVERAGE(G14:H14)</f>
        <v>0.125</v>
      </c>
      <c r="J14" s="26">
        <v>0.1</v>
      </c>
      <c r="K14" s="26">
        <v>7.0000000000000007E-2</v>
      </c>
      <c r="L14" s="26">
        <f>AVERAGE(K14,G14,H14,J14)</f>
        <v>0.10500000000000001</v>
      </c>
      <c r="M14" s="26">
        <f>AVERAGE(C14,D14,G14,H14)</f>
        <v>0.26250000000000001</v>
      </c>
      <c r="N14" s="26">
        <v>0.26</v>
      </c>
      <c r="O14" s="26">
        <v>0.12</v>
      </c>
      <c r="P14" s="26">
        <v>0.15</v>
      </c>
      <c r="Q14" s="26">
        <f>AVERAGE(C14,K14,G14,H14,J14)</f>
        <v>0.20400000000000001</v>
      </c>
      <c r="R14" s="26">
        <f>AVERAGE(C14,D14,G14,H14)</f>
        <v>0.26250000000000001</v>
      </c>
      <c r="S14" s="26">
        <v>0.09</v>
      </c>
      <c r="T14" s="26">
        <v>0.1</v>
      </c>
      <c r="U14" s="26">
        <f>AVERAGE(C14,G14,H14,J14,O14,T14)</f>
        <v>0.19499999999999998</v>
      </c>
      <c r="V14" s="26">
        <f>AVERAGE(C14,G14,H14,K14,J14,O14,T14)</f>
        <v>0.17714285714285719</v>
      </c>
      <c r="W14" s="26">
        <f>V14</f>
        <v>0.17714285714285719</v>
      </c>
      <c r="X14" s="26">
        <f>AVERAGE(C14,G14,H14,O14,T14)</f>
        <v>0.21400000000000002</v>
      </c>
      <c r="Y14" s="26">
        <f>AVERAGE(K14,H14,J14)</f>
        <v>0.10666666666666667</v>
      </c>
      <c r="Z14" s="26">
        <v>0.1</v>
      </c>
      <c r="AA14" s="26">
        <v>0.1</v>
      </c>
      <c r="AB14" s="26"/>
      <c r="AC14" s="26"/>
      <c r="AD14" s="26"/>
      <c r="AE14" s="26">
        <f>AVERAGE(C14,D14,G14,H14,J14,K14,O14,T14)</f>
        <v>0.18000000000000005</v>
      </c>
      <c r="AF14" s="26">
        <f>AVERAGE(C14,G14,H14)</f>
        <v>0.28333333333333333</v>
      </c>
      <c r="AG14" s="26">
        <f>AVERAGE(C14,K14,G14,H14)</f>
        <v>0.22999999999999998</v>
      </c>
      <c r="AH14" s="26"/>
      <c r="AI14" s="26"/>
      <c r="AJ14" s="26">
        <v>0.7</v>
      </c>
      <c r="AK14" s="26">
        <f>AVERAGE(D14,C14,O14,G14,H14)</f>
        <v>0.23399999999999999</v>
      </c>
      <c r="AL14" s="26">
        <f>AVERAGE(C14,D14,G14,H14,J14,K14)</f>
        <v>0.20333333333333337</v>
      </c>
      <c r="AM14" s="26">
        <f>AVERAGE(D14,G14,H14)</f>
        <v>0.15000000000000002</v>
      </c>
      <c r="AN14" s="26">
        <f>AVERAGE(C14,O14)</f>
        <v>0.36</v>
      </c>
      <c r="AO14" s="26">
        <f>AVERAGE(C14,G14)</f>
        <v>0.35</v>
      </c>
      <c r="AP14" s="26"/>
      <c r="AQ14" s="26">
        <f>AVERAGE(D14,C14,J14,G14,H14)</f>
        <v>0.22999999999999998</v>
      </c>
      <c r="AR14" s="26"/>
      <c r="AS14" s="26">
        <v>0.1</v>
      </c>
      <c r="AT14" s="26">
        <f>AVERAGE(D14,H14)</f>
        <v>0.17499999999999999</v>
      </c>
      <c r="AU14" s="26">
        <f>AVERAGE(C14,D14,G14)</f>
        <v>0.3</v>
      </c>
      <c r="AV14" s="26"/>
      <c r="AW14" s="27">
        <f>AVERAGE(C14,G14,H14,J14)</f>
        <v>0.23749999999999999</v>
      </c>
      <c r="AX14" s="26">
        <f>AVERAGE(C14,G14,H14,J14,T14,O14)</f>
        <v>0.19499999999999998</v>
      </c>
      <c r="AY14" s="26">
        <f>AVERAGE(C14,D14,K14)</f>
        <v>0.29000000000000004</v>
      </c>
      <c r="AZ14" s="26">
        <f>AVERAGE(T14,Z14,AA14,C14,J14,K14,O14,G14,H14)</f>
        <v>0.16</v>
      </c>
      <c r="BA14" s="26">
        <v>0.06</v>
      </c>
      <c r="BB14" s="26">
        <f>AVERAGE(C14,D14,S14)</f>
        <v>0.29666666666666669</v>
      </c>
      <c r="BC14" s="26">
        <f>AVERAGE(T14,C14,J14,S14,G14,H14)</f>
        <v>0.18999999999999997</v>
      </c>
      <c r="BD14" s="26">
        <f>AVERAGEA(T14,C14,G14,H14,K14,J14)</f>
        <v>0.18666666666666668</v>
      </c>
      <c r="BE14" s="26">
        <f>AVERAGE(T14,Z14,P14,AA14,C14,J14,K14,O14,BA14,AS14,G14,H14)</f>
        <v>0.14583333333333334</v>
      </c>
    </row>
    <row r="15" spans="1:57" x14ac:dyDescent="0.25">
      <c r="A15" s="26">
        <f>AVERAGE(G14,K14,H14,J14)</f>
        <v>0.10500000000000001</v>
      </c>
      <c r="C15" s="26">
        <v>0.6</v>
      </c>
      <c r="D15" s="15">
        <v>0.2</v>
      </c>
      <c r="E15" s="26"/>
      <c r="F15" s="26"/>
      <c r="G15" s="15">
        <v>0.1</v>
      </c>
      <c r="H15" s="15">
        <v>0.15</v>
      </c>
      <c r="I15" s="14"/>
      <c r="K15" s="26">
        <v>7.0000000000000007E-2</v>
      </c>
      <c r="M15" s="15">
        <f>AVERAGE(C15,D15,G15,H15)</f>
        <v>0.26250000000000001</v>
      </c>
      <c r="R15" s="14">
        <f>AVERAGE(C15,D15,G15,H15)</f>
        <v>0.26250000000000001</v>
      </c>
      <c r="AF15" s="14">
        <f>AVERAGE(C15,G15,H15)</f>
        <v>0.28333333333333333</v>
      </c>
      <c r="AM15" s="26">
        <f>AVERAGE(D15,G15,H15)</f>
        <v>0.15000000000000002</v>
      </c>
      <c r="AO15" s="26">
        <f>AVERAGE(C15,G15)</f>
        <v>0.35</v>
      </c>
      <c r="AT15" s="26">
        <f>AVERAGE(D15,H15)</f>
        <v>0.17499999999999999</v>
      </c>
      <c r="AU15" s="26">
        <f>AVERAGE(C15,D15,G15)</f>
        <v>0.3</v>
      </c>
    </row>
    <row r="16" spans="1:57" x14ac:dyDescent="0.25">
      <c r="H16" s="26">
        <f>AVERAGE(H14,G14,D14,C14)</f>
        <v>0.26250000000000001</v>
      </c>
    </row>
    <row r="17" spans="3:51" x14ac:dyDescent="0.25">
      <c r="C17" s="26">
        <v>0.7</v>
      </c>
      <c r="D17" s="26">
        <v>0.5</v>
      </c>
      <c r="E17" s="26">
        <v>0.8</v>
      </c>
      <c r="F17" s="26">
        <v>0.9</v>
      </c>
      <c r="G17" s="26">
        <v>0.1</v>
      </c>
      <c r="H17" s="26">
        <v>0.15</v>
      </c>
      <c r="I17" s="26">
        <v>0.25</v>
      </c>
      <c r="J17" s="26">
        <v>0.1</v>
      </c>
      <c r="K17" s="26">
        <v>7.0000000000000007E-2</v>
      </c>
      <c r="L17" s="26">
        <v>0.4</v>
      </c>
      <c r="M17" s="26">
        <v>1</v>
      </c>
      <c r="N17" s="26">
        <v>0.8</v>
      </c>
      <c r="O17" s="26">
        <v>0.12</v>
      </c>
      <c r="P17" s="26">
        <v>0.15</v>
      </c>
      <c r="Q17" s="26">
        <v>1</v>
      </c>
      <c r="R17" s="26">
        <v>0.8</v>
      </c>
      <c r="S17" s="26">
        <v>0.09</v>
      </c>
      <c r="T17" s="26">
        <v>0.1</v>
      </c>
      <c r="U17" s="26">
        <v>1</v>
      </c>
      <c r="V17" s="26">
        <v>1</v>
      </c>
      <c r="W17" s="26">
        <v>1</v>
      </c>
      <c r="X17" s="26">
        <v>0.8</v>
      </c>
      <c r="Y17" s="26">
        <v>0.25</v>
      </c>
      <c r="Z17" s="26">
        <v>0.2</v>
      </c>
      <c r="AA17" s="26">
        <v>0.1</v>
      </c>
      <c r="AB17" s="26">
        <v>1</v>
      </c>
      <c r="AC17" s="26">
        <v>1</v>
      </c>
      <c r="AD17" s="26">
        <v>1</v>
      </c>
      <c r="AE17" s="26">
        <v>1</v>
      </c>
      <c r="AF17" s="26">
        <v>0.75</v>
      </c>
      <c r="AG17" s="26">
        <v>0.8</v>
      </c>
      <c r="AH17" s="26">
        <v>0.8</v>
      </c>
      <c r="AI17" s="26">
        <v>0.8</v>
      </c>
      <c r="AJ17" s="26">
        <v>0.8</v>
      </c>
      <c r="AK17" s="26">
        <v>0.9</v>
      </c>
      <c r="AL17" s="26">
        <v>0.85</v>
      </c>
      <c r="AM17" s="26">
        <v>0.75</v>
      </c>
      <c r="AN17" s="26">
        <f>O17+C17</f>
        <v>0.82</v>
      </c>
      <c r="AO17" s="26">
        <v>0.6</v>
      </c>
      <c r="AP17" s="26">
        <v>0.7</v>
      </c>
      <c r="AQ17" s="26">
        <v>0.8</v>
      </c>
      <c r="AR17" s="26">
        <v>0.9</v>
      </c>
      <c r="AS17" s="26">
        <v>0.1</v>
      </c>
      <c r="AT17" s="26">
        <f t="shared" ref="AT17" si="33">AVERAGE(D17,H17)</f>
        <v>0.32500000000000001</v>
      </c>
      <c r="AU17" s="26">
        <v>0.48</v>
      </c>
      <c r="AV17" s="26">
        <v>1</v>
      </c>
      <c r="AW17" s="27">
        <v>0.75</v>
      </c>
      <c r="AX17" s="26">
        <v>0.85</v>
      </c>
      <c r="AY17" s="26">
        <v>0.8</v>
      </c>
    </row>
    <row r="20" spans="3:51" x14ac:dyDescent="0.25">
      <c r="R20" s="26">
        <f>AVERAGE(J14,G14)</f>
        <v>0.1</v>
      </c>
    </row>
    <row r="22" spans="3:51" x14ac:dyDescent="0.25">
      <c r="AB22" s="98"/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2EBA-C9DF-4E59-A92E-D880BDC18AB1}">
  <dimension ref="A1:S450"/>
  <sheetViews>
    <sheetView workbookViewId="0">
      <selection sqref="A1:XFD1048576"/>
    </sheetView>
  </sheetViews>
  <sheetFormatPr defaultColWidth="8.85546875" defaultRowHeight="15" x14ac:dyDescent="0.25"/>
  <cols>
    <col min="1" max="1" width="11.28515625" bestFit="1" customWidth="1"/>
    <col min="2" max="2" width="15.7109375" bestFit="1" customWidth="1"/>
    <col min="3" max="3" width="15.42578125" bestFit="1" customWidth="1"/>
    <col min="4" max="4" width="20.5703125" customWidth="1"/>
    <col min="5" max="5" width="11.85546875" customWidth="1"/>
    <col min="6" max="6" width="10.42578125" customWidth="1"/>
    <col min="7" max="7" width="49.28515625" bestFit="1" customWidth="1"/>
    <col min="8" max="8" width="67.42578125" style="8" bestFit="1" customWidth="1"/>
    <col min="9" max="9" width="17.42578125" customWidth="1"/>
    <col min="10" max="10" width="12.42578125" customWidth="1"/>
    <col min="11" max="11" width="28.7109375" bestFit="1" customWidth="1"/>
    <col min="12" max="12" width="12.85546875" bestFit="1" customWidth="1"/>
    <col min="13" max="13" width="12.85546875" customWidth="1"/>
    <col min="14" max="14" width="13.85546875" customWidth="1"/>
    <col min="15" max="15" width="11.42578125" customWidth="1"/>
    <col min="16" max="16" width="11.7109375" style="8" customWidth="1"/>
    <col min="17" max="17" width="10.28515625" style="8" customWidth="1"/>
    <col min="18" max="18" width="13" style="8" customWidth="1"/>
    <col min="19" max="19" width="6.5703125" style="8" bestFit="1" customWidth="1"/>
  </cols>
  <sheetData>
    <row r="1" spans="1:19" x14ac:dyDescent="0.25">
      <c r="G1" s="72" t="s">
        <v>1756</v>
      </c>
    </row>
    <row r="3" spans="1:19" ht="30" customHeight="1" x14ac:dyDescent="0.25">
      <c r="M3" s="142" t="s">
        <v>222</v>
      </c>
      <c r="N3" s="142"/>
    </row>
    <row r="4" spans="1:19" s="8" customFormat="1" ht="45" x14ac:dyDescent="0.25">
      <c r="A4" s="47" t="s">
        <v>205</v>
      </c>
      <c r="B4" s="47" t="s">
        <v>257</v>
      </c>
      <c r="C4" s="47" t="s">
        <v>204</v>
      </c>
      <c r="D4" s="47" t="s">
        <v>430</v>
      </c>
      <c r="E4" s="47" t="s">
        <v>210</v>
      </c>
      <c r="F4" s="47" t="s">
        <v>15</v>
      </c>
      <c r="G4" s="47" t="s">
        <v>207</v>
      </c>
      <c r="H4" s="47" t="s">
        <v>13</v>
      </c>
      <c r="I4" s="47" t="s">
        <v>208</v>
      </c>
      <c r="J4" s="47" t="s">
        <v>934</v>
      </c>
      <c r="K4" s="47" t="s">
        <v>209</v>
      </c>
      <c r="L4" s="105" t="s">
        <v>234</v>
      </c>
      <c r="M4" s="105" t="s">
        <v>1</v>
      </c>
      <c r="N4" s="105" t="s">
        <v>2</v>
      </c>
      <c r="O4" s="105" t="s">
        <v>223</v>
      </c>
      <c r="P4" s="105" t="s">
        <v>269</v>
      </c>
      <c r="Q4" s="105" t="s">
        <v>857</v>
      </c>
      <c r="R4" s="105" t="s">
        <v>858</v>
      </c>
      <c r="S4" s="105" t="s">
        <v>882</v>
      </c>
    </row>
    <row r="5" spans="1:19" x14ac:dyDescent="0.25">
      <c r="A5" s="46" t="s">
        <v>1579</v>
      </c>
      <c r="B5" s="46" t="s">
        <v>85</v>
      </c>
      <c r="C5" s="46" t="s">
        <v>1544</v>
      </c>
      <c r="D5" s="46" t="s">
        <v>1012</v>
      </c>
      <c r="E5" s="46" t="s">
        <v>211</v>
      </c>
      <c r="F5" s="46" t="s">
        <v>215</v>
      </c>
      <c r="G5" s="46" t="s">
        <v>1580</v>
      </c>
      <c r="H5" s="46" t="s">
        <v>20</v>
      </c>
      <c r="I5" s="53">
        <v>45969</v>
      </c>
      <c r="J5" s="46"/>
      <c r="K5" s="46" t="s">
        <v>124</v>
      </c>
      <c r="L5" s="101">
        <f>VLOOKUP($C5&amp;$E5,'Updated SES'!A:N,14,0)</f>
        <v>127.11702000000001</v>
      </c>
      <c r="M5" s="102">
        <f>VLOOKUP($K5,'Genre Penetration'!A:B,2,0)*VLOOKUP($C5&amp;$E5,'Updated SES'!A:I,9,0)</f>
        <v>0.30149999999999999</v>
      </c>
      <c r="N5" s="102">
        <f>VLOOKUP(K:K,'Genre Penetration'!A:C,3,0)*VLOOKUP($C5&amp;$E5,'Updated SES'!A:J,10,0)</f>
        <v>0.18149999999999999</v>
      </c>
      <c r="O5" s="102" t="e">
        <f>VLOOKUP($B5,'Language Penetration'!$B$1:$AY$14,MATCH('Compile data Working'!#REF!,'Language Penetration'!$B$1:$AY$1,0),0)</f>
        <v>#REF!</v>
      </c>
      <c r="P5" s="103" t="str">
        <f t="shared" ref="P5:P68" ca="1" si="0">IF(ISBLANK(J5),RANDBETWEEN(1,2)&amp;"%",IF(J5=1,RANDBETWEEN(35,40)&amp;"%",IF(J5=2,RANDBETWEEN(30,35)&amp;"%",IF(J5=3,RANDBETWEEN(25,30)&amp;"%",IF(J5=4,RANDBETWEEN(20,25)&amp;"%",IF(J5=5,RANDBETWEEN(15,20)&amp;"%",IF(J5=6,RANDBETWEEN(10,15)&amp;"%",IF(J5=7,RANDBETWEEN(8,10)&amp;"%",IF(J5=8,RANDBETWEEN(6,8)&amp;"%",IF(J5=9,RANDBETWEEN(4,6)&amp;"%",IF(J5=10,RANDBETWEEN(2,4)&amp;"%","")))))))))))</f>
        <v>1%</v>
      </c>
      <c r="Q5" s="101" t="e">
        <f t="shared" ref="Q5:Q68" ca="1" si="1">IFERROR(L5*(M5+N5)*O5*P5,RANDBETWEEN(1,2)%*L5*(M5+N5)*O5)</f>
        <v>#REF!</v>
      </c>
      <c r="R5" s="104">
        <f>VLOOKUP(D:D,ranking!W:X,2,0)</f>
        <v>0.6</v>
      </c>
      <c r="S5" s="59">
        <v>0.14735404958400003</v>
      </c>
    </row>
    <row r="6" spans="1:19" x14ac:dyDescent="0.25">
      <c r="A6" s="46" t="s">
        <v>1579</v>
      </c>
      <c r="B6" s="46" t="s">
        <v>85</v>
      </c>
      <c r="C6" s="46" t="s">
        <v>64</v>
      </c>
      <c r="D6" s="46" t="s">
        <v>859</v>
      </c>
      <c r="E6" s="46" t="s">
        <v>211</v>
      </c>
      <c r="F6" s="46" t="s">
        <v>213</v>
      </c>
      <c r="G6" s="46" t="s">
        <v>1582</v>
      </c>
      <c r="H6" s="46" t="s">
        <v>19</v>
      </c>
      <c r="I6" s="53">
        <v>45970</v>
      </c>
      <c r="J6" s="46"/>
      <c r="K6" s="46" t="s">
        <v>422</v>
      </c>
      <c r="L6" s="101">
        <f>VLOOKUP($C6&amp;$E6,'Updated SES'!A:N,14,0)</f>
        <v>36.498239999999996</v>
      </c>
      <c r="M6" s="102">
        <f>VLOOKUP($K6,'Genre Penetration'!A:B,2,0)*VLOOKUP($C6&amp;$E6,'Updated SES'!A:I,9,0)</f>
        <v>0.30159999999999998</v>
      </c>
      <c r="N6" s="102">
        <f>VLOOKUP(K:K,'Genre Penetration'!A:C,3,0)*VLOOKUP($C6&amp;$E6,'Updated SES'!A:J,10,0)</f>
        <v>0.20159999999999997</v>
      </c>
      <c r="O6" s="102" t="e">
        <f>VLOOKUP($B6,'Language Penetration'!$B$1:$AY$14,MATCH('Compile data Working'!#REF!,'Language Penetration'!$B$1:$AY$1,0),0)</f>
        <v>#REF!</v>
      </c>
      <c r="P6" s="103" t="str">
        <f t="shared" ca="1" si="0"/>
        <v>1%</v>
      </c>
      <c r="Q6" s="101" t="e">
        <f t="shared" ca="1" si="1"/>
        <v>#REF!</v>
      </c>
      <c r="R6" s="104">
        <f>VLOOKUP(D:D,ranking!W:X,2,0)</f>
        <v>0.7</v>
      </c>
      <c r="S6" s="59">
        <v>7.7136840345599991E-2</v>
      </c>
    </row>
    <row r="7" spans="1:19" x14ac:dyDescent="0.25">
      <c r="A7" s="46" t="s">
        <v>1579</v>
      </c>
      <c r="B7" s="46" t="s">
        <v>85</v>
      </c>
      <c r="C7" s="46" t="s">
        <v>64</v>
      </c>
      <c r="D7" s="46" t="s">
        <v>859</v>
      </c>
      <c r="E7" s="46" t="s">
        <v>211</v>
      </c>
      <c r="F7" s="46" t="s">
        <v>213</v>
      </c>
      <c r="G7" s="53" t="s">
        <v>1583</v>
      </c>
      <c r="H7" s="46" t="s">
        <v>1648</v>
      </c>
      <c r="I7" s="53">
        <v>45970</v>
      </c>
      <c r="J7" s="46"/>
      <c r="K7" s="46" t="s">
        <v>138</v>
      </c>
      <c r="L7" s="101">
        <f>VLOOKUP($C7&amp;$E7,'Updated SES'!A:N,14,0)</f>
        <v>36.498239999999996</v>
      </c>
      <c r="M7" s="102">
        <f>VLOOKUP($K7,'Genre Penetration'!A:B,2,0)*VLOOKUP($C7&amp;$E7,'Updated SES'!A:I,9,0)</f>
        <v>0.24440000000000001</v>
      </c>
      <c r="N7" s="102">
        <f>VLOOKUP(K:K,'Genre Penetration'!A:C,3,0)*VLOOKUP($C7&amp;$E7,'Updated SES'!A:J,10,0)</f>
        <v>0.25440000000000002</v>
      </c>
      <c r="O7" s="102">
        <v>0.7</v>
      </c>
      <c r="P7" s="103" t="str">
        <f t="shared" ca="1" si="0"/>
        <v>1%</v>
      </c>
      <c r="Q7" s="101">
        <f t="shared" ca="1" si="1"/>
        <v>0.12743725478399998</v>
      </c>
      <c r="R7" s="104">
        <f>VLOOKUP(D:D,ranking!W:X,2,0)</f>
        <v>0.7</v>
      </c>
      <c r="S7" s="59">
        <v>0.17841215669759997</v>
      </c>
    </row>
    <row r="8" spans="1:19" x14ac:dyDescent="0.25">
      <c r="A8" s="46" t="s">
        <v>1579</v>
      </c>
      <c r="B8" s="46" t="s">
        <v>85</v>
      </c>
      <c r="C8" s="46" t="s">
        <v>1544</v>
      </c>
      <c r="D8" s="46" t="s">
        <v>1012</v>
      </c>
      <c r="E8" s="46" t="s">
        <v>211</v>
      </c>
      <c r="F8" s="46" t="s">
        <v>215</v>
      </c>
      <c r="G8" s="46" t="s">
        <v>1584</v>
      </c>
      <c r="H8" s="46" t="s">
        <v>20</v>
      </c>
      <c r="I8" s="53">
        <v>45970</v>
      </c>
      <c r="J8" s="46"/>
      <c r="K8" s="46" t="s">
        <v>138</v>
      </c>
      <c r="L8" s="101">
        <f>VLOOKUP($C8&amp;$E8,'Updated SES'!A:N,14,0)</f>
        <v>127.11702000000001</v>
      </c>
      <c r="M8" s="102">
        <f>VLOOKUP($K8,'Genre Penetration'!A:B,2,0)*VLOOKUP($C8&amp;$E8,'Updated SES'!A:I,9,0)</f>
        <v>0.31489999999999996</v>
      </c>
      <c r="N8" s="102">
        <f>VLOOKUP(K:K,'Genre Penetration'!A:C,3,0)*VLOOKUP($C8&amp;$E8,'Updated SES'!A:J,10,0)</f>
        <v>0.1749</v>
      </c>
      <c r="O8" s="102" t="e">
        <f>VLOOKUP($B8,'Language Penetration'!$B$1:$AY$14,MATCH('Compile data Working'!$H6,'Language Penetration'!$B$1:$AY$1,0),0)</f>
        <v>#N/A</v>
      </c>
      <c r="P8" s="103" t="str">
        <f t="shared" ca="1" si="0"/>
        <v>2%</v>
      </c>
      <c r="Q8" s="101" t="e">
        <f t="shared" ca="1" si="1"/>
        <v>#N/A</v>
      </c>
      <c r="R8" s="104">
        <f>VLOOKUP(D:D,ranking!W:X,2,0)</f>
        <v>0.6</v>
      </c>
      <c r="S8" s="59">
        <v>0.14942859935039998</v>
      </c>
    </row>
    <row r="9" spans="1:19" x14ac:dyDescent="0.25">
      <c r="A9" s="46" t="s">
        <v>1579</v>
      </c>
      <c r="B9" s="46" t="s">
        <v>85</v>
      </c>
      <c r="C9" s="46" t="s">
        <v>1544</v>
      </c>
      <c r="D9" s="46" t="s">
        <v>1012</v>
      </c>
      <c r="E9" s="46" t="s">
        <v>211</v>
      </c>
      <c r="F9" s="46" t="s">
        <v>215</v>
      </c>
      <c r="G9" s="46" t="s">
        <v>1585</v>
      </c>
      <c r="H9" s="46" t="s">
        <v>20</v>
      </c>
      <c r="I9" s="53">
        <v>45971</v>
      </c>
      <c r="J9" s="46"/>
      <c r="K9" s="46" t="s">
        <v>158</v>
      </c>
      <c r="L9" s="101">
        <f>VLOOKUP($C9&amp;$E9,'Updated SES'!A:N,14,0)</f>
        <v>127.11702000000001</v>
      </c>
      <c r="M9" s="102">
        <f>VLOOKUP($K9,'Genre Penetration'!A:B,2,0)*VLOOKUP($C9&amp;$E9,'Updated SES'!A:I,9,0)</f>
        <v>0.30149999999999999</v>
      </c>
      <c r="N9" s="102">
        <f>VLOOKUP(K:K,'Genre Penetration'!A:C,3,0)*VLOOKUP($C9&amp;$E9,'Updated SES'!A:J,10,0)</f>
        <v>0.18149999999999999</v>
      </c>
      <c r="O9" s="102" t="e">
        <f>VLOOKUP($B9,'Language Penetration'!$B$1:$AY$14,MATCH('Compile data Working'!#REF!,'Language Penetration'!$B$1:$AY$1,0),0)</f>
        <v>#REF!</v>
      </c>
      <c r="P9" s="103" t="str">
        <f t="shared" ca="1" si="0"/>
        <v>1%</v>
      </c>
      <c r="Q9" s="101" t="e">
        <f t="shared" ca="1" si="1"/>
        <v>#REF!</v>
      </c>
      <c r="R9" s="104">
        <f>VLOOKUP(D:D,ranking!W:X,2,0)</f>
        <v>0.6</v>
      </c>
      <c r="S9" s="59">
        <v>0.14735404958400003</v>
      </c>
    </row>
    <row r="10" spans="1:19" x14ac:dyDescent="0.25">
      <c r="A10" s="46" t="s">
        <v>1579</v>
      </c>
      <c r="B10" s="46" t="s">
        <v>85</v>
      </c>
      <c r="C10" s="46" t="s">
        <v>123</v>
      </c>
      <c r="D10" s="46" t="s">
        <v>1012</v>
      </c>
      <c r="E10" s="46" t="s">
        <v>211</v>
      </c>
      <c r="F10" s="46" t="s">
        <v>215</v>
      </c>
      <c r="G10" s="46" t="s">
        <v>1586</v>
      </c>
      <c r="H10" s="46" t="s">
        <v>21</v>
      </c>
      <c r="I10" s="53">
        <v>45971</v>
      </c>
      <c r="J10" s="46"/>
      <c r="K10" s="46" t="s">
        <v>158</v>
      </c>
      <c r="L10" s="101">
        <f>VLOOKUP($C10&amp;$E10,'Updated SES'!A:N,14,0)</f>
        <v>55.459200000000003</v>
      </c>
      <c r="M10" s="102">
        <f>VLOOKUP($K10,'Genre Penetration'!A:B,2,0)*VLOOKUP($C10&amp;$E10,'Updated SES'!A:I,9,0)</f>
        <v>0.2205</v>
      </c>
      <c r="N10" s="102">
        <f>VLOOKUP(K:K,'Genre Penetration'!A:C,3,0)*VLOOKUP($C10&amp;$E10,'Updated SES'!A:J,10,0)</f>
        <v>0.28050000000000003</v>
      </c>
      <c r="O10" s="102" t="e">
        <f>VLOOKUP($B10,'Language Penetration'!$B$1:$AY$14,MATCH('Compile data Working'!$H7,'Language Penetration'!$B$1:$AY$1,0),0)</f>
        <v>#N/A</v>
      </c>
      <c r="P10" s="103" t="str">
        <f t="shared" ca="1" si="0"/>
        <v>2%</v>
      </c>
      <c r="Q10" s="101" t="e">
        <f t="shared" ca="1" si="1"/>
        <v>#N/A</v>
      </c>
      <c r="R10" s="104">
        <f>VLOOKUP(D:D,ranking!W:X,2,0)</f>
        <v>0.6</v>
      </c>
      <c r="S10" s="59">
        <v>0.13336828416000002</v>
      </c>
    </row>
    <row r="11" spans="1:19" x14ac:dyDescent="0.25">
      <c r="A11" s="46" t="s">
        <v>1579</v>
      </c>
      <c r="B11" s="46" t="s">
        <v>85</v>
      </c>
      <c r="C11" s="46" t="s">
        <v>123</v>
      </c>
      <c r="D11" s="46" t="s">
        <v>1013</v>
      </c>
      <c r="E11" s="46" t="s">
        <v>211</v>
      </c>
      <c r="F11" s="46" t="s">
        <v>213</v>
      </c>
      <c r="G11" s="46" t="s">
        <v>1587</v>
      </c>
      <c r="H11" s="46" t="s">
        <v>20</v>
      </c>
      <c r="I11" s="53">
        <v>45972</v>
      </c>
      <c r="J11" s="46"/>
      <c r="K11" s="46" t="s">
        <v>158</v>
      </c>
      <c r="L11" s="101">
        <f>VLOOKUP($C11&amp;$E11,'Updated SES'!A:N,14,0)</f>
        <v>55.459200000000003</v>
      </c>
      <c r="M11" s="102">
        <f>VLOOKUP($K11,'Genre Penetration'!A:B,2,0)*VLOOKUP($C11&amp;$E11,'Updated SES'!A:I,9,0)</f>
        <v>0.2205</v>
      </c>
      <c r="N11" s="102">
        <f>VLOOKUP(K:K,'Genre Penetration'!A:C,3,0)*VLOOKUP($C11&amp;$E11,'Updated SES'!A:J,10,0)</f>
        <v>0.28050000000000003</v>
      </c>
      <c r="O11" s="102" t="e">
        <f>VLOOKUP($B11,'Language Penetration'!$B$1:$AY$14,MATCH('Compile data Working'!$H8,'Language Penetration'!$B$1:$AY$1,0),0)</f>
        <v>#N/A</v>
      </c>
      <c r="P11" s="103" t="str">
        <f t="shared" ca="1" si="0"/>
        <v>2%</v>
      </c>
      <c r="Q11" s="101" t="e">
        <f t="shared" ca="1" si="1"/>
        <v>#N/A</v>
      </c>
      <c r="R11" s="104">
        <f>VLOOKUP(D:D,ranking!W:X,2,0)</f>
        <v>0.8</v>
      </c>
      <c r="S11" s="59">
        <v>4.4456094720000013E-2</v>
      </c>
    </row>
    <row r="12" spans="1:19" x14ac:dyDescent="0.25">
      <c r="A12" s="46" t="s">
        <v>1579</v>
      </c>
      <c r="B12" s="46" t="s">
        <v>85</v>
      </c>
      <c r="C12" s="46" t="s">
        <v>64</v>
      </c>
      <c r="D12" s="46" t="s">
        <v>859</v>
      </c>
      <c r="E12" s="46" t="s">
        <v>233</v>
      </c>
      <c r="F12" s="46" t="s">
        <v>213</v>
      </c>
      <c r="G12" s="46" t="s">
        <v>1588</v>
      </c>
      <c r="H12" s="46" t="s">
        <v>29</v>
      </c>
      <c r="I12" s="53">
        <v>45972</v>
      </c>
      <c r="J12" s="46"/>
      <c r="K12" s="46" t="s">
        <v>279</v>
      </c>
      <c r="L12" s="101">
        <f>VLOOKUP($C12&amp;$E12,'Updated SES'!A:N,14,0)</f>
        <v>4.6890000000000001</v>
      </c>
      <c r="M12" s="102">
        <f>VLOOKUP($K12,'Genre Penetration'!A:B,2,0)*VLOOKUP($C12&amp;$E12,'Updated SES'!A:I,9,0)</f>
        <v>0.30600000000000005</v>
      </c>
      <c r="N12" s="102">
        <f>VLOOKUP(K:K,'Genre Penetration'!A:C,3,0)*VLOOKUP($C12&amp;$E12,'Updated SES'!A:J,10,0)</f>
        <v>0.17600000000000002</v>
      </c>
      <c r="O12" s="102">
        <f>VLOOKUP($B12,'Language Penetration'!$B$1:$AY$14,MATCH('Compile data Working'!$H9,'Language Penetration'!$B$1:$AY$1,0),0)</f>
        <v>0.6</v>
      </c>
      <c r="P12" s="103" t="str">
        <f t="shared" ca="1" si="0"/>
        <v>1%</v>
      </c>
      <c r="Q12" s="101">
        <f t="shared" ca="1" si="1"/>
        <v>1.3560588000000002E-2</v>
      </c>
      <c r="R12" s="104">
        <f>VLOOKUP(D:D,ranking!W:X,2,0)</f>
        <v>0.7</v>
      </c>
      <c r="S12" s="59">
        <v>3.7969646400000008E-3</v>
      </c>
    </row>
    <row r="13" spans="1:19" x14ac:dyDescent="0.25">
      <c r="A13" s="46" t="s">
        <v>1579</v>
      </c>
      <c r="B13" s="46" t="s">
        <v>85</v>
      </c>
      <c r="C13" s="46" t="s">
        <v>64</v>
      </c>
      <c r="D13" s="46" t="s">
        <v>859</v>
      </c>
      <c r="E13" s="46" t="s">
        <v>211</v>
      </c>
      <c r="F13" s="46" t="s">
        <v>213</v>
      </c>
      <c r="G13" s="46" t="s">
        <v>1589</v>
      </c>
      <c r="H13" s="46" t="s">
        <v>23</v>
      </c>
      <c r="I13" s="53">
        <v>45973</v>
      </c>
      <c r="J13" s="46"/>
      <c r="K13" s="46" t="s">
        <v>124</v>
      </c>
      <c r="L13" s="101">
        <f>VLOOKUP($C13&amp;$E13,'Updated SES'!A:N,14,0)</f>
        <v>36.498239999999996</v>
      </c>
      <c r="M13" s="102">
        <f>VLOOKUP($K13,'Genre Penetration'!A:B,2,0)*VLOOKUP($C13&amp;$E13,'Updated SES'!A:I,9,0)</f>
        <v>0.23400000000000001</v>
      </c>
      <c r="N13" s="102">
        <f>VLOOKUP(K:K,'Genre Penetration'!A:C,3,0)*VLOOKUP($C13&amp;$E13,'Updated SES'!A:J,10,0)</f>
        <v>0.26400000000000001</v>
      </c>
      <c r="O13" s="102" t="e">
        <f>VLOOKUP($B13,'Language Penetration'!$B$1:$AY$14,MATCH('Compile data Working'!#REF!,'Language Penetration'!$B$1:$AY$1,0),0)</f>
        <v>#REF!</v>
      </c>
      <c r="P13" s="103" t="str">
        <f t="shared" ca="1" si="0"/>
        <v>2%</v>
      </c>
      <c r="Q13" s="101" t="e">
        <f t="shared" ca="1" si="1"/>
        <v>#REF!</v>
      </c>
      <c r="R13" s="104">
        <f>VLOOKUP(D:D,ranking!W:X,2,0)</f>
        <v>0.7</v>
      </c>
      <c r="S13" s="59">
        <v>1.9084929695999994E-2</v>
      </c>
    </row>
    <row r="14" spans="1:19" x14ac:dyDescent="0.25">
      <c r="A14" s="46" t="s">
        <v>1579</v>
      </c>
      <c r="B14" s="46" t="s">
        <v>85</v>
      </c>
      <c r="C14" s="46" t="s">
        <v>123</v>
      </c>
      <c r="D14" s="46" t="s">
        <v>1013</v>
      </c>
      <c r="E14" s="46" t="s">
        <v>211</v>
      </c>
      <c r="F14" s="46" t="s">
        <v>213</v>
      </c>
      <c r="G14" s="46" t="s">
        <v>1590</v>
      </c>
      <c r="H14" s="46" t="s">
        <v>28</v>
      </c>
      <c r="I14" s="53">
        <v>45973</v>
      </c>
      <c r="J14" s="46"/>
      <c r="K14" s="46" t="s">
        <v>154</v>
      </c>
      <c r="L14" s="101">
        <f>VLOOKUP($C14&amp;$E14,'Updated SES'!A:N,14,0)</f>
        <v>55.459200000000003</v>
      </c>
      <c r="M14" s="102">
        <f>VLOOKUP($K14,'Genre Penetration'!A:B,2,0)*VLOOKUP($C14&amp;$E14,'Updated SES'!A:I,9,0)</f>
        <v>0.14699999999999999</v>
      </c>
      <c r="N14" s="102">
        <f>VLOOKUP(K:K,'Genre Penetration'!A:C,3,0)*VLOOKUP($C14&amp;$E14,'Updated SES'!A:J,10,0)</f>
        <v>0.35699999999999998</v>
      </c>
      <c r="O14" s="102">
        <f>VLOOKUP($B14,'Language Penetration'!$B$1:$AY$14,MATCH('Compile data Working'!$H10,'Language Penetration'!$B$1:$AY$1,0),0)</f>
        <v>0.6</v>
      </c>
      <c r="P14" s="103" t="str">
        <f t="shared" ca="1" si="0"/>
        <v>2%</v>
      </c>
      <c r="Q14" s="101">
        <f t="shared" ca="1" si="1"/>
        <v>0.33541724160000003</v>
      </c>
      <c r="R14" s="104">
        <f>VLOOKUP(D:D,ranking!W:X,2,0)</f>
        <v>0.8</v>
      </c>
      <c r="S14" s="59">
        <v>0.11627797708800001</v>
      </c>
    </row>
    <row r="15" spans="1:19" x14ac:dyDescent="0.25">
      <c r="A15" s="46" t="s">
        <v>1579</v>
      </c>
      <c r="B15" s="46" t="s">
        <v>85</v>
      </c>
      <c r="C15" s="46" t="s">
        <v>64</v>
      </c>
      <c r="D15" s="46" t="s">
        <v>859</v>
      </c>
      <c r="E15" s="46" t="s">
        <v>233</v>
      </c>
      <c r="F15" s="46" t="s">
        <v>213</v>
      </c>
      <c r="G15" s="53" t="s">
        <v>1591</v>
      </c>
      <c r="H15" s="46" t="s">
        <v>19</v>
      </c>
      <c r="I15" s="53">
        <v>45973</v>
      </c>
      <c r="J15" s="46"/>
      <c r="K15" s="46" t="s">
        <v>216</v>
      </c>
      <c r="L15" s="101">
        <f>VLOOKUP($C15&amp;$E15,'Updated SES'!A:N,14,0)</f>
        <v>4.6890000000000001</v>
      </c>
      <c r="M15" s="102">
        <f>VLOOKUP($K15,'Genre Penetration'!A:B,2,0)*VLOOKUP($C15&amp;$E15,'Updated SES'!A:I,9,0)</f>
        <v>0.34</v>
      </c>
      <c r="N15" s="102">
        <f>VLOOKUP(K:K,'Genre Penetration'!A:C,3,0)*VLOOKUP($C15&amp;$E15,'Updated SES'!A:J,10,0)</f>
        <v>0.16</v>
      </c>
      <c r="O15" s="102" t="e">
        <f>VLOOKUP($B15,'Language Penetration'!$B$1:$AY$14,MATCH('Compile data Working'!#REF!,'Language Penetration'!$B$1:$AY$1,0),0)</f>
        <v>#REF!</v>
      </c>
      <c r="P15" s="103" t="str">
        <f t="shared" ca="1" si="0"/>
        <v>1%</v>
      </c>
      <c r="Q15" s="101" t="e">
        <f t="shared" ca="1" si="1"/>
        <v>#REF!</v>
      </c>
      <c r="R15" s="104">
        <f>VLOOKUP(D:D,ranking!W:X,2,0)</f>
        <v>0.7</v>
      </c>
      <c r="S15" s="59">
        <v>9.8469000000000004E-3</v>
      </c>
    </row>
    <row r="16" spans="1:19" x14ac:dyDescent="0.25">
      <c r="A16" s="46" t="s">
        <v>1579</v>
      </c>
      <c r="B16" s="46" t="s">
        <v>85</v>
      </c>
      <c r="C16" s="46" t="s">
        <v>123</v>
      </c>
      <c r="D16" s="46" t="s">
        <v>1013</v>
      </c>
      <c r="E16" s="46" t="s">
        <v>211</v>
      </c>
      <c r="F16" s="46" t="s">
        <v>213</v>
      </c>
      <c r="G16" s="46" t="s">
        <v>1592</v>
      </c>
      <c r="H16" s="46" t="s">
        <v>20</v>
      </c>
      <c r="I16" s="53">
        <v>45973</v>
      </c>
      <c r="J16" s="46"/>
      <c r="K16" s="46" t="s">
        <v>171</v>
      </c>
      <c r="L16" s="101">
        <f>VLOOKUP($C16&amp;$E16,'Updated SES'!A:N,14,0)</f>
        <v>55.459200000000003</v>
      </c>
      <c r="M16" s="102">
        <f>VLOOKUP($K16,'Genre Penetration'!A:B,2,0)*VLOOKUP($C16&amp;$E16,'Updated SES'!A:I,9,0)</f>
        <v>0.26950000000000002</v>
      </c>
      <c r="N16" s="102">
        <f>VLOOKUP(K:K,'Genre Penetration'!A:C,3,0)*VLOOKUP($C16&amp;$E16,'Updated SES'!A:J,10,0)</f>
        <v>0.22950000000000001</v>
      </c>
      <c r="O16" s="102" t="e">
        <f>VLOOKUP($B16,'Language Penetration'!$B$1:$AY$14,MATCH('Compile data Working'!$H11,'Language Penetration'!$B$1:$AY$1,0),0)</f>
        <v>#N/A</v>
      </c>
      <c r="P16" s="103" t="str">
        <f t="shared" ca="1" si="0"/>
        <v>2%</v>
      </c>
      <c r="Q16" s="101" t="e">
        <f t="shared" ca="1" si="1"/>
        <v>#N/A</v>
      </c>
      <c r="R16" s="104">
        <f>VLOOKUP(D:D,ranking!W:X,2,0)</f>
        <v>0.8</v>
      </c>
      <c r="S16" s="59">
        <v>4.4278625280000004E-2</v>
      </c>
    </row>
    <row r="17" spans="1:19" x14ac:dyDescent="0.25">
      <c r="A17" s="46" t="s">
        <v>1579</v>
      </c>
      <c r="B17" s="46" t="s">
        <v>85</v>
      </c>
      <c r="C17" s="46" t="s">
        <v>1544</v>
      </c>
      <c r="D17" s="46" t="s">
        <v>859</v>
      </c>
      <c r="E17" s="46" t="s">
        <v>211</v>
      </c>
      <c r="F17" s="46" t="s">
        <v>213</v>
      </c>
      <c r="G17" s="46" t="s">
        <v>1593</v>
      </c>
      <c r="H17" s="46" t="s">
        <v>21</v>
      </c>
      <c r="I17" s="53">
        <v>45973</v>
      </c>
      <c r="J17" s="46"/>
      <c r="K17" s="46" t="s">
        <v>183</v>
      </c>
      <c r="L17" s="101">
        <f>VLOOKUP($C17&amp;$E17,'Updated SES'!A:N,14,0)</f>
        <v>127.11702000000001</v>
      </c>
      <c r="M17" s="102">
        <f>VLOOKUP($K17,'Genre Penetration'!A:B,2,0)*VLOOKUP($C17&amp;$E17,'Updated SES'!A:I,9,0)</f>
        <v>0.35509999999999997</v>
      </c>
      <c r="N17" s="102">
        <f>VLOOKUP(K:K,'Genre Penetration'!A:C,3,0)*VLOOKUP($C17&amp;$E17,'Updated SES'!A:J,10,0)</f>
        <v>0.15509999999999996</v>
      </c>
      <c r="O17" s="102" t="e">
        <f>VLOOKUP($B17,'Language Penetration'!$B$1:$AY$14,MATCH('Compile data Working'!#REF!,'Language Penetration'!$B$1:$AY$1,0),0)</f>
        <v>#REF!</v>
      </c>
      <c r="P17" s="103" t="str">
        <f t="shared" ca="1" si="0"/>
        <v>2%</v>
      </c>
      <c r="Q17" s="101" t="e">
        <f t="shared" ca="1" si="1"/>
        <v>#REF!</v>
      </c>
      <c r="R17" s="104">
        <f>VLOOKUP(D:D,ranking!W:X,2,0)</f>
        <v>0.7</v>
      </c>
      <c r="S17" s="59">
        <v>0.18159429009120004</v>
      </c>
    </row>
    <row r="18" spans="1:19" x14ac:dyDescent="0.25">
      <c r="A18" s="46" t="s">
        <v>1579</v>
      </c>
      <c r="B18" s="46" t="s">
        <v>85</v>
      </c>
      <c r="C18" s="46" t="s">
        <v>64</v>
      </c>
      <c r="D18" s="46" t="s">
        <v>859</v>
      </c>
      <c r="E18" s="46" t="s">
        <v>233</v>
      </c>
      <c r="F18" s="46" t="s">
        <v>213</v>
      </c>
      <c r="G18" s="53" t="s">
        <v>1594</v>
      </c>
      <c r="H18" s="46" t="s">
        <v>19</v>
      </c>
      <c r="I18" s="53">
        <v>45973</v>
      </c>
      <c r="J18" s="46"/>
      <c r="K18" s="46" t="s">
        <v>46</v>
      </c>
      <c r="L18" s="101">
        <f>VLOOKUP($C18&amp;$E18,'Updated SES'!A:N,14,0)</f>
        <v>4.6890000000000001</v>
      </c>
      <c r="M18" s="102">
        <f>VLOOKUP($K18,'Genre Penetration'!A:B,2,0)*VLOOKUP($C18&amp;$E18,'Updated SES'!A:I,9,0)</f>
        <v>0.47599999999999998</v>
      </c>
      <c r="N18" s="102">
        <f>VLOOKUP(K:K,'Genre Penetration'!A:C,3,0)*VLOOKUP($C18&amp;$E18,'Updated SES'!A:J,10,0)</f>
        <v>9.6000000000000002E-2</v>
      </c>
      <c r="O18" s="102">
        <f>VLOOKUP($B18,'Language Penetration'!$B$1:$AY$14,MATCH('Compile data Working'!$H12,'Language Penetration'!$B$1:$AY$1,0),0)</f>
        <v>0.6</v>
      </c>
      <c r="P18" s="103" t="str">
        <f t="shared" ca="1" si="0"/>
        <v>2%</v>
      </c>
      <c r="Q18" s="101">
        <f t="shared" ca="1" si="1"/>
        <v>3.2185295999999995E-2</v>
      </c>
      <c r="R18" s="104">
        <f>VLOOKUP(D:D,ranking!W:X,2,0)</f>
        <v>0.7</v>
      </c>
      <c r="S18" s="59">
        <v>1.1264853599999998E-2</v>
      </c>
    </row>
    <row r="19" spans="1:19" x14ac:dyDescent="0.25">
      <c r="A19" s="46" t="s">
        <v>1579</v>
      </c>
      <c r="B19" s="46" t="s">
        <v>85</v>
      </c>
      <c r="C19" s="46" t="s">
        <v>64</v>
      </c>
      <c r="D19" s="46" t="s">
        <v>859</v>
      </c>
      <c r="E19" s="46" t="s">
        <v>233</v>
      </c>
      <c r="F19" s="46" t="s">
        <v>213</v>
      </c>
      <c r="G19" s="53" t="s">
        <v>1595</v>
      </c>
      <c r="H19" s="46" t="s">
        <v>26</v>
      </c>
      <c r="I19" s="53">
        <v>45973</v>
      </c>
      <c r="J19" s="46"/>
      <c r="K19" s="46" t="s">
        <v>216</v>
      </c>
      <c r="L19" s="101">
        <f>VLOOKUP($C19&amp;$E19,'Updated SES'!A:N,14,0)</f>
        <v>4.6890000000000001</v>
      </c>
      <c r="M19" s="102">
        <f>VLOOKUP($K19,'Genre Penetration'!A:B,2,0)*VLOOKUP($C19&amp;$E19,'Updated SES'!A:I,9,0)</f>
        <v>0.34</v>
      </c>
      <c r="N19" s="102">
        <f>VLOOKUP(K:K,'Genre Penetration'!A:C,3,0)*VLOOKUP($C19&amp;$E19,'Updated SES'!A:J,10,0)</f>
        <v>0.16</v>
      </c>
      <c r="O19" s="102" t="e">
        <f>VLOOKUP($B19,'Language Penetration'!$B$1:$AY$14,MATCH('Compile data Working'!$H13,'Language Penetration'!$B$1:$AY$1,0),0)</f>
        <v>#N/A</v>
      </c>
      <c r="P19" s="103" t="str">
        <f t="shared" ca="1" si="0"/>
        <v>1%</v>
      </c>
      <c r="Q19" s="101" t="e">
        <f t="shared" ca="1" si="1"/>
        <v>#N/A</v>
      </c>
      <c r="R19" s="104">
        <f>VLOOKUP(D:D,ranking!W:X,2,0)</f>
        <v>0.7</v>
      </c>
      <c r="S19" s="59">
        <v>1.1488049999999999E-3</v>
      </c>
    </row>
    <row r="20" spans="1:19" x14ac:dyDescent="0.25">
      <c r="A20" s="46" t="s">
        <v>1579</v>
      </c>
      <c r="B20" s="46" t="s">
        <v>85</v>
      </c>
      <c r="C20" s="46" t="s">
        <v>123</v>
      </c>
      <c r="D20" s="46" t="s">
        <v>1012</v>
      </c>
      <c r="E20" s="46" t="s">
        <v>211</v>
      </c>
      <c r="F20" s="46" t="s">
        <v>215</v>
      </c>
      <c r="G20" s="46" t="s">
        <v>1596</v>
      </c>
      <c r="H20" s="46" t="s">
        <v>21</v>
      </c>
      <c r="I20" s="53">
        <v>45973</v>
      </c>
      <c r="J20" s="46"/>
      <c r="K20" s="46" t="s">
        <v>216</v>
      </c>
      <c r="L20" s="101">
        <f>VLOOKUP($C20&amp;$E20,'Updated SES'!A:N,14,0)</f>
        <v>55.459200000000003</v>
      </c>
      <c r="M20" s="102">
        <f>VLOOKUP($K20,'Genre Penetration'!A:B,2,0)*VLOOKUP($C20&amp;$E20,'Updated SES'!A:I,9,0)</f>
        <v>0.245</v>
      </c>
      <c r="N20" s="102">
        <f>VLOOKUP(K:K,'Genre Penetration'!A:C,3,0)*VLOOKUP($C20&amp;$E20,'Updated SES'!A:J,10,0)</f>
        <v>0.255</v>
      </c>
      <c r="O20" s="102" t="e">
        <f>VLOOKUP($B20,'Language Penetration'!$B$1:$AY$14,MATCH('Compile data Working'!$H14,'Language Penetration'!$B$1:$AY$1,0),0)</f>
        <v>#N/A</v>
      </c>
      <c r="P20" s="103" t="str">
        <f t="shared" ca="1" si="0"/>
        <v>1%</v>
      </c>
      <c r="Q20" s="101" t="e">
        <f t="shared" ca="1" si="1"/>
        <v>#N/A</v>
      </c>
      <c r="R20" s="104">
        <f>VLOOKUP(D:D,ranking!W:X,2,0)</f>
        <v>0.6</v>
      </c>
      <c r="S20" s="59">
        <v>6.6551040000000006E-2</v>
      </c>
    </row>
    <row r="21" spans="1:19" x14ac:dyDescent="0.25">
      <c r="A21" s="46" t="s">
        <v>1579</v>
      </c>
      <c r="B21" s="46" t="s">
        <v>85</v>
      </c>
      <c r="C21" s="46" t="s">
        <v>232</v>
      </c>
      <c r="D21" s="46" t="s">
        <v>1012</v>
      </c>
      <c r="E21" s="46" t="s">
        <v>211</v>
      </c>
      <c r="F21" s="46" t="s">
        <v>215</v>
      </c>
      <c r="G21" s="46" t="s">
        <v>1597</v>
      </c>
      <c r="H21" s="46" t="s">
        <v>20</v>
      </c>
      <c r="I21" s="53">
        <v>45973</v>
      </c>
      <c r="J21" s="46"/>
      <c r="K21" s="46" t="s">
        <v>138</v>
      </c>
      <c r="L21" s="101">
        <f>VLOOKUP($C21&amp;$E21,'Updated SES'!A:N,14,0)</f>
        <v>1.669</v>
      </c>
      <c r="M21" s="102">
        <f>VLOOKUP($K21,'Genre Penetration'!A:B,2,0)*VLOOKUP($C21&amp;$E21,'Updated SES'!A:I,9,0)</f>
        <v>0.28199999999999997</v>
      </c>
      <c r="N21" s="102">
        <f>VLOOKUP(K:K,'Genre Penetration'!A:C,3,0)*VLOOKUP($C21&amp;$E21,'Updated SES'!A:J,10,0)</f>
        <v>0.21200000000000002</v>
      </c>
      <c r="O21" s="102" t="e">
        <f>VLOOKUP($B21,'Language Penetration'!$B$1:$AY$14,MATCH('Compile data Working'!#REF!,'Language Penetration'!$B$1:$AY$1,0),0)</f>
        <v>#REF!</v>
      </c>
      <c r="P21" s="103" t="str">
        <f t="shared" ca="1" si="0"/>
        <v>2%</v>
      </c>
      <c r="Q21" s="101" t="e">
        <f t="shared" ca="1" si="1"/>
        <v>#REF!</v>
      </c>
      <c r="R21" s="104">
        <f>VLOOKUP(D:D,ranking!W:X,2,0)</f>
        <v>0.6</v>
      </c>
      <c r="S21" s="59">
        <v>1.9787664000000004E-3</v>
      </c>
    </row>
    <row r="22" spans="1:19" x14ac:dyDescent="0.25">
      <c r="A22" s="46" t="s">
        <v>1579</v>
      </c>
      <c r="B22" s="46" t="s">
        <v>85</v>
      </c>
      <c r="C22" s="46" t="s">
        <v>123</v>
      </c>
      <c r="D22" s="46" t="s">
        <v>1012</v>
      </c>
      <c r="E22" s="46" t="s">
        <v>211</v>
      </c>
      <c r="F22" s="46" t="s">
        <v>215</v>
      </c>
      <c r="G22" s="46" t="s">
        <v>1599</v>
      </c>
      <c r="H22" s="46" t="s">
        <v>20</v>
      </c>
      <c r="I22" s="53">
        <v>45973</v>
      </c>
      <c r="J22" s="46"/>
      <c r="K22" s="46" t="s">
        <v>898</v>
      </c>
      <c r="L22" s="101">
        <f>VLOOKUP($C22&amp;$E22,'Updated SES'!A:N,14,0)</f>
        <v>55.459200000000003</v>
      </c>
      <c r="M22" s="102">
        <f>VLOOKUP($K22,'Genre Penetration'!A:B,2,0)*VLOOKUP($C22&amp;$E22,'Updated SES'!A:I,9,0)</f>
        <v>0.245</v>
      </c>
      <c r="N22" s="102">
        <f>VLOOKUP(K:K,'Genre Penetration'!A:C,3,0)*VLOOKUP($C22&amp;$E22,'Updated SES'!A:J,10,0)</f>
        <v>0.255</v>
      </c>
      <c r="O22" s="102">
        <f>VLOOKUP($B22,'Language Penetration'!$B$1:$AY$14,MATCH('Compile data Working'!$H15,'Language Penetration'!$B$1:$AY$1,0),0)</f>
        <v>0.6</v>
      </c>
      <c r="P22" s="103" t="str">
        <f t="shared" ca="1" si="0"/>
        <v>1%</v>
      </c>
      <c r="Q22" s="101">
        <f t="shared" ca="1" si="1"/>
        <v>0.16637760000000001</v>
      </c>
      <c r="R22" s="104">
        <f>VLOOKUP(D:D,ranking!W:X,2,0)</f>
        <v>0.6</v>
      </c>
      <c r="S22" s="59">
        <v>3.3275520000000003E-2</v>
      </c>
    </row>
    <row r="23" spans="1:19" x14ac:dyDescent="0.25">
      <c r="A23" s="46" t="s">
        <v>1579</v>
      </c>
      <c r="B23" s="46" t="s">
        <v>85</v>
      </c>
      <c r="C23" s="46" t="s">
        <v>123</v>
      </c>
      <c r="D23" s="46" t="s">
        <v>1012</v>
      </c>
      <c r="E23" s="46" t="s">
        <v>211</v>
      </c>
      <c r="F23" s="46" t="s">
        <v>215</v>
      </c>
      <c r="G23" s="46" t="s">
        <v>1600</v>
      </c>
      <c r="H23" s="46" t="s">
        <v>20</v>
      </c>
      <c r="I23" s="53">
        <v>45973</v>
      </c>
      <c r="J23" s="46"/>
      <c r="K23" s="46" t="s">
        <v>1024</v>
      </c>
      <c r="L23" s="101">
        <f>VLOOKUP($C23&amp;$E23,'Updated SES'!A:N,14,0)</f>
        <v>55.459200000000003</v>
      </c>
      <c r="M23" s="102">
        <f>VLOOKUP($K23,'Genre Penetration'!A:B,2,0)*VLOOKUP($C23&amp;$E23,'Updated SES'!A:I,9,0)</f>
        <v>0.19600000000000001</v>
      </c>
      <c r="N23" s="102">
        <f>VLOOKUP(K:K,'Genre Penetration'!A:C,3,0)*VLOOKUP($C23&amp;$E23,'Updated SES'!A:J,10,0)</f>
        <v>0.30599999999999999</v>
      </c>
      <c r="O23" s="102" t="e">
        <f>VLOOKUP($B23,'Language Penetration'!$B$1:$AY$14,MATCH('Compile data Working'!#REF!,'Language Penetration'!$B$1:$AY$1,0),0)</f>
        <v>#REF!</v>
      </c>
      <c r="P23" s="103" t="str">
        <f t="shared" ca="1" si="0"/>
        <v>1%</v>
      </c>
      <c r="Q23" s="101" t="e">
        <f t="shared" ca="1" si="1"/>
        <v>#REF!</v>
      </c>
      <c r="R23" s="104">
        <f>VLOOKUP(D:D,ranking!W:X,2,0)</f>
        <v>0.6</v>
      </c>
      <c r="S23" s="59">
        <v>3.3408622079999999E-2</v>
      </c>
    </row>
    <row r="24" spans="1:19" x14ac:dyDescent="0.25">
      <c r="A24" s="46" t="s">
        <v>1579</v>
      </c>
      <c r="B24" s="46" t="s">
        <v>85</v>
      </c>
      <c r="C24" s="46" t="s">
        <v>1544</v>
      </c>
      <c r="D24" s="46" t="s">
        <v>859</v>
      </c>
      <c r="E24" s="97" t="s">
        <v>211</v>
      </c>
      <c r="F24" s="46" t="s">
        <v>213</v>
      </c>
      <c r="G24" s="46" t="s">
        <v>1601</v>
      </c>
      <c r="H24" s="46" t="s">
        <v>21</v>
      </c>
      <c r="I24" s="53">
        <v>45973</v>
      </c>
      <c r="J24" s="46"/>
      <c r="K24" s="46" t="s">
        <v>216</v>
      </c>
      <c r="L24" s="101">
        <f>VLOOKUP($C24&amp;$E24,'Updated SES'!A:N,14,0)</f>
        <v>127.11702000000001</v>
      </c>
      <c r="M24" s="102">
        <f>VLOOKUP($K24,'Genre Penetration'!A:B,2,0)*VLOOKUP($C24&amp;$E24,'Updated SES'!A:I,9,0)</f>
        <v>0.33499999999999996</v>
      </c>
      <c r="N24" s="102">
        <f>VLOOKUP(K:K,'Genre Penetration'!A:C,3,0)*VLOOKUP($C24&amp;$E24,'Updated SES'!A:J,10,0)</f>
        <v>0.16499999999999998</v>
      </c>
      <c r="O24" s="102" t="e">
        <f>VLOOKUP($B24,'Language Penetration'!$B$1:$AY$14,MATCH('Compile data Working'!$H16,'Language Penetration'!$B$1:$AY$1,0),0)</f>
        <v>#N/A</v>
      </c>
      <c r="P24" s="103" t="str">
        <f t="shared" ca="1" si="0"/>
        <v>1%</v>
      </c>
      <c r="Q24" s="101" t="e">
        <f t="shared" ca="1" si="1"/>
        <v>#N/A</v>
      </c>
      <c r="R24" s="104">
        <f>VLOOKUP(D:D,ranking!W:X,2,0)</f>
        <v>0.7</v>
      </c>
      <c r="S24" s="59">
        <v>0.35592765599999998</v>
      </c>
    </row>
    <row r="25" spans="1:19" x14ac:dyDescent="0.25">
      <c r="A25" s="46" t="s">
        <v>1579</v>
      </c>
      <c r="B25" s="46" t="s">
        <v>85</v>
      </c>
      <c r="C25" s="46" t="s">
        <v>1544</v>
      </c>
      <c r="D25" s="46" t="s">
        <v>859</v>
      </c>
      <c r="E25" s="46" t="s">
        <v>211</v>
      </c>
      <c r="F25" s="46" t="s">
        <v>213</v>
      </c>
      <c r="G25" s="46" t="s">
        <v>1602</v>
      </c>
      <c r="H25" s="46" t="s">
        <v>19</v>
      </c>
      <c r="I25" s="53">
        <v>45973</v>
      </c>
      <c r="J25" s="46"/>
      <c r="K25" s="46" t="s">
        <v>90</v>
      </c>
      <c r="L25" s="101">
        <f>VLOOKUP($C25&amp;$E25,'Updated SES'!A:N,14,0)</f>
        <v>127.11702000000001</v>
      </c>
      <c r="M25" s="102">
        <f>VLOOKUP($K25,'Genre Penetration'!A:B,2,0)*VLOOKUP($C25&amp;$E25,'Updated SES'!A:I,9,0)</f>
        <v>0.48239999999999994</v>
      </c>
      <c r="N25" s="102">
        <f>VLOOKUP(K:K,'Genre Penetration'!A:C,3,0)*VLOOKUP($C25&amp;$E25,'Updated SES'!A:J,10,0)</f>
        <v>9.2399999999999996E-2</v>
      </c>
      <c r="O25" s="102" t="e">
        <f>VLOOKUP($B25,'Language Penetration'!$B$1:$AY$14,MATCH('Compile data Working'!#REF!,'Language Penetration'!$B$1:$AY$1,0),0)</f>
        <v>#REF!</v>
      </c>
      <c r="P25" s="103" t="str">
        <f t="shared" ca="1" si="0"/>
        <v>1%</v>
      </c>
      <c r="Q25" s="101" t="e">
        <f t="shared" ca="1" si="1"/>
        <v>#REF!</v>
      </c>
      <c r="R25" s="104">
        <f>VLOOKUP(D:D,ranking!W:X,2,0)</f>
        <v>0.7</v>
      </c>
      <c r="S25" s="59">
        <v>0.30688082500320002</v>
      </c>
    </row>
    <row r="26" spans="1:19" x14ac:dyDescent="0.25">
      <c r="A26" s="46" t="s">
        <v>1579</v>
      </c>
      <c r="B26" s="46" t="s">
        <v>85</v>
      </c>
      <c r="C26" s="46" t="s">
        <v>123</v>
      </c>
      <c r="D26" s="46" t="s">
        <v>1012</v>
      </c>
      <c r="E26" s="46" t="s">
        <v>211</v>
      </c>
      <c r="F26" s="46" t="s">
        <v>215</v>
      </c>
      <c r="G26" s="46" t="s">
        <v>1603</v>
      </c>
      <c r="H26" s="46" t="s">
        <v>20</v>
      </c>
      <c r="I26" s="53">
        <v>45974</v>
      </c>
      <c r="J26" s="46"/>
      <c r="K26" s="46" t="s">
        <v>171</v>
      </c>
      <c r="L26" s="101">
        <f>VLOOKUP($C26&amp;$E26,'Updated SES'!A:N,14,0)</f>
        <v>55.459200000000003</v>
      </c>
      <c r="M26" s="102">
        <f>VLOOKUP($K26,'Genre Penetration'!A:B,2,0)*VLOOKUP($C26&amp;$E26,'Updated SES'!A:I,9,0)</f>
        <v>0.26950000000000002</v>
      </c>
      <c r="N26" s="102">
        <f>VLOOKUP(K:K,'Genre Penetration'!A:C,3,0)*VLOOKUP($C26&amp;$E26,'Updated SES'!A:J,10,0)</f>
        <v>0.22950000000000001</v>
      </c>
      <c r="O26" s="102">
        <f>VLOOKUP($B26,'Language Penetration'!$B$1:$AY$14,MATCH('Compile data Working'!$H17,'Language Penetration'!$B$1:$AY$1,0),0)</f>
        <v>0.6</v>
      </c>
      <c r="P26" s="103" t="str">
        <f t="shared" ca="1" si="0"/>
        <v>1%</v>
      </c>
      <c r="Q26" s="101">
        <f t="shared" ca="1" si="1"/>
        <v>0.16604484480000001</v>
      </c>
      <c r="R26" s="104">
        <f>VLOOKUP(D:D,ranking!W:X,2,0)</f>
        <v>0.6</v>
      </c>
      <c r="S26" s="59">
        <v>3.3208968960000002E-2</v>
      </c>
    </row>
    <row r="27" spans="1:19" x14ac:dyDescent="0.25">
      <c r="A27" s="46" t="s">
        <v>1579</v>
      </c>
      <c r="B27" s="46" t="s">
        <v>85</v>
      </c>
      <c r="C27" s="46" t="s">
        <v>127</v>
      </c>
      <c r="D27" s="46" t="s">
        <v>859</v>
      </c>
      <c r="E27" s="46" t="s">
        <v>211</v>
      </c>
      <c r="F27" s="46" t="s">
        <v>213</v>
      </c>
      <c r="G27" s="46" t="s">
        <v>1604</v>
      </c>
      <c r="H27" s="46" t="s">
        <v>30</v>
      </c>
      <c r="I27" s="53">
        <v>45974</v>
      </c>
      <c r="J27" s="46"/>
      <c r="K27" s="46" t="s">
        <v>216</v>
      </c>
      <c r="L27" s="101">
        <f>VLOOKUP($C27&amp;$E27,'Updated SES'!A:N,14,0)</f>
        <v>15.819999999999999</v>
      </c>
      <c r="M27" s="102">
        <f>VLOOKUP($K27,'Genre Penetration'!A:B,2,0)*VLOOKUP($C27&amp;$E27,'Updated SES'!A:I,9,0)</f>
        <v>0.375</v>
      </c>
      <c r="N27" s="102">
        <f>VLOOKUP(K:K,'Genre Penetration'!A:C,3,0)*VLOOKUP($C27&amp;$E27,'Updated SES'!A:J,10,0)</f>
        <v>0.125</v>
      </c>
      <c r="O27" s="102" t="e">
        <f>VLOOKUP($B27,'Language Penetration'!$B$1:$AY$14,MATCH('Compile data Working'!#REF!,'Language Penetration'!$B$1:$AY$1,0),0)</f>
        <v>#REF!</v>
      </c>
      <c r="P27" s="103" t="str">
        <f t="shared" ca="1" si="0"/>
        <v>2%</v>
      </c>
      <c r="Q27" s="101" t="e">
        <f t="shared" ca="1" si="1"/>
        <v>#REF!</v>
      </c>
      <c r="R27" s="104">
        <f>VLOOKUP(D:D,ranking!W:X,2,0)</f>
        <v>0.7</v>
      </c>
      <c r="S27" s="59">
        <v>1.6610999999999997E-2</v>
      </c>
    </row>
    <row r="28" spans="1:19" x14ac:dyDescent="0.25">
      <c r="A28" s="46" t="s">
        <v>1579</v>
      </c>
      <c r="B28" s="46" t="s">
        <v>85</v>
      </c>
      <c r="C28" s="46" t="s">
        <v>64</v>
      </c>
      <c r="D28" s="46" t="s">
        <v>859</v>
      </c>
      <c r="E28" s="46" t="s">
        <v>211</v>
      </c>
      <c r="F28" s="46" t="s">
        <v>213</v>
      </c>
      <c r="G28" s="46" t="s">
        <v>1606</v>
      </c>
      <c r="H28" s="46" t="s">
        <v>21</v>
      </c>
      <c r="I28" s="53">
        <v>45974</v>
      </c>
      <c r="J28" s="46"/>
      <c r="K28" s="46" t="s">
        <v>84</v>
      </c>
      <c r="L28" s="101">
        <f>VLOOKUP($C28&amp;$E28,'Updated SES'!A:N,14,0)</f>
        <v>36.498239999999996</v>
      </c>
      <c r="M28" s="102">
        <f>VLOOKUP($K28,'Genre Penetration'!A:B,2,0)*VLOOKUP($C28&amp;$E28,'Updated SES'!A:I,9,0)</f>
        <v>0.33280000000000004</v>
      </c>
      <c r="N28" s="102">
        <f>VLOOKUP(K:K,'Genre Penetration'!A:C,3,0)*VLOOKUP($C28&amp;$E28,'Updated SES'!A:J,10,0)</f>
        <v>0.17279999999999998</v>
      </c>
      <c r="O28" s="102">
        <f>VLOOKUP($B28,'Language Penetration'!$B$1:$AY$14,MATCH('Compile data Working'!$H18,'Language Penetration'!$B$1:$AY$1,0),0)</f>
        <v>0.6</v>
      </c>
      <c r="P28" s="103" t="str">
        <f t="shared" ca="1" si="0"/>
        <v>1%</v>
      </c>
      <c r="Q28" s="101">
        <f t="shared" ca="1" si="1"/>
        <v>0.11072106086400001</v>
      </c>
      <c r="R28" s="104">
        <f>VLOOKUP(D:D,ranking!W:X,2,0)</f>
        <v>0.7</v>
      </c>
      <c r="S28" s="59">
        <v>0.1033396568064</v>
      </c>
    </row>
    <row r="29" spans="1:19" x14ac:dyDescent="0.25">
      <c r="A29" s="46" t="s">
        <v>1579</v>
      </c>
      <c r="B29" s="46" t="s">
        <v>85</v>
      </c>
      <c r="C29" s="46" t="s">
        <v>123</v>
      </c>
      <c r="D29" s="46" t="s">
        <v>1012</v>
      </c>
      <c r="E29" s="46" t="s">
        <v>211</v>
      </c>
      <c r="F29" s="98" t="s">
        <v>215</v>
      </c>
      <c r="G29" s="98" t="s">
        <v>1609</v>
      </c>
      <c r="H29" s="98" t="s">
        <v>20</v>
      </c>
      <c r="I29" s="53">
        <v>45974</v>
      </c>
      <c r="J29" s="46"/>
      <c r="K29" s="98" t="s">
        <v>202</v>
      </c>
      <c r="L29" s="101">
        <f>VLOOKUP($C29&amp;$E29,'Updated SES'!A:N,14,0)</f>
        <v>55.459200000000003</v>
      </c>
      <c r="M29" s="102">
        <f>VLOOKUP($K29,'Genre Penetration'!A:B,2,0)*VLOOKUP($C29&amp;$E29,'Updated SES'!A:I,9,0)</f>
        <v>0.3528</v>
      </c>
      <c r="N29" s="102">
        <f>VLOOKUP(K:K,'Genre Penetration'!A:C,3,0)*VLOOKUP($C29&amp;$E29,'Updated SES'!A:J,10,0)</f>
        <v>0.14280000000000001</v>
      </c>
      <c r="O29" s="102">
        <f>VLOOKUP($B29,'Language Penetration'!$B$1:$AY$14,MATCH('Compile data Working'!$H19,'Language Penetration'!$B$1:$AY$1,0),0)</f>
        <v>7.0000000000000007E-2</v>
      </c>
      <c r="P29" s="103" t="str">
        <f t="shared" ca="1" si="0"/>
        <v>2%</v>
      </c>
      <c r="Q29" s="101">
        <f t="shared" ca="1" si="1"/>
        <v>3.8479811328000012E-2</v>
      </c>
      <c r="R29" s="104">
        <f>VLOOKUP(D:D,ranking!W:X,2,0)</f>
        <v>0.6</v>
      </c>
      <c r="S29" s="59">
        <v>3.2982695424000001E-2</v>
      </c>
    </row>
    <row r="30" spans="1:19" x14ac:dyDescent="0.25">
      <c r="A30" s="46" t="s">
        <v>1579</v>
      </c>
      <c r="B30" s="46" t="s">
        <v>85</v>
      </c>
      <c r="C30" s="46" t="s">
        <v>64</v>
      </c>
      <c r="D30" s="46" t="s">
        <v>859</v>
      </c>
      <c r="E30" s="46" t="s">
        <v>233</v>
      </c>
      <c r="F30" s="98" t="s">
        <v>213</v>
      </c>
      <c r="G30" s="98" t="s">
        <v>1610</v>
      </c>
      <c r="H30" s="98" t="s">
        <v>22</v>
      </c>
      <c r="I30" s="53">
        <v>45974</v>
      </c>
      <c r="J30" s="46"/>
      <c r="K30" s="98" t="s">
        <v>170</v>
      </c>
      <c r="L30" s="101">
        <f>VLOOKUP($C30&amp;$E30,'Updated SES'!A:N,14,0)</f>
        <v>4.6890000000000001</v>
      </c>
      <c r="M30" s="102">
        <f>VLOOKUP($K30,'Genre Penetration'!A:B,2,0)*VLOOKUP($C30&amp;$E30,'Updated SES'!A:I,9,0)</f>
        <v>0.39440000000000003</v>
      </c>
      <c r="N30" s="102">
        <f>VLOOKUP(K:K,'Genre Penetration'!A:C,3,0)*VLOOKUP($C30&amp;$E30,'Updated SES'!A:J,10,0)</f>
        <v>0.13439999999999999</v>
      </c>
      <c r="O30" s="102" t="e">
        <f>VLOOKUP($B30,'Language Penetration'!$B$1:$AY$14,MATCH('Compile data Working'!$H20,'Language Penetration'!$B$1:$AY$1,0),0)</f>
        <v>#N/A</v>
      </c>
      <c r="P30" s="103" t="str">
        <f t="shared" ca="1" si="0"/>
        <v>2%</v>
      </c>
      <c r="Q30" s="101" t="e">
        <f t="shared" ca="1" si="1"/>
        <v>#N/A</v>
      </c>
      <c r="R30" s="104">
        <f>VLOOKUP(D:D,ranking!W:X,2,0)</f>
        <v>0.7</v>
      </c>
      <c r="S30" s="59">
        <v>3.4713604800000004E-3</v>
      </c>
    </row>
    <row r="31" spans="1:19" x14ac:dyDescent="0.25">
      <c r="A31" s="46" t="s">
        <v>1579</v>
      </c>
      <c r="B31" s="46" t="s">
        <v>85</v>
      </c>
      <c r="C31" s="46" t="s">
        <v>64</v>
      </c>
      <c r="D31" s="46" t="s">
        <v>859</v>
      </c>
      <c r="E31" s="46" t="s">
        <v>211</v>
      </c>
      <c r="F31" s="98" t="s">
        <v>213</v>
      </c>
      <c r="G31" s="98" t="s">
        <v>1612</v>
      </c>
      <c r="H31" s="98" t="s">
        <v>19</v>
      </c>
      <c r="I31" s="53">
        <v>45974</v>
      </c>
      <c r="J31" s="46"/>
      <c r="K31" s="98" t="s">
        <v>92</v>
      </c>
      <c r="L31" s="101">
        <f>VLOOKUP($C31&amp;$E31,'Updated SES'!A:N,14,0)</f>
        <v>36.498239999999996</v>
      </c>
      <c r="M31" s="102">
        <f>VLOOKUP($K31,'Genre Penetration'!A:B,2,0)*VLOOKUP($C31&amp;$E31,'Updated SES'!A:I,9,0)</f>
        <v>0.27560000000000001</v>
      </c>
      <c r="N31" s="102">
        <f>VLOOKUP(K:K,'Genre Penetration'!A:C,3,0)*VLOOKUP($C31&amp;$E31,'Updated SES'!A:J,10,0)</f>
        <v>0.22559999999999997</v>
      </c>
      <c r="O31" s="102" t="e">
        <f>VLOOKUP($B31,'Language Penetration'!$B$1:$AY$14,MATCH('Compile data Working'!#REF!,'Language Penetration'!$B$1:$AY$1,0),0)</f>
        <v>#REF!</v>
      </c>
      <c r="P31" s="103" t="str">
        <f t="shared" ca="1" si="0"/>
        <v>2%</v>
      </c>
      <c r="Q31" s="101" t="e">
        <f t="shared" ca="1" si="1"/>
        <v>#REF!</v>
      </c>
      <c r="R31" s="104">
        <f>VLOOKUP(D:D,ranking!W:X,2,0)</f>
        <v>0.7</v>
      </c>
      <c r="S31" s="59">
        <v>7.6830255129599984E-2</v>
      </c>
    </row>
    <row r="32" spans="1:19" x14ac:dyDescent="0.25">
      <c r="A32" s="46" t="s">
        <v>1579</v>
      </c>
      <c r="B32" s="46" t="s">
        <v>85</v>
      </c>
      <c r="C32" s="46" t="s">
        <v>123</v>
      </c>
      <c r="D32" s="46" t="s">
        <v>1013</v>
      </c>
      <c r="E32" s="46" t="s">
        <v>211</v>
      </c>
      <c r="F32" s="98" t="s">
        <v>213</v>
      </c>
      <c r="G32" s="98" t="s">
        <v>1613</v>
      </c>
      <c r="H32" s="98" t="s">
        <v>20</v>
      </c>
      <c r="I32" s="53">
        <v>45974</v>
      </c>
      <c r="J32" s="46"/>
      <c r="K32" s="98" t="s">
        <v>216</v>
      </c>
      <c r="L32" s="101">
        <f>VLOOKUP($C32&amp;$E32,'Updated SES'!A:N,14,0)</f>
        <v>55.459200000000003</v>
      </c>
      <c r="M32" s="102">
        <f>VLOOKUP($K32,'Genre Penetration'!A:B,2,0)*VLOOKUP($C32&amp;$E32,'Updated SES'!A:I,9,0)</f>
        <v>0.245</v>
      </c>
      <c r="N32" s="102">
        <f>VLOOKUP(K:K,'Genre Penetration'!A:C,3,0)*VLOOKUP($C32&amp;$E32,'Updated SES'!A:J,10,0)</f>
        <v>0.255</v>
      </c>
      <c r="O32" s="102" t="e">
        <f>VLOOKUP($B32,'Language Penetration'!$B$1:$AY$14,MATCH('Compile data Working'!#REF!,'Language Penetration'!$B$1:$AY$1,0),0)</f>
        <v>#REF!</v>
      </c>
      <c r="P32" s="103" t="str">
        <f t="shared" ca="1" si="0"/>
        <v>1%</v>
      </c>
      <c r="Q32" s="101" t="e">
        <f t="shared" ca="1" si="1"/>
        <v>#REF!</v>
      </c>
      <c r="R32" s="104">
        <f>VLOOKUP(D:D,ranking!W:X,2,0)</f>
        <v>0.8</v>
      </c>
      <c r="S32" s="59">
        <v>8.8734720000000017E-2</v>
      </c>
    </row>
    <row r="33" spans="1:19" x14ac:dyDescent="0.25">
      <c r="A33" s="46" t="s">
        <v>1579</v>
      </c>
      <c r="B33" s="46" t="s">
        <v>85</v>
      </c>
      <c r="C33" s="46" t="s">
        <v>64</v>
      </c>
      <c r="D33" s="46" t="s">
        <v>859</v>
      </c>
      <c r="E33" s="46" t="s">
        <v>211</v>
      </c>
      <c r="F33" s="98" t="s">
        <v>213</v>
      </c>
      <c r="G33" s="98" t="s">
        <v>1615</v>
      </c>
      <c r="H33" s="98" t="s">
        <v>40</v>
      </c>
      <c r="I33" s="53">
        <v>45974</v>
      </c>
      <c r="J33" s="46"/>
      <c r="K33" s="98" t="s">
        <v>264</v>
      </c>
      <c r="L33" s="101">
        <f>VLOOKUP($C33&amp;$E33,'Updated SES'!A:N,14,0)</f>
        <v>36.498239999999996</v>
      </c>
      <c r="M33" s="102">
        <f>VLOOKUP($K33,'Genre Penetration'!A:B,2,0)*VLOOKUP($C33&amp;$E33,'Updated SES'!A:I,9,0)</f>
        <v>0.36399999999999999</v>
      </c>
      <c r="N33" s="102">
        <f>VLOOKUP(K:K,'Genre Penetration'!A:C,3,0)*VLOOKUP($C33&amp;$E33,'Updated SES'!A:J,10,0)</f>
        <v>0.14399999999999999</v>
      </c>
      <c r="O33" s="102" t="e">
        <f>VLOOKUP($B33,'Language Penetration'!$B$1:$AY$14,MATCH('Compile data Working'!$H21,'Language Penetration'!$B$1:$AY$1,0),0)</f>
        <v>#N/A</v>
      </c>
      <c r="P33" s="103" t="str">
        <f t="shared" ca="1" si="0"/>
        <v>1%</v>
      </c>
      <c r="Q33" s="101" t="e">
        <f t="shared" ca="1" si="1"/>
        <v>#N/A</v>
      </c>
      <c r="R33" s="104">
        <f>VLOOKUP(D:D,ranking!W:X,2,0)</f>
        <v>0.7</v>
      </c>
      <c r="S33" s="59">
        <v>3.6773193407999998E-2</v>
      </c>
    </row>
    <row r="34" spans="1:19" x14ac:dyDescent="0.25">
      <c r="A34" s="46" t="s">
        <v>1579</v>
      </c>
      <c r="B34" s="46" t="s">
        <v>85</v>
      </c>
      <c r="C34" s="46" t="s">
        <v>64</v>
      </c>
      <c r="D34" s="46" t="s">
        <v>859</v>
      </c>
      <c r="E34" s="46" t="s">
        <v>211</v>
      </c>
      <c r="F34" s="98" t="s">
        <v>213</v>
      </c>
      <c r="G34" s="98" t="s">
        <v>1616</v>
      </c>
      <c r="H34" s="98" t="s">
        <v>19</v>
      </c>
      <c r="I34" s="53">
        <v>45974</v>
      </c>
      <c r="J34" s="46"/>
      <c r="K34" s="98" t="s">
        <v>74</v>
      </c>
      <c r="L34" s="101">
        <f>VLOOKUP($C34&amp;$E34,'Updated SES'!A:N,14,0)</f>
        <v>36.498239999999996</v>
      </c>
      <c r="M34" s="102">
        <f>VLOOKUP($K34,'Genre Penetration'!A:B,2,0)*VLOOKUP($C34&amp;$E34,'Updated SES'!A:I,9,0)</f>
        <v>0.28600000000000003</v>
      </c>
      <c r="N34" s="102">
        <f>VLOOKUP(K:K,'Genre Penetration'!A:C,3,0)*VLOOKUP($C34&amp;$E34,'Updated SES'!A:J,10,0)</f>
        <v>0.216</v>
      </c>
      <c r="O34" s="102">
        <f>VLOOKUP($B34,'Language Penetration'!$B$1:$AY$14,MATCH('Compile data Working'!$H22,'Language Penetration'!$B$1:$AY$1,0),0)</f>
        <v>0.6</v>
      </c>
      <c r="P34" s="103" t="str">
        <f t="shared" ca="1" si="0"/>
        <v>1%</v>
      </c>
      <c r="Q34" s="101">
        <f t="shared" ca="1" si="1"/>
        <v>0.10993269887999998</v>
      </c>
      <c r="R34" s="104">
        <f>VLOOKUP(D:D,ranking!W:X,2,0)</f>
        <v>0.7</v>
      </c>
      <c r="S34" s="59">
        <v>7.6952889215999978E-2</v>
      </c>
    </row>
    <row r="35" spans="1:19" x14ac:dyDescent="0.25">
      <c r="A35" s="46" t="s">
        <v>1579</v>
      </c>
      <c r="B35" s="46" t="s">
        <v>85</v>
      </c>
      <c r="C35" s="46" t="s">
        <v>123</v>
      </c>
      <c r="D35" s="46" t="s">
        <v>859</v>
      </c>
      <c r="E35" s="46" t="s">
        <v>211</v>
      </c>
      <c r="F35" s="98" t="s">
        <v>213</v>
      </c>
      <c r="G35" s="98" t="s">
        <v>442</v>
      </c>
      <c r="H35" s="98" t="s">
        <v>21</v>
      </c>
      <c r="I35" s="53">
        <v>45975</v>
      </c>
      <c r="J35" s="46"/>
      <c r="K35" s="98" t="s">
        <v>1647</v>
      </c>
      <c r="L35" s="101">
        <f>VLOOKUP($C35&amp;$E35,'Updated SES'!A:N,14,0)</f>
        <v>55.459200000000003</v>
      </c>
      <c r="M35" s="102">
        <f>VLOOKUP($K35,'Genre Penetration'!A:B,2,0)*VLOOKUP($C35&amp;$E35,'Updated SES'!A:I,9,0)</f>
        <v>0.28419999999999995</v>
      </c>
      <c r="N35" s="102">
        <f>VLOOKUP(K:K,'Genre Penetration'!A:C,3,0)*VLOOKUP($C35&amp;$E35,'Updated SES'!A:J,10,0)</f>
        <v>0.2142</v>
      </c>
      <c r="O35" s="102" t="e">
        <f>VLOOKUP($B35,'Language Penetration'!$B$1:$AY$14,MATCH('Compile data Working'!$H23,'Language Penetration'!$B$1:$AY$1,0),0)</f>
        <v>#N/A</v>
      </c>
      <c r="P35" s="103" t="str">
        <f t="shared" ca="1" si="0"/>
        <v>1%</v>
      </c>
      <c r="Q35" s="101" t="e">
        <f t="shared" ca="1" si="1"/>
        <v>#N/A</v>
      </c>
      <c r="R35" s="104">
        <f>VLOOKUP(D:D,ranking!W:X,2,0)</f>
        <v>0.7</v>
      </c>
      <c r="S35" s="59">
        <v>0.15478884556799999</v>
      </c>
    </row>
    <row r="36" spans="1:19" x14ac:dyDescent="0.25">
      <c r="A36" s="46" t="s">
        <v>1579</v>
      </c>
      <c r="B36" s="46" t="s">
        <v>85</v>
      </c>
      <c r="C36" s="46" t="s">
        <v>1544</v>
      </c>
      <c r="D36" s="46" t="s">
        <v>1013</v>
      </c>
      <c r="E36" s="46" t="s">
        <v>211</v>
      </c>
      <c r="F36" s="98" t="s">
        <v>213</v>
      </c>
      <c r="G36" s="98" t="s">
        <v>1617</v>
      </c>
      <c r="H36" s="98" t="s">
        <v>20</v>
      </c>
      <c r="I36" s="53">
        <v>45975</v>
      </c>
      <c r="J36" s="46"/>
      <c r="K36" s="98" t="s">
        <v>151</v>
      </c>
      <c r="L36" s="101">
        <f>VLOOKUP($C36&amp;$E36,'Updated SES'!A:N,14,0)</f>
        <v>127.11702000000001</v>
      </c>
      <c r="M36" s="102">
        <f>VLOOKUP($K36,'Genre Penetration'!A:B,2,0)*VLOOKUP($C36&amp;$E36,'Updated SES'!A:I,9,0)</f>
        <v>0.28139999999999998</v>
      </c>
      <c r="N36" s="102">
        <f>VLOOKUP(K:K,'Genre Penetration'!A:C,3,0)*VLOOKUP($C36&amp;$E36,'Updated SES'!A:J,10,0)</f>
        <v>0.19139999999999996</v>
      </c>
      <c r="O36" s="102">
        <f>VLOOKUP($B36,'Language Penetration'!$B$1:$AY$14,MATCH('Compile data Working'!$H24,'Language Penetration'!$B$1:$AY$1,0),0)</f>
        <v>0.6</v>
      </c>
      <c r="P36" s="103" t="str">
        <f t="shared" ca="1" si="0"/>
        <v>2%</v>
      </c>
      <c r="Q36" s="101">
        <f t="shared" ca="1" si="1"/>
        <v>0.72121112467199999</v>
      </c>
      <c r="R36" s="104">
        <f>VLOOKUP(D:D,ranking!W:X,2,0)</f>
        <v>0.8</v>
      </c>
      <c r="S36" s="59">
        <v>0.19232296657920001</v>
      </c>
    </row>
    <row r="37" spans="1:19" x14ac:dyDescent="0.25">
      <c r="A37" s="46" t="s">
        <v>1579</v>
      </c>
      <c r="B37" s="46" t="s">
        <v>85</v>
      </c>
      <c r="C37" s="46" t="s">
        <v>1544</v>
      </c>
      <c r="D37" s="46" t="s">
        <v>859</v>
      </c>
      <c r="E37" s="46" t="s">
        <v>211</v>
      </c>
      <c r="F37" s="98" t="s">
        <v>213</v>
      </c>
      <c r="G37" s="98" t="s">
        <v>1618</v>
      </c>
      <c r="H37" s="98" t="s">
        <v>246</v>
      </c>
      <c r="I37" s="53">
        <v>45975</v>
      </c>
      <c r="J37" s="46"/>
      <c r="K37" s="98" t="s">
        <v>216</v>
      </c>
      <c r="L37" s="101">
        <f>VLOOKUP($C37&amp;$E37,'Updated SES'!A:N,14,0)</f>
        <v>127.11702000000001</v>
      </c>
      <c r="M37" s="102">
        <f>VLOOKUP($K37,'Genre Penetration'!A:B,2,0)*VLOOKUP($C37&amp;$E37,'Updated SES'!A:I,9,0)</f>
        <v>0.33499999999999996</v>
      </c>
      <c r="N37" s="102">
        <f>VLOOKUP(K:K,'Genre Penetration'!A:C,3,0)*VLOOKUP($C37&amp;$E37,'Updated SES'!A:J,10,0)</f>
        <v>0.16499999999999998</v>
      </c>
      <c r="O37" s="102">
        <v>0.7</v>
      </c>
      <c r="P37" s="103" t="str">
        <f t="shared" ca="1" si="0"/>
        <v>1%</v>
      </c>
      <c r="Q37" s="101">
        <f t="shared" ca="1" si="1"/>
        <v>0.44490956999999998</v>
      </c>
      <c r="R37" s="104">
        <f>VLOOKUP(D:D,ranking!W:X,2,0)</f>
        <v>0.7</v>
      </c>
      <c r="S37" s="59">
        <v>0.31143669899999998</v>
      </c>
    </row>
    <row r="38" spans="1:19" x14ac:dyDescent="0.25">
      <c r="A38" s="46" t="s">
        <v>1579</v>
      </c>
      <c r="B38" s="46" t="s">
        <v>85</v>
      </c>
      <c r="C38" s="46" t="s">
        <v>64</v>
      </c>
      <c r="D38" s="46" t="s">
        <v>1013</v>
      </c>
      <c r="E38" s="46" t="s">
        <v>211</v>
      </c>
      <c r="F38" s="98" t="s">
        <v>213</v>
      </c>
      <c r="G38" s="98" t="s">
        <v>1619</v>
      </c>
      <c r="H38" s="98" t="s">
        <v>20</v>
      </c>
      <c r="I38" s="53">
        <v>45975</v>
      </c>
      <c r="J38" s="46"/>
      <c r="K38" s="98" t="s">
        <v>170</v>
      </c>
      <c r="L38" s="101">
        <f>VLOOKUP($C38&amp;$E38,'Updated SES'!A:N,14,0)</f>
        <v>36.498239999999996</v>
      </c>
      <c r="M38" s="102">
        <f>VLOOKUP($K38,'Genre Penetration'!A:B,2,0)*VLOOKUP($C38&amp;$E38,'Updated SES'!A:I,9,0)</f>
        <v>0.30159999999999998</v>
      </c>
      <c r="N38" s="102">
        <f>VLOOKUP(K:K,'Genre Penetration'!A:C,3,0)*VLOOKUP($C38&amp;$E38,'Updated SES'!A:J,10,0)</f>
        <v>0.20159999999999997</v>
      </c>
      <c r="O38" s="102" t="e">
        <f>VLOOKUP($B38,'Language Penetration'!$B$1:$AY$14,MATCH('Compile data Working'!$H25,'Language Penetration'!$B$1:$AY$1,0),0)</f>
        <v>#N/A</v>
      </c>
      <c r="P38" s="103" t="str">
        <f t="shared" ca="1" si="0"/>
        <v>2%</v>
      </c>
      <c r="Q38" s="101" t="e">
        <f t="shared" ca="1" si="1"/>
        <v>#N/A</v>
      </c>
      <c r="R38" s="104">
        <f>VLOOKUP(D:D,ranking!W:X,2,0)</f>
        <v>0.8</v>
      </c>
      <c r="S38" s="59">
        <v>5.8770925977600003E-2</v>
      </c>
    </row>
    <row r="39" spans="1:19" x14ac:dyDescent="0.25">
      <c r="A39" s="46" t="s">
        <v>1579</v>
      </c>
      <c r="B39" s="46" t="s">
        <v>85</v>
      </c>
      <c r="C39" s="46" t="s">
        <v>64</v>
      </c>
      <c r="D39" s="46" t="s">
        <v>859</v>
      </c>
      <c r="E39" s="98" t="s">
        <v>233</v>
      </c>
      <c r="F39" s="98" t="s">
        <v>213</v>
      </c>
      <c r="G39" s="98" t="s">
        <v>1620</v>
      </c>
      <c r="H39" s="98" t="s">
        <v>22</v>
      </c>
      <c r="I39" s="53">
        <v>45975</v>
      </c>
      <c r="J39" s="46"/>
      <c r="K39" s="98" t="s">
        <v>46</v>
      </c>
      <c r="L39" s="101">
        <f>VLOOKUP($C39&amp;$E39,'Updated SES'!A:N,14,0)</f>
        <v>4.6890000000000001</v>
      </c>
      <c r="M39" s="102">
        <f>VLOOKUP($K39,'Genre Penetration'!A:B,2,0)*VLOOKUP($C39&amp;$E39,'Updated SES'!A:I,9,0)</f>
        <v>0.47599999999999998</v>
      </c>
      <c r="N39" s="102">
        <f>VLOOKUP(K:K,'Genre Penetration'!A:C,3,0)*VLOOKUP($C39&amp;$E39,'Updated SES'!A:J,10,0)</f>
        <v>9.6000000000000002E-2</v>
      </c>
      <c r="O39" s="102" t="e">
        <f>VLOOKUP($B39,'Language Penetration'!$B$1:$AY$14,MATCH('Compile data Working'!#REF!,'Language Penetration'!$B$1:$AY$1,0),0)</f>
        <v>#REF!</v>
      </c>
      <c r="P39" s="103" t="str">
        <f t="shared" ca="1" si="0"/>
        <v>1%</v>
      </c>
      <c r="Q39" s="101" t="e">
        <f t="shared" ca="1" si="1"/>
        <v>#REF!</v>
      </c>
      <c r="R39" s="104">
        <f>VLOOKUP(D:D,ranking!W:X,2,0)</f>
        <v>0.7</v>
      </c>
      <c r="S39" s="59">
        <v>1.8774756000000002E-3</v>
      </c>
    </row>
    <row r="40" spans="1:19" x14ac:dyDescent="0.25">
      <c r="A40" s="46" t="s">
        <v>1579</v>
      </c>
      <c r="B40" s="46" t="s">
        <v>85</v>
      </c>
      <c r="C40" s="46" t="s">
        <v>64</v>
      </c>
      <c r="D40" s="46" t="s">
        <v>859</v>
      </c>
      <c r="E40" s="98" t="s">
        <v>233</v>
      </c>
      <c r="F40" s="98" t="s">
        <v>213</v>
      </c>
      <c r="G40" s="98" t="s">
        <v>1621</v>
      </c>
      <c r="H40" s="98" t="s">
        <v>29</v>
      </c>
      <c r="I40" s="53">
        <v>45975</v>
      </c>
      <c r="J40" s="46"/>
      <c r="K40" s="98" t="s">
        <v>216</v>
      </c>
      <c r="L40" s="101">
        <f>VLOOKUP($C40&amp;$E40,'Updated SES'!A:N,14,0)</f>
        <v>4.6890000000000001</v>
      </c>
      <c r="M40" s="102">
        <f>VLOOKUP($K40,'Genre Penetration'!A:B,2,0)*VLOOKUP($C40&amp;$E40,'Updated SES'!A:I,9,0)</f>
        <v>0.34</v>
      </c>
      <c r="N40" s="102">
        <f>VLOOKUP(K:K,'Genre Penetration'!A:C,3,0)*VLOOKUP($C40&amp;$E40,'Updated SES'!A:J,10,0)</f>
        <v>0.16</v>
      </c>
      <c r="O40" s="102" t="e">
        <f>VLOOKUP($B40,'Language Penetration'!$B$1:$AY$14,MATCH('Compile data Working'!#REF!,'Language Penetration'!$B$1:$AY$1,0),0)</f>
        <v>#REF!</v>
      </c>
      <c r="P40" s="103" t="str">
        <f t="shared" ca="1" si="0"/>
        <v>1%</v>
      </c>
      <c r="Q40" s="101" t="e">
        <f t="shared" ca="1" si="1"/>
        <v>#REF!</v>
      </c>
      <c r="R40" s="104">
        <f>VLOOKUP(D:D,ranking!W:X,2,0)</f>
        <v>0.7</v>
      </c>
      <c r="S40" s="59">
        <v>3.9387599999999995E-3</v>
      </c>
    </row>
    <row r="41" spans="1:19" x14ac:dyDescent="0.25">
      <c r="A41" s="46" t="s">
        <v>1579</v>
      </c>
      <c r="B41" s="46" t="s">
        <v>85</v>
      </c>
      <c r="C41" s="46" t="s">
        <v>123</v>
      </c>
      <c r="D41" s="46" t="s">
        <v>1012</v>
      </c>
      <c r="E41" s="98" t="s">
        <v>211</v>
      </c>
      <c r="F41" s="98" t="s">
        <v>215</v>
      </c>
      <c r="G41" s="98" t="s">
        <v>1625</v>
      </c>
      <c r="H41" s="98" t="s">
        <v>20</v>
      </c>
      <c r="I41" s="53">
        <v>45975</v>
      </c>
      <c r="J41" s="46"/>
      <c r="K41" s="98" t="s">
        <v>130</v>
      </c>
      <c r="L41" s="101">
        <f>VLOOKUP($C41&amp;$E41,'Updated SES'!A:N,14,0)</f>
        <v>55.459200000000003</v>
      </c>
      <c r="M41" s="102">
        <f>VLOOKUP($K41,'Genre Penetration'!A:B,2,0)*VLOOKUP($C41&amp;$E41,'Updated SES'!A:I,9,0)</f>
        <v>0.27440000000000003</v>
      </c>
      <c r="N41" s="102">
        <f>VLOOKUP(K:K,'Genre Penetration'!A:C,3,0)*VLOOKUP($C41&amp;$E41,'Updated SES'!A:J,10,0)</f>
        <v>0.22440000000000002</v>
      </c>
      <c r="O41" s="102" t="e">
        <f>VLOOKUP($B41,'Language Penetration'!$B$1:$AY$14,MATCH('Compile data Working'!$H26,'Language Penetration'!$B$1:$AY$1,0),0)</f>
        <v>#N/A</v>
      </c>
      <c r="P41" s="103" t="str">
        <f t="shared" ca="1" si="0"/>
        <v>1%</v>
      </c>
      <c r="Q41" s="101" t="e">
        <f t="shared" ca="1" si="1"/>
        <v>#N/A</v>
      </c>
      <c r="R41" s="104">
        <f>VLOOKUP(D:D,ranking!W:X,2,0)</f>
        <v>0.6</v>
      </c>
      <c r="S41" s="59">
        <v>3.3195658752E-2</v>
      </c>
    </row>
    <row r="42" spans="1:19" x14ac:dyDescent="0.25">
      <c r="A42" s="46" t="s">
        <v>1579</v>
      </c>
      <c r="B42" s="46" t="s">
        <v>85</v>
      </c>
      <c r="C42" s="46" t="s">
        <v>150</v>
      </c>
      <c r="D42" s="46" t="s">
        <v>1012</v>
      </c>
      <c r="E42" s="98" t="s">
        <v>211</v>
      </c>
      <c r="F42" s="98" t="s">
        <v>215</v>
      </c>
      <c r="G42" s="98" t="s">
        <v>1627</v>
      </c>
      <c r="H42" s="98" t="s">
        <v>26</v>
      </c>
      <c r="I42" s="53">
        <v>45975</v>
      </c>
      <c r="J42" s="46"/>
      <c r="K42" s="98" t="s">
        <v>333</v>
      </c>
      <c r="L42" s="101">
        <f>VLOOKUP($C42&amp;$E42,'Updated SES'!A:N,14,0)</f>
        <v>60.152000000000001</v>
      </c>
      <c r="M42" s="102">
        <f>VLOOKUP($K42,'Genre Penetration'!A:B,2,0)*VLOOKUP($C42&amp;$E42,'Updated SES'!A:I,9,0)</f>
        <v>0.39650000000000002</v>
      </c>
      <c r="N42" s="102">
        <f>VLOOKUP(K:K,'Genre Penetration'!A:C,3,0)*VLOOKUP($C42&amp;$E42,'Updated SES'!A:J,10,0)</f>
        <v>0.13649999999999998</v>
      </c>
      <c r="O42" s="102" t="e">
        <f>VLOOKUP($B42,'Language Penetration'!$B$1:$AY$14,MATCH('Compile data Working'!#REF!,'Language Penetration'!$B$1:$AY$1,0),0)</f>
        <v>#REF!</v>
      </c>
      <c r="P42" s="103" t="str">
        <f t="shared" ca="1" si="0"/>
        <v>1%</v>
      </c>
      <c r="Q42" s="101" t="e">
        <f t="shared" ca="1" si="1"/>
        <v>#REF!</v>
      </c>
      <c r="R42" s="104">
        <f>VLOOKUP(D:D,ranking!W:X,2,0)</f>
        <v>0.6</v>
      </c>
      <c r="S42" s="59">
        <v>1.3465626720000004E-2</v>
      </c>
    </row>
    <row r="43" spans="1:19" x14ac:dyDescent="0.25">
      <c r="A43" s="46" t="s">
        <v>1579</v>
      </c>
      <c r="B43" s="46" t="s">
        <v>85</v>
      </c>
      <c r="C43" s="46" t="s">
        <v>1544</v>
      </c>
      <c r="D43" s="46" t="s">
        <v>859</v>
      </c>
      <c r="E43" s="98" t="s">
        <v>211</v>
      </c>
      <c r="F43" s="98" t="s">
        <v>213</v>
      </c>
      <c r="G43" s="98" t="s">
        <v>1629</v>
      </c>
      <c r="H43" s="98" t="s">
        <v>28</v>
      </c>
      <c r="I43" s="53">
        <v>45975</v>
      </c>
      <c r="J43" s="46"/>
      <c r="K43" s="98" t="s">
        <v>293</v>
      </c>
      <c r="L43" s="101">
        <f>VLOOKUP($C43&amp;$E43,'Updated SES'!A:N,14,0)</f>
        <v>127.11702000000001</v>
      </c>
      <c r="M43" s="102">
        <f>VLOOKUP($K43,'Genre Penetration'!A:B,2,0)*VLOOKUP($C43&amp;$E43,'Updated SES'!A:I,9,0)</f>
        <v>0.36849999999999999</v>
      </c>
      <c r="N43" s="102">
        <f>VLOOKUP(K:K,'Genre Penetration'!A:C,3,0)*VLOOKUP($C43&amp;$E43,'Updated SES'!A:J,10,0)</f>
        <v>0.14849999999999997</v>
      </c>
      <c r="O43" s="102">
        <f>VLOOKUP($B43,'Language Penetration'!$B$1:$AY$14,MATCH('Compile data Working'!$H27,'Language Penetration'!$B$1:$AY$1,0),0)</f>
        <v>0.6</v>
      </c>
      <c r="P43" s="103" t="str">
        <f t="shared" ca="1" si="0"/>
        <v>2%</v>
      </c>
      <c r="Q43" s="101">
        <f t="shared" ca="1" si="1"/>
        <v>0.78863399207999996</v>
      </c>
      <c r="R43" s="104">
        <f>VLOOKUP(D:D,ranking!W:X,2,0)</f>
        <v>0.7</v>
      </c>
      <c r="S43" s="59">
        <v>0.1196094887988</v>
      </c>
    </row>
    <row r="44" spans="1:19" x14ac:dyDescent="0.25">
      <c r="A44" s="46" t="s">
        <v>1579</v>
      </c>
      <c r="B44" s="46" t="s">
        <v>85</v>
      </c>
      <c r="C44" s="98" t="s">
        <v>123</v>
      </c>
      <c r="D44" s="46" t="s">
        <v>1013</v>
      </c>
      <c r="E44" s="98" t="s">
        <v>211</v>
      </c>
      <c r="F44" s="100" t="s">
        <v>213</v>
      </c>
      <c r="G44" s="46" t="s">
        <v>1631</v>
      </c>
      <c r="H44" s="100" t="s">
        <v>20</v>
      </c>
      <c r="I44" s="53">
        <v>45975</v>
      </c>
      <c r="J44" s="46"/>
      <c r="K44" s="100" t="s">
        <v>163</v>
      </c>
      <c r="L44" s="101">
        <f>VLOOKUP($C44&amp;$E44,'Updated SES'!A:N,14,0)</f>
        <v>55.459200000000003</v>
      </c>
      <c r="M44" s="102">
        <f>VLOOKUP($K44,'Genre Penetration'!A:B,2,0)*VLOOKUP($C44&amp;$E44,'Updated SES'!A:I,9,0)</f>
        <v>0.36749999999999999</v>
      </c>
      <c r="N44" s="102">
        <f>VLOOKUP(K:K,'Genre Penetration'!A:C,3,0)*VLOOKUP($C44&amp;$E44,'Updated SES'!A:J,10,0)</f>
        <v>0.1275</v>
      </c>
      <c r="O44" s="102">
        <f>VLOOKUP($B44,'Language Penetration'!$B$1:$AY$14,MATCH('Compile data Working'!$H28,'Language Penetration'!$B$1:$AY$1,0),0)</f>
        <v>0.6</v>
      </c>
      <c r="P44" s="103" t="str">
        <f t="shared" ca="1" si="0"/>
        <v>2%</v>
      </c>
      <c r="Q44" s="101">
        <f t="shared" ca="1" si="1"/>
        <v>0.32942764800000002</v>
      </c>
      <c r="R44" s="104">
        <f>VLOOKUP(D:D,ranking!W:X,2,0)</f>
        <v>0.8</v>
      </c>
      <c r="S44" s="59">
        <v>4.3923686400000016E-2</v>
      </c>
    </row>
    <row r="45" spans="1:19" x14ac:dyDescent="0.25">
      <c r="A45" s="46" t="s">
        <v>1579</v>
      </c>
      <c r="B45" s="46" t="s">
        <v>85</v>
      </c>
      <c r="C45" s="46" t="s">
        <v>64</v>
      </c>
      <c r="D45" s="46" t="s">
        <v>859</v>
      </c>
      <c r="E45" s="98" t="s">
        <v>211</v>
      </c>
      <c r="F45" s="100" t="s">
        <v>213</v>
      </c>
      <c r="G45" s="98" t="s">
        <v>1638</v>
      </c>
      <c r="H45" s="100" t="s">
        <v>25</v>
      </c>
      <c r="I45" s="53">
        <v>45975</v>
      </c>
      <c r="J45" s="46"/>
      <c r="K45" s="100" t="s">
        <v>216</v>
      </c>
      <c r="L45" s="101">
        <f>VLOOKUP($C45&amp;$E45,'Updated SES'!A:N,14,0)</f>
        <v>36.498239999999996</v>
      </c>
      <c r="M45" s="102">
        <f>VLOOKUP($K45,'Genre Penetration'!A:B,2,0)*VLOOKUP($C45&amp;$E45,'Updated SES'!A:I,9,0)</f>
        <v>0.26</v>
      </c>
      <c r="N45" s="102">
        <f>VLOOKUP(K:K,'Genre Penetration'!A:C,3,0)*VLOOKUP($C45&amp;$E45,'Updated SES'!A:J,10,0)</f>
        <v>0.24</v>
      </c>
      <c r="O45" s="102" t="e">
        <f>VLOOKUP($B45,'Language Penetration'!$B$1:$AY$14,MATCH('Compile data Working'!#REF!,'Language Penetration'!$B$1:$AY$1,0),0)</f>
        <v>#REF!</v>
      </c>
      <c r="P45" s="103" t="str">
        <f t="shared" ca="1" si="0"/>
        <v>1%</v>
      </c>
      <c r="Q45" s="101" t="e">
        <f t="shared" ca="1" si="1"/>
        <v>#REF!</v>
      </c>
      <c r="R45" s="104">
        <f>VLOOKUP(D:D,ranking!W:X,2,0)</f>
        <v>0.7</v>
      </c>
      <c r="S45" s="59">
        <v>2.5548767999999999E-2</v>
      </c>
    </row>
    <row r="46" spans="1:19" x14ac:dyDescent="0.25">
      <c r="A46" s="46" t="s">
        <v>1579</v>
      </c>
      <c r="B46" s="46" t="s">
        <v>85</v>
      </c>
      <c r="C46" s="46" t="s">
        <v>1544</v>
      </c>
      <c r="D46" s="46" t="s">
        <v>859</v>
      </c>
      <c r="E46" s="98" t="s">
        <v>211</v>
      </c>
      <c r="F46" s="100" t="s">
        <v>213</v>
      </c>
      <c r="G46" s="98" t="s">
        <v>1639</v>
      </c>
      <c r="H46" s="100" t="s">
        <v>21</v>
      </c>
      <c r="I46" s="53">
        <v>45975</v>
      </c>
      <c r="J46" s="46"/>
      <c r="K46" s="100" t="s">
        <v>62</v>
      </c>
      <c r="L46" s="101">
        <f>VLOOKUP($C46&amp;$E46,'Updated SES'!A:N,14,0)</f>
        <v>127.11702000000001</v>
      </c>
      <c r="M46" s="102">
        <f>VLOOKUP($K46,'Genre Penetration'!A:B,2,0)*VLOOKUP($C46&amp;$E46,'Updated SES'!A:I,9,0)</f>
        <v>0.38859999999999995</v>
      </c>
      <c r="N46" s="102">
        <f>VLOOKUP(K:K,'Genre Penetration'!A:C,3,0)*VLOOKUP($C46&amp;$E46,'Updated SES'!A:J,10,0)</f>
        <v>0.13859999999999997</v>
      </c>
      <c r="O46" s="102" t="e">
        <f>VLOOKUP($B46,'Language Penetration'!$B$1:$AY$14,MATCH('Compile data Working'!#REF!,'Language Penetration'!$B$1:$AY$1,0),0)</f>
        <v>#REF!</v>
      </c>
      <c r="P46" s="103" t="str">
        <f t="shared" ca="1" si="0"/>
        <v>2%</v>
      </c>
      <c r="Q46" s="101" t="e">
        <f t="shared" ca="1" si="1"/>
        <v>#REF!</v>
      </c>
      <c r="R46" s="104">
        <f>VLOOKUP(D:D,ranking!W:X,2,0)</f>
        <v>0.7</v>
      </c>
      <c r="S46" s="59">
        <v>0.18764506024319999</v>
      </c>
    </row>
    <row r="47" spans="1:19" x14ac:dyDescent="0.25">
      <c r="A47" s="46" t="s">
        <v>1579</v>
      </c>
      <c r="B47" s="46" t="s">
        <v>85</v>
      </c>
      <c r="C47" s="98" t="s">
        <v>135</v>
      </c>
      <c r="D47" s="46" t="s">
        <v>1013</v>
      </c>
      <c r="E47" s="98" t="s">
        <v>211</v>
      </c>
      <c r="F47" s="100" t="s">
        <v>213</v>
      </c>
      <c r="G47" s="98" t="s">
        <v>1642</v>
      </c>
      <c r="H47" s="100" t="s">
        <v>26</v>
      </c>
      <c r="I47" s="53">
        <v>45975</v>
      </c>
      <c r="J47" s="46"/>
      <c r="K47" s="100" t="s">
        <v>130</v>
      </c>
      <c r="L47" s="101">
        <f>VLOOKUP($C47&amp;$E47,'Updated SES'!A:N,14,0)</f>
        <v>12.64146</v>
      </c>
      <c r="M47" s="102">
        <f>VLOOKUP($K47,'Genre Penetration'!A:B,2,0)*VLOOKUP($C47&amp;$E47,'Updated SES'!A:I,9,0)</f>
        <v>0.43680000000000008</v>
      </c>
      <c r="N47" s="102">
        <f>VLOOKUP(K:K,'Genre Penetration'!A:C,3,0)*VLOOKUP($C47&amp;$E47,'Updated SES'!A:J,10,0)</f>
        <v>9.6799999999999997E-2</v>
      </c>
      <c r="O47" s="102">
        <f>VLOOKUP($B47,'Language Penetration'!$B$1:$AY$14,MATCH('Compile data Working'!$H29,'Language Penetration'!$B$1:$AY$1,0),0)</f>
        <v>0.1</v>
      </c>
      <c r="P47" s="103" t="str">
        <f t="shared" ca="1" si="0"/>
        <v>1%</v>
      </c>
      <c r="Q47" s="101">
        <f t="shared" ca="1" si="1"/>
        <v>6.7454830560000015E-3</v>
      </c>
      <c r="R47" s="104">
        <f>VLOOKUP(D:D,ranking!W:X,2,0)</f>
        <v>0.8</v>
      </c>
      <c r="S47" s="59">
        <v>3.777470511360001E-3</v>
      </c>
    </row>
    <row r="48" spans="1:19" x14ac:dyDescent="0.25">
      <c r="A48" s="46" t="s">
        <v>1579</v>
      </c>
      <c r="B48" s="46" t="s">
        <v>85</v>
      </c>
      <c r="C48" s="98" t="s">
        <v>123</v>
      </c>
      <c r="D48" s="46" t="s">
        <v>1012</v>
      </c>
      <c r="E48" s="98" t="s">
        <v>211</v>
      </c>
      <c r="F48" s="100" t="s">
        <v>215</v>
      </c>
      <c r="G48" s="98" t="s">
        <v>1643</v>
      </c>
      <c r="H48" s="100" t="s">
        <v>28</v>
      </c>
      <c r="I48" s="53">
        <v>45975</v>
      </c>
      <c r="J48" s="46"/>
      <c r="K48" s="100" t="s">
        <v>202</v>
      </c>
      <c r="L48" s="101">
        <f>VLOOKUP($C48&amp;$E48,'Updated SES'!A:N,14,0)</f>
        <v>55.459200000000003</v>
      </c>
      <c r="M48" s="102">
        <f>VLOOKUP($K48,'Genre Penetration'!A:B,2,0)*VLOOKUP($C48&amp;$E48,'Updated SES'!A:I,9,0)</f>
        <v>0.3528</v>
      </c>
      <c r="N48" s="102">
        <f>VLOOKUP(K:K,'Genre Penetration'!A:C,3,0)*VLOOKUP($C48&amp;$E48,'Updated SES'!A:J,10,0)</f>
        <v>0.14280000000000001</v>
      </c>
      <c r="O48" s="102" t="e">
        <f>VLOOKUP($B48,'Language Penetration'!$B$1:$AY$14,MATCH('Compile data Working'!#REF!,'Language Penetration'!$B$1:$AY$1,0),0)</f>
        <v>#REF!</v>
      </c>
      <c r="P48" s="103" t="str">
        <f t="shared" ca="1" si="0"/>
        <v>1%</v>
      </c>
      <c r="Q48" s="101" t="e">
        <f t="shared" ca="1" si="1"/>
        <v>#REF!</v>
      </c>
      <c r="R48" s="104">
        <f>VLOOKUP(D:D,ranking!W:X,2,0)</f>
        <v>0.6</v>
      </c>
      <c r="S48" s="59">
        <v>4.2877504051200013E-2</v>
      </c>
    </row>
    <row r="49" spans="1:19" x14ac:dyDescent="0.25">
      <c r="A49" s="46" t="s">
        <v>1579</v>
      </c>
      <c r="B49" s="46" t="s">
        <v>85</v>
      </c>
      <c r="C49" s="98" t="s">
        <v>104</v>
      </c>
      <c r="D49" s="46" t="s">
        <v>859</v>
      </c>
      <c r="E49" s="98" t="s">
        <v>211</v>
      </c>
      <c r="F49" s="100" t="s">
        <v>213</v>
      </c>
      <c r="G49" s="98" t="s">
        <v>1644</v>
      </c>
      <c r="H49" s="100" t="s">
        <v>33</v>
      </c>
      <c r="I49" s="53">
        <v>45975</v>
      </c>
      <c r="J49" s="46"/>
      <c r="K49" s="100" t="s">
        <v>216</v>
      </c>
      <c r="L49" s="101">
        <f>VLOOKUP($C49&amp;$E49,'Updated SES'!A:N,14,0)</f>
        <v>16.906969999999998</v>
      </c>
      <c r="M49" s="102">
        <f>VLOOKUP($K49,'Genre Penetration'!A:B,2,0)*VLOOKUP($C49&amp;$E49,'Updated SES'!A:I,9,0)</f>
        <v>0.3</v>
      </c>
      <c r="N49" s="102">
        <f>VLOOKUP(K:K,'Genre Penetration'!A:C,3,0)*VLOOKUP($C49&amp;$E49,'Updated SES'!A:J,10,0)</f>
        <v>0.2</v>
      </c>
      <c r="O49" s="102" t="e">
        <f>VLOOKUP($B49,'Language Penetration'!$B$1:$AY$14,MATCH('Compile data Working'!#REF!,'Language Penetration'!$B$1:$AY$1,0),0)</f>
        <v>#REF!</v>
      </c>
      <c r="P49" s="103" t="str">
        <f t="shared" ca="1" si="0"/>
        <v>2%</v>
      </c>
      <c r="Q49" s="101" t="e">
        <f t="shared" ca="1" si="1"/>
        <v>#REF!</v>
      </c>
      <c r="R49" s="104">
        <f>VLOOKUP(D:D,ranking!W:X,2,0)</f>
        <v>0.7</v>
      </c>
      <c r="S49" s="59">
        <v>1.1834879E-2</v>
      </c>
    </row>
    <row r="50" spans="1:19" x14ac:dyDescent="0.25">
      <c r="A50" s="46" t="s">
        <v>1579</v>
      </c>
      <c r="B50" s="46" t="s">
        <v>85</v>
      </c>
      <c r="C50" s="46" t="s">
        <v>64</v>
      </c>
      <c r="D50" s="46" t="s">
        <v>859</v>
      </c>
      <c r="E50" s="98" t="s">
        <v>211</v>
      </c>
      <c r="F50" s="100" t="s">
        <v>213</v>
      </c>
      <c r="G50" s="98" t="s">
        <v>1645</v>
      </c>
      <c r="H50" s="100" t="s">
        <v>26</v>
      </c>
      <c r="I50" s="53">
        <v>45975</v>
      </c>
      <c r="J50" s="46"/>
      <c r="K50" s="100" t="s">
        <v>78</v>
      </c>
      <c r="L50" s="101">
        <f>VLOOKUP($C50&amp;$E50,'Updated SES'!A:N,14,0)</f>
        <v>36.498239999999996</v>
      </c>
      <c r="M50" s="102">
        <f>VLOOKUP($K50,'Genre Penetration'!A:B,2,0)*VLOOKUP($C50&amp;$E50,'Updated SES'!A:I,9,0)</f>
        <v>0.24959999999999999</v>
      </c>
      <c r="N50" s="102">
        <f>VLOOKUP(K:K,'Genre Penetration'!A:C,3,0)*VLOOKUP($C50&amp;$E50,'Updated SES'!A:J,10,0)</f>
        <v>0.24959999999999999</v>
      </c>
      <c r="O50" s="102" t="e">
        <f>VLOOKUP($B50,'Language Penetration'!$B$1:$AY$14,MATCH('Compile data Working'!#REF!,'Language Penetration'!$B$1:$AY$1,0),0)</f>
        <v>#REF!</v>
      </c>
      <c r="P50" s="103" t="str">
        <f t="shared" ca="1" si="0"/>
        <v>1%</v>
      </c>
      <c r="Q50" s="101" t="e">
        <f t="shared" ca="1" si="1"/>
        <v>#REF!</v>
      </c>
      <c r="R50" s="104">
        <f>VLOOKUP(D:D,ranking!W:X,2,0)</f>
        <v>0.7</v>
      </c>
      <c r="S50" s="59">
        <v>8.927761489919998E-3</v>
      </c>
    </row>
    <row r="51" spans="1:19" x14ac:dyDescent="0.25">
      <c r="A51" s="46" t="s">
        <v>1579</v>
      </c>
      <c r="B51" s="46" t="s">
        <v>85</v>
      </c>
      <c r="C51" s="98" t="s">
        <v>150</v>
      </c>
      <c r="D51" s="46" t="s">
        <v>1013</v>
      </c>
      <c r="E51" s="98" t="s">
        <v>211</v>
      </c>
      <c r="F51" s="100" t="s">
        <v>213</v>
      </c>
      <c r="G51" s="46" t="s">
        <v>1646</v>
      </c>
      <c r="H51" s="100" t="s">
        <v>24</v>
      </c>
      <c r="I51" s="53">
        <v>45975</v>
      </c>
      <c r="J51" s="46"/>
      <c r="K51" s="100" t="s">
        <v>216</v>
      </c>
      <c r="L51" s="101">
        <f>VLOOKUP($C51&amp;$E51,'Updated SES'!A:N,14,0)</f>
        <v>60.152000000000001</v>
      </c>
      <c r="M51" s="102">
        <f>VLOOKUP($K51,'Genre Penetration'!A:B,2,0)*VLOOKUP($C51&amp;$E51,'Updated SES'!A:I,9,0)</f>
        <v>0.32500000000000001</v>
      </c>
      <c r="N51" s="102">
        <f>VLOOKUP(K:K,'Genre Penetration'!A:C,3,0)*VLOOKUP($C51&amp;$E51,'Updated SES'!A:J,10,0)</f>
        <v>0.17499999999999999</v>
      </c>
      <c r="O51" s="102" t="e">
        <f>VLOOKUP($B51,'Language Penetration'!$B$1:$AY$14,MATCH('Compile data Working'!#REF!,'Language Penetration'!$B$1:$AY$1,0),0)</f>
        <v>#REF!</v>
      </c>
      <c r="P51" s="103" t="str">
        <f t="shared" ca="1" si="0"/>
        <v>1%</v>
      </c>
      <c r="Q51" s="101" t="e">
        <f t="shared" ca="1" si="1"/>
        <v>#REF!</v>
      </c>
      <c r="R51" s="104">
        <f>VLOOKUP(D:D,ranking!W:X,2,0)</f>
        <v>0.8</v>
      </c>
      <c r="S51" s="59">
        <v>6.0152000000000011E-2</v>
      </c>
    </row>
    <row r="52" spans="1:19" x14ac:dyDescent="0.25">
      <c r="A52" s="46" t="s">
        <v>1057</v>
      </c>
      <c r="B52" s="46" t="s">
        <v>85</v>
      </c>
      <c r="C52" s="98" t="s">
        <v>44</v>
      </c>
      <c r="D52" s="46" t="s">
        <v>434</v>
      </c>
      <c r="E52" s="98" t="s">
        <v>211</v>
      </c>
      <c r="F52" s="100" t="s">
        <v>458</v>
      </c>
      <c r="G52" s="98" t="s">
        <v>1328</v>
      </c>
      <c r="H52" s="100" t="s">
        <v>33</v>
      </c>
      <c r="I52" s="106">
        <v>45835</v>
      </c>
      <c r="J52" s="46">
        <v>1</v>
      </c>
      <c r="K52" s="100" t="s">
        <v>172</v>
      </c>
      <c r="L52" s="101">
        <f>VLOOKUP($C52&amp;$E52,'Updated SES'!A:N,14,0)</f>
        <v>1.8672000000000006</v>
      </c>
      <c r="M52" s="102">
        <f>VLOOKUP($K52,'Genre Penetration'!A:B,2,0)*VLOOKUP($C52&amp;$E52,'Updated SES'!A:I,9,0)</f>
        <v>0.32000000000000006</v>
      </c>
      <c r="N52" s="102">
        <f>VLOOKUP(K:K,'Genre Penetration'!A:C,3,0)*VLOOKUP($C52&amp;$E52,'Updated SES'!A:J,10,0)</f>
        <v>0.12</v>
      </c>
      <c r="O52" s="102" t="e">
        <f>VLOOKUP($B52,'Language Penetration'!$B$1:$AY$14,MATCH('Compile data Working'!#REF!,'Language Penetration'!$B$1:$AY$1,0),0)</f>
        <v>#REF!</v>
      </c>
      <c r="P52" s="103" t="str">
        <f t="shared" ca="1" si="0"/>
        <v>38%</v>
      </c>
      <c r="Q52" s="101" t="e">
        <f t="shared" ca="1" si="1"/>
        <v>#REF!</v>
      </c>
      <c r="R52" s="104">
        <f>VLOOKUP(D:D,ranking!W:X,2,0)</f>
        <v>0.7</v>
      </c>
      <c r="S52" s="59">
        <v>2.1278611200000012E-2</v>
      </c>
    </row>
    <row r="53" spans="1:19" x14ac:dyDescent="0.25">
      <c r="A53" s="46" t="s">
        <v>1057</v>
      </c>
      <c r="B53" s="46" t="s">
        <v>85</v>
      </c>
      <c r="C53" s="98" t="s">
        <v>44</v>
      </c>
      <c r="D53" s="46" t="s">
        <v>434</v>
      </c>
      <c r="E53" s="98" t="s">
        <v>211</v>
      </c>
      <c r="F53" s="100" t="s">
        <v>458</v>
      </c>
      <c r="G53" s="98" t="s">
        <v>1329</v>
      </c>
      <c r="H53" s="100" t="s">
        <v>33</v>
      </c>
      <c r="I53" s="106">
        <v>45371</v>
      </c>
      <c r="J53" s="46">
        <v>2</v>
      </c>
      <c r="K53" s="100" t="s">
        <v>980</v>
      </c>
      <c r="L53" s="101">
        <f>VLOOKUP($C53&amp;$E53,'Updated SES'!A:N,14,0)</f>
        <v>1.8672000000000006</v>
      </c>
      <c r="M53" s="102">
        <f>VLOOKUP($K53,'Genre Penetration'!A:B,2,0)*VLOOKUP($C53&amp;$E53,'Updated SES'!A:I,9,0)</f>
        <v>0.48</v>
      </c>
      <c r="N53" s="102">
        <f>VLOOKUP(K:K,'Genre Penetration'!A:C,3,0)*VLOOKUP($C53&amp;$E53,'Updated SES'!A:J,10,0)</f>
        <v>8.0000000000000016E-2</v>
      </c>
      <c r="O53" s="102" t="e">
        <f>VLOOKUP($B53,'Language Penetration'!$B$1:$AY$14,MATCH('Compile data Working'!#REF!,'Language Penetration'!$B$1:$AY$1,0),0)</f>
        <v>#REF!</v>
      </c>
      <c r="P53" s="103" t="str">
        <f t="shared" ca="1" si="0"/>
        <v>33%</v>
      </c>
      <c r="Q53" s="101" t="e">
        <f t="shared" ca="1" si="1"/>
        <v>#REF!</v>
      </c>
      <c r="R53" s="104">
        <f>VLOOKUP(D:D,ranking!W:X,2,0)</f>
        <v>0.7</v>
      </c>
      <c r="S53" s="59">
        <v>2.561798400000001E-2</v>
      </c>
    </row>
    <row r="54" spans="1:19" x14ac:dyDescent="0.25">
      <c r="A54" s="46" t="s">
        <v>1057</v>
      </c>
      <c r="B54" s="46" t="s">
        <v>85</v>
      </c>
      <c r="C54" s="98" t="s">
        <v>44</v>
      </c>
      <c r="D54" s="46" t="s">
        <v>434</v>
      </c>
      <c r="E54" s="98" t="s">
        <v>211</v>
      </c>
      <c r="F54" s="100" t="s">
        <v>458</v>
      </c>
      <c r="G54" s="98" t="s">
        <v>1330</v>
      </c>
      <c r="H54" s="100" t="s">
        <v>33</v>
      </c>
      <c r="I54" s="106">
        <v>45371</v>
      </c>
      <c r="J54" s="46">
        <v>3</v>
      </c>
      <c r="K54" s="100" t="s">
        <v>196</v>
      </c>
      <c r="L54" s="101">
        <f>VLOOKUP($C54&amp;$E54,'Updated SES'!A:N,14,0)</f>
        <v>1.8672000000000006</v>
      </c>
      <c r="M54" s="102">
        <f>VLOOKUP($K54,'Genre Penetration'!A:B,2,0)*VLOOKUP($C54&amp;$E54,'Updated SES'!A:I,9,0)</f>
        <v>0.46399999999999997</v>
      </c>
      <c r="N54" s="102">
        <f>VLOOKUP(K:K,'Genre Penetration'!A:C,3,0)*VLOOKUP($C54&amp;$E54,'Updated SES'!A:J,10,0)</f>
        <v>8.4000000000000005E-2</v>
      </c>
      <c r="O54" s="102" t="e">
        <f>VLOOKUP($B54,'Language Penetration'!$B$1:$AY$14,MATCH('Compile data Working'!#REF!,'Language Penetration'!$B$1:$AY$1,0),0)</f>
        <v>#REF!</v>
      </c>
      <c r="P54" s="103" t="str">
        <f t="shared" ca="1" si="0"/>
        <v>27%</v>
      </c>
      <c r="Q54" s="101" t="e">
        <f t="shared" ca="1" si="1"/>
        <v>#REF!</v>
      </c>
      <c r="R54" s="104">
        <f>VLOOKUP(D:D,ranking!W:X,2,0)</f>
        <v>0.7</v>
      </c>
      <c r="S54" s="59">
        <v>2.077147968E-2</v>
      </c>
    </row>
    <row r="55" spans="1:19" x14ac:dyDescent="0.25">
      <c r="A55" s="46" t="s">
        <v>1057</v>
      </c>
      <c r="B55" s="46" t="s">
        <v>85</v>
      </c>
      <c r="C55" s="46" t="s">
        <v>44</v>
      </c>
      <c r="D55" s="46" t="s">
        <v>434</v>
      </c>
      <c r="E55" s="46" t="s">
        <v>211</v>
      </c>
      <c r="F55" s="100" t="s">
        <v>458</v>
      </c>
      <c r="G55" s="46" t="s">
        <v>1331</v>
      </c>
      <c r="H55" s="100" t="s">
        <v>33</v>
      </c>
      <c r="I55" s="106">
        <v>45371</v>
      </c>
      <c r="J55" s="46">
        <v>4</v>
      </c>
      <c r="K55" s="100" t="s">
        <v>422</v>
      </c>
      <c r="L55" s="101">
        <f>VLOOKUP($C55&amp;$E55,'Updated SES'!A:N,14,0)</f>
        <v>1.8672000000000006</v>
      </c>
      <c r="M55" s="102">
        <f>VLOOKUP($K55,'Genre Penetration'!A:B,2,0)*VLOOKUP($C55&amp;$E55,'Updated SES'!A:I,9,0)</f>
        <v>0.46399999999999997</v>
      </c>
      <c r="N55" s="102">
        <f>VLOOKUP(K:K,'Genre Penetration'!A:C,3,0)*VLOOKUP($C55&amp;$E55,'Updated SES'!A:J,10,0)</f>
        <v>8.4000000000000005E-2</v>
      </c>
      <c r="O55" s="102" t="e">
        <f>VLOOKUP($B55,'Language Penetration'!$B$1:$AY$14,MATCH('Compile data Working'!#REF!,'Language Penetration'!$B$1:$AY$1,0),0)</f>
        <v>#REF!</v>
      </c>
      <c r="P55" s="103" t="str">
        <f t="shared" ca="1" si="0"/>
        <v>20%</v>
      </c>
      <c r="Q55" s="101" t="e">
        <f t="shared" ca="1" si="1"/>
        <v>#REF!</v>
      </c>
      <c r="R55" s="104">
        <f>VLOOKUP(D:D,ranking!W:X,2,0)</f>
        <v>0.7</v>
      </c>
      <c r="S55" s="59">
        <v>1.5757674240000002E-2</v>
      </c>
    </row>
    <row r="56" spans="1:19" x14ac:dyDescent="0.25">
      <c r="A56" s="46" t="s">
        <v>1057</v>
      </c>
      <c r="B56" s="46" t="s">
        <v>85</v>
      </c>
      <c r="C56" s="46" t="s">
        <v>44</v>
      </c>
      <c r="D56" s="46" t="s">
        <v>434</v>
      </c>
      <c r="E56" s="46" t="s">
        <v>211</v>
      </c>
      <c r="F56" s="100" t="s">
        <v>458</v>
      </c>
      <c r="G56" s="46" t="s">
        <v>1332</v>
      </c>
      <c r="H56" s="100" t="s">
        <v>33</v>
      </c>
      <c r="I56" s="106">
        <v>45371</v>
      </c>
      <c r="J56" s="46">
        <v>5</v>
      </c>
      <c r="K56" s="100" t="s">
        <v>184</v>
      </c>
      <c r="L56" s="101">
        <f>VLOOKUP($C56&amp;$E56,'Updated SES'!A:N,14,0)</f>
        <v>1.8672000000000006</v>
      </c>
      <c r="M56" s="102">
        <f>VLOOKUP($K56,'Genre Penetration'!A:B,2,0)*VLOOKUP($C56&amp;$E56,'Updated SES'!A:I,9,0)</f>
        <v>0.39200000000000002</v>
      </c>
      <c r="N56" s="102">
        <f>VLOOKUP(K:K,'Genre Penetration'!A:C,3,0)*VLOOKUP($C56&amp;$E56,'Updated SES'!A:J,10,0)</f>
        <v>0.10200000000000001</v>
      </c>
      <c r="O56" s="102" t="e">
        <f>VLOOKUP($B56,'Language Penetration'!$B$1:$AY$14,MATCH('Compile data Working'!#REF!,'Language Penetration'!$B$1:$AY$1,0),0)</f>
        <v>#REF!</v>
      </c>
      <c r="P56" s="103" t="str">
        <f t="shared" ca="1" si="0"/>
        <v>17%</v>
      </c>
      <c r="Q56" s="101" t="e">
        <f t="shared" ca="1" si="1"/>
        <v>#REF!</v>
      </c>
      <c r="R56" s="104">
        <f>VLOOKUP(D:D,ranking!W:X,2,0)</f>
        <v>0.7</v>
      </c>
      <c r="S56" s="59">
        <v>9.6851664000000039E-3</v>
      </c>
    </row>
    <row r="57" spans="1:19" x14ac:dyDescent="0.25">
      <c r="A57" s="46" t="s">
        <v>1057</v>
      </c>
      <c r="B57" s="46" t="s">
        <v>85</v>
      </c>
      <c r="C57" s="46" t="s">
        <v>44</v>
      </c>
      <c r="D57" s="46" t="s">
        <v>434</v>
      </c>
      <c r="E57" s="46" t="s">
        <v>211</v>
      </c>
      <c r="F57" s="98" t="s">
        <v>458</v>
      </c>
      <c r="G57" s="46" t="s">
        <v>1333</v>
      </c>
      <c r="H57" s="98" t="s">
        <v>33</v>
      </c>
      <c r="I57" s="106">
        <v>45371</v>
      </c>
      <c r="J57" s="46">
        <v>6</v>
      </c>
      <c r="K57" s="98" t="s">
        <v>138</v>
      </c>
      <c r="L57" s="101">
        <f>VLOOKUP($C57&amp;$E57,'Updated SES'!A:N,14,0)</f>
        <v>1.8672000000000006</v>
      </c>
      <c r="M57" s="102">
        <f>VLOOKUP($K57,'Genre Penetration'!A:B,2,0)*VLOOKUP($C57&amp;$E57,'Updated SES'!A:I,9,0)</f>
        <v>0.376</v>
      </c>
      <c r="N57" s="102">
        <f>VLOOKUP(K:K,'Genre Penetration'!A:C,3,0)*VLOOKUP($C57&amp;$E57,'Updated SES'!A:J,10,0)</f>
        <v>0.10600000000000001</v>
      </c>
      <c r="O57" s="102" t="e">
        <f>VLOOKUP($B57,'Language Penetration'!$B$1:$AY$14,MATCH('Compile data Working'!#REF!,'Language Penetration'!$B$1:$AY$1,0),0)</f>
        <v>#REF!</v>
      </c>
      <c r="P57" s="103" t="str">
        <f t="shared" ca="1" si="0"/>
        <v>13%</v>
      </c>
      <c r="Q57" s="101" t="e">
        <f t="shared" ca="1" si="1"/>
        <v>#REF!</v>
      </c>
      <c r="R57" s="104">
        <f>VLOOKUP(D:D,ranking!W:X,2,0)</f>
        <v>0.7</v>
      </c>
      <c r="S57" s="59">
        <v>6.2999328000000014E-3</v>
      </c>
    </row>
    <row r="58" spans="1:19" x14ac:dyDescent="0.25">
      <c r="A58" s="46" t="s">
        <v>1057</v>
      </c>
      <c r="B58" s="46" t="s">
        <v>85</v>
      </c>
      <c r="C58" s="46" t="s">
        <v>44</v>
      </c>
      <c r="D58" s="46" t="s">
        <v>434</v>
      </c>
      <c r="E58" s="46" t="s">
        <v>211</v>
      </c>
      <c r="F58" s="98" t="s">
        <v>458</v>
      </c>
      <c r="G58" s="46" t="s">
        <v>1334</v>
      </c>
      <c r="H58" s="98" t="s">
        <v>33</v>
      </c>
      <c r="I58" s="106">
        <v>45371</v>
      </c>
      <c r="J58" s="46">
        <v>7</v>
      </c>
      <c r="K58" s="98" t="s">
        <v>1129</v>
      </c>
      <c r="L58" s="101">
        <f>VLOOKUP($C58&amp;$E58,'Updated SES'!A:N,14,0)</f>
        <v>1.8672000000000006</v>
      </c>
      <c r="M58" s="102">
        <f>VLOOKUP($K58,'Genre Penetration'!A:B,2,0)*VLOOKUP($C58&amp;$E58,'Updated SES'!A:I,9,0)</f>
        <v>0.52</v>
      </c>
      <c r="N58" s="102">
        <f>VLOOKUP(K:K,'Genre Penetration'!A:C,3,0)*VLOOKUP($C58&amp;$E58,'Updated SES'!A:J,10,0)</f>
        <v>6.9999999999999993E-2</v>
      </c>
      <c r="O58" s="102" t="e">
        <f>VLOOKUP($B58,'Language Penetration'!$B$1:$AY$14,MATCH('Compile data Working'!#REF!,'Language Penetration'!$B$1:$AY$1,0),0)</f>
        <v>#REF!</v>
      </c>
      <c r="P58" s="103" t="str">
        <f t="shared" ca="1" si="0"/>
        <v>8%</v>
      </c>
      <c r="Q58" s="101" t="e">
        <f t="shared" ca="1" si="1"/>
        <v>#REF!</v>
      </c>
      <c r="R58" s="104">
        <f>VLOOKUP(D:D,ranking!W:X,2,0)</f>
        <v>0.7</v>
      </c>
      <c r="S58" s="59">
        <v>7.7115360000000032E-3</v>
      </c>
    </row>
    <row r="59" spans="1:19" x14ac:dyDescent="0.25">
      <c r="A59" s="46" t="s">
        <v>1057</v>
      </c>
      <c r="B59" s="46" t="s">
        <v>85</v>
      </c>
      <c r="C59" s="46" t="s">
        <v>44</v>
      </c>
      <c r="D59" s="46" t="s">
        <v>434</v>
      </c>
      <c r="E59" s="46" t="s">
        <v>211</v>
      </c>
      <c r="F59" s="98" t="s">
        <v>458</v>
      </c>
      <c r="G59" s="46" t="s">
        <v>1335</v>
      </c>
      <c r="H59" s="98" t="s">
        <v>33</v>
      </c>
      <c r="I59" s="106">
        <v>45371</v>
      </c>
      <c r="J59" s="46">
        <v>8</v>
      </c>
      <c r="K59" s="98" t="s">
        <v>168</v>
      </c>
      <c r="L59" s="101">
        <f>VLOOKUP($C59&amp;$E59,'Updated SES'!A:N,14,0)</f>
        <v>1.8672000000000006</v>
      </c>
      <c r="M59" s="102">
        <f>VLOOKUP($K59,'Genre Penetration'!A:B,2,0)*VLOOKUP($C59&amp;$E59,'Updated SES'!A:I,9,0)</f>
        <v>0.51200000000000001</v>
      </c>
      <c r="N59" s="102">
        <f>VLOOKUP(K:K,'Genre Penetration'!A:C,3,0)*VLOOKUP($C59&amp;$E59,'Updated SES'!A:J,10,0)</f>
        <v>7.1999999999999995E-2</v>
      </c>
      <c r="O59" s="102" t="e">
        <f>VLOOKUP($B59,'Language Penetration'!$B$1:$AY$14,MATCH('Compile data Working'!#REF!,'Language Penetration'!$B$1:$AY$1,0),0)</f>
        <v>#REF!</v>
      </c>
      <c r="P59" s="103" t="str">
        <f t="shared" ca="1" si="0"/>
        <v>8%</v>
      </c>
      <c r="Q59" s="101" t="e">
        <f t="shared" ca="1" si="1"/>
        <v>#REF!</v>
      </c>
      <c r="R59" s="104">
        <f>VLOOKUP(D:D,ranking!W:X,2,0)</f>
        <v>0.7</v>
      </c>
      <c r="S59" s="59">
        <v>4.5798681600000011E-3</v>
      </c>
    </row>
    <row r="60" spans="1:19" x14ac:dyDescent="0.25">
      <c r="A60" s="46" t="s">
        <v>1057</v>
      </c>
      <c r="B60" s="46" t="s">
        <v>85</v>
      </c>
      <c r="C60" s="46" t="s">
        <v>44</v>
      </c>
      <c r="D60" s="46" t="s">
        <v>434</v>
      </c>
      <c r="E60" s="46" t="s">
        <v>211</v>
      </c>
      <c r="F60" s="98" t="s">
        <v>458</v>
      </c>
      <c r="G60" s="97" t="s">
        <v>1336</v>
      </c>
      <c r="H60" s="98" t="s">
        <v>33</v>
      </c>
      <c r="I60" s="106">
        <v>45371</v>
      </c>
      <c r="J60" s="46">
        <v>9</v>
      </c>
      <c r="K60" s="46" t="s">
        <v>216</v>
      </c>
      <c r="L60" s="101">
        <f>VLOOKUP($C60&amp;$E60,'Updated SES'!A:N,14,0)</f>
        <v>1.8672000000000006</v>
      </c>
      <c r="M60" s="102">
        <f>VLOOKUP($K60,'Genre Penetration'!A:B,2,0)*VLOOKUP($C60&amp;$E60,'Updated SES'!A:I,9,0)</f>
        <v>0.4</v>
      </c>
      <c r="N60" s="102">
        <f>VLOOKUP(K:K,'Genre Penetration'!A:C,3,0)*VLOOKUP($C60&amp;$E60,'Updated SES'!A:J,10,0)</f>
        <v>0.1</v>
      </c>
      <c r="O60" s="102" t="e">
        <f>VLOOKUP($B60,'Language Penetration'!$B$1:$AY$14,MATCH('Compile data Working'!#REF!,'Language Penetration'!$B$1:$AY$1,0),0)</f>
        <v>#REF!</v>
      </c>
      <c r="P60" s="103" t="str">
        <f t="shared" ca="1" si="0"/>
        <v>6%</v>
      </c>
      <c r="Q60" s="101" t="e">
        <f t="shared" ca="1" si="1"/>
        <v>#REF!</v>
      </c>
      <c r="R60" s="104">
        <f>VLOOKUP(D:D,ranking!W:X,2,0)</f>
        <v>0.7</v>
      </c>
      <c r="S60" s="59">
        <v>3.9211200000000019E-3</v>
      </c>
    </row>
    <row r="61" spans="1:19" x14ac:dyDescent="0.25">
      <c r="A61" s="46" t="s">
        <v>1057</v>
      </c>
      <c r="B61" s="46" t="s">
        <v>85</v>
      </c>
      <c r="C61" s="46" t="s">
        <v>44</v>
      </c>
      <c r="D61" s="46" t="s">
        <v>434</v>
      </c>
      <c r="E61" s="46" t="s">
        <v>211</v>
      </c>
      <c r="F61" s="98" t="s">
        <v>458</v>
      </c>
      <c r="G61" s="97" t="s">
        <v>1337</v>
      </c>
      <c r="H61" s="98" t="s">
        <v>33</v>
      </c>
      <c r="I61" s="106">
        <v>45371</v>
      </c>
      <c r="J61" s="46">
        <v>10</v>
      </c>
      <c r="K61" s="98" t="s">
        <v>184</v>
      </c>
      <c r="L61" s="101">
        <f>VLOOKUP($C61&amp;$E61,'Updated SES'!A:N,14,0)</f>
        <v>1.8672000000000006</v>
      </c>
      <c r="M61" s="102">
        <f>VLOOKUP($K61,'Genre Penetration'!A:B,2,0)*VLOOKUP($C61&amp;$E61,'Updated SES'!A:I,9,0)</f>
        <v>0.39200000000000002</v>
      </c>
      <c r="N61" s="102">
        <f>VLOOKUP(K:K,'Genre Penetration'!A:C,3,0)*VLOOKUP($C61&amp;$E61,'Updated SES'!A:J,10,0)</f>
        <v>0.10200000000000001</v>
      </c>
      <c r="O61" s="102" t="e">
        <f>VLOOKUP($B61,'Language Penetration'!$B$1:$AY$14,MATCH('Compile data Working'!#REF!,'Language Penetration'!$B$1:$AY$1,0),0)</f>
        <v>#REF!</v>
      </c>
      <c r="P61" s="103" t="str">
        <f t="shared" ca="1" si="0"/>
        <v>4%</v>
      </c>
      <c r="Q61" s="101" t="e">
        <f t="shared" ca="1" si="1"/>
        <v>#REF!</v>
      </c>
      <c r="R61" s="104">
        <f>VLOOKUP(D:D,ranking!W:X,2,0)</f>
        <v>0.7</v>
      </c>
      <c r="S61" s="59">
        <v>1.2913555200000006E-3</v>
      </c>
    </row>
    <row r="62" spans="1:19" x14ac:dyDescent="0.25">
      <c r="A62" s="46" t="s">
        <v>1057</v>
      </c>
      <c r="B62" s="46" t="s">
        <v>85</v>
      </c>
      <c r="C62" s="46" t="s">
        <v>44</v>
      </c>
      <c r="D62" s="46" t="s">
        <v>431</v>
      </c>
      <c r="E62" s="46" t="s">
        <v>211</v>
      </c>
      <c r="F62" s="98" t="s">
        <v>457</v>
      </c>
      <c r="G62" s="97" t="s">
        <v>1338</v>
      </c>
      <c r="H62" s="98" t="s">
        <v>33</v>
      </c>
      <c r="I62" s="106">
        <v>45926</v>
      </c>
      <c r="J62" s="46">
        <v>1</v>
      </c>
      <c r="K62" s="98" t="s">
        <v>1414</v>
      </c>
      <c r="L62" s="101">
        <f>VLOOKUP($C62&amp;$E62,'Updated SES'!A:N,14,0)</f>
        <v>1.8672000000000006</v>
      </c>
      <c r="M62" s="102">
        <f>VLOOKUP($K62,'Genre Penetration'!A:B,2,0)*VLOOKUP($C62&amp;$E62,'Updated SES'!A:I,9,0)</f>
        <v>0.43200000000000005</v>
      </c>
      <c r="N62" s="102">
        <f>VLOOKUP(K:K,'Genre Penetration'!A:C,3,0)*VLOOKUP($C62&amp;$E62,'Updated SES'!A:J,10,0)</f>
        <v>9.2000000000000012E-2</v>
      </c>
      <c r="O62" s="102" t="e">
        <f>VLOOKUP($B62,'Language Penetration'!$B$1:$AY$14,MATCH('Compile data Working'!#REF!,'Language Penetration'!$B$1:$AY$1,0),0)</f>
        <v>#REF!</v>
      </c>
      <c r="P62" s="103" t="str">
        <f t="shared" ca="1" si="0"/>
        <v>39%</v>
      </c>
      <c r="Q62" s="101" t="e">
        <f t="shared" ca="1" si="1"/>
        <v>#REF!</v>
      </c>
      <c r="R62" s="104">
        <f>VLOOKUP(D:D,ranking!W:X,2,0)</f>
        <v>0.6</v>
      </c>
      <c r="S62" s="59">
        <v>2.2307811840000007E-2</v>
      </c>
    </row>
    <row r="63" spans="1:19" x14ac:dyDescent="0.25">
      <c r="A63" s="46" t="s">
        <v>1057</v>
      </c>
      <c r="B63" s="46" t="s">
        <v>85</v>
      </c>
      <c r="C63" s="46" t="s">
        <v>44</v>
      </c>
      <c r="D63" s="46" t="s">
        <v>431</v>
      </c>
      <c r="E63" s="46" t="s">
        <v>211</v>
      </c>
      <c r="F63" s="98" t="s">
        <v>457</v>
      </c>
      <c r="G63" s="97" t="s">
        <v>1339</v>
      </c>
      <c r="H63" s="98" t="s">
        <v>33</v>
      </c>
      <c r="I63" s="106">
        <v>45884</v>
      </c>
      <c r="J63" s="46">
        <v>2</v>
      </c>
      <c r="K63" s="98" t="s">
        <v>172</v>
      </c>
      <c r="L63" s="101">
        <f>VLOOKUP($C63&amp;$E63,'Updated SES'!A:N,14,0)</f>
        <v>1.8672000000000006</v>
      </c>
      <c r="M63" s="102">
        <f>VLOOKUP($K63,'Genre Penetration'!A:B,2,0)*VLOOKUP($C63&amp;$E63,'Updated SES'!A:I,9,0)</f>
        <v>0.32000000000000006</v>
      </c>
      <c r="N63" s="102">
        <f>VLOOKUP(K:K,'Genre Penetration'!A:C,3,0)*VLOOKUP($C63&amp;$E63,'Updated SES'!A:J,10,0)</f>
        <v>0.12</v>
      </c>
      <c r="O63" s="102" t="e">
        <f>VLOOKUP($B63,'Language Penetration'!$B$1:$AY$14,MATCH('Compile data Working'!#REF!,'Language Penetration'!$B$1:$AY$1,0),0)</f>
        <v>#REF!</v>
      </c>
      <c r="P63" s="103" t="str">
        <f t="shared" ca="1" si="0"/>
        <v>31%</v>
      </c>
      <c r="Q63" s="101" t="e">
        <f t="shared" ca="1" si="1"/>
        <v>#REF!</v>
      </c>
      <c r="R63" s="104">
        <f>VLOOKUP(D:D,ranking!W:X,2,0)</f>
        <v>0.6</v>
      </c>
      <c r="S63" s="59">
        <v>1.7252928000000008E-2</v>
      </c>
    </row>
    <row r="64" spans="1:19" x14ac:dyDescent="0.25">
      <c r="A64" s="46" t="s">
        <v>1057</v>
      </c>
      <c r="B64" s="46" t="s">
        <v>85</v>
      </c>
      <c r="C64" s="46" t="s">
        <v>44</v>
      </c>
      <c r="D64" s="46" t="s">
        <v>431</v>
      </c>
      <c r="E64" s="46" t="s">
        <v>211</v>
      </c>
      <c r="F64" s="98" t="s">
        <v>457</v>
      </c>
      <c r="G64" s="97" t="s">
        <v>1457</v>
      </c>
      <c r="H64" s="98" t="s">
        <v>33</v>
      </c>
      <c r="I64" s="106">
        <v>45799</v>
      </c>
      <c r="J64" s="46">
        <v>3</v>
      </c>
      <c r="K64" s="98" t="s">
        <v>1130</v>
      </c>
      <c r="L64" s="101">
        <f>VLOOKUP($C64&amp;$E64,'Updated SES'!A:N,14,0)</f>
        <v>1.8672000000000006</v>
      </c>
      <c r="M64" s="102">
        <f>VLOOKUP($K64,'Genre Penetration'!A:B,2,0)*VLOOKUP($C64&amp;$E64,'Updated SES'!A:I,9,0)</f>
        <v>0.48</v>
      </c>
      <c r="N64" s="102">
        <f>VLOOKUP(K:K,'Genre Penetration'!A:C,3,0)*VLOOKUP($C64&amp;$E64,'Updated SES'!A:J,10,0)</f>
        <v>8.0000000000000016E-2</v>
      </c>
      <c r="O64" s="102" t="e">
        <f>VLOOKUP($B64,'Language Penetration'!$B$1:$AY$14,MATCH('Compile data Working'!#REF!,'Language Penetration'!$B$1:$AY$1,0),0)</f>
        <v>#REF!</v>
      </c>
      <c r="P64" s="103" t="str">
        <f t="shared" ca="1" si="0"/>
        <v>27%</v>
      </c>
      <c r="Q64" s="101" t="e">
        <f t="shared" ca="1" si="1"/>
        <v>#REF!</v>
      </c>
      <c r="R64" s="104">
        <f>VLOOKUP(D:D,ranking!W:X,2,0)</f>
        <v>0.6</v>
      </c>
      <c r="S64" s="59">
        <v>1.6939238400000011E-2</v>
      </c>
    </row>
    <row r="65" spans="1:19" x14ac:dyDescent="0.25">
      <c r="A65" s="46" t="s">
        <v>1057</v>
      </c>
      <c r="B65" s="46" t="s">
        <v>85</v>
      </c>
      <c r="C65" s="97" t="s">
        <v>44</v>
      </c>
      <c r="D65" s="46" t="s">
        <v>431</v>
      </c>
      <c r="E65" s="46" t="s">
        <v>211</v>
      </c>
      <c r="F65" s="98" t="s">
        <v>457</v>
      </c>
      <c r="G65" s="97" t="s">
        <v>1340</v>
      </c>
      <c r="H65" s="98" t="s">
        <v>33</v>
      </c>
      <c r="I65" s="106">
        <v>45561</v>
      </c>
      <c r="J65" s="46">
        <v>4</v>
      </c>
      <c r="K65" s="98" t="s">
        <v>172</v>
      </c>
      <c r="L65" s="101">
        <f>VLOOKUP($C65&amp;$E65,'Updated SES'!A:N,14,0)</f>
        <v>1.8672000000000006</v>
      </c>
      <c r="M65" s="102">
        <f>VLOOKUP($K65,'Genre Penetration'!A:B,2,0)*VLOOKUP($C65&amp;$E65,'Updated SES'!A:I,9,0)</f>
        <v>0.32000000000000006</v>
      </c>
      <c r="N65" s="102">
        <f>VLOOKUP(K:K,'Genre Penetration'!A:C,3,0)*VLOOKUP($C65&amp;$E65,'Updated SES'!A:J,10,0)</f>
        <v>0.12</v>
      </c>
      <c r="O65" s="102" t="e">
        <f>VLOOKUP($B65,'Language Penetration'!$B$1:$AY$14,MATCH('Compile data Working'!#REF!,'Language Penetration'!$B$1:$AY$1,0),0)</f>
        <v>#REF!</v>
      </c>
      <c r="P65" s="103" t="str">
        <f t="shared" ca="1" si="0"/>
        <v>22%</v>
      </c>
      <c r="Q65" s="101" t="e">
        <f t="shared" ca="1" si="1"/>
        <v>#REF!</v>
      </c>
      <c r="R65" s="104">
        <f>VLOOKUP(D:D,ranking!W:X,2,0)</f>
        <v>0.6</v>
      </c>
      <c r="S65" s="59">
        <v>1.0351756800000004E-2</v>
      </c>
    </row>
    <row r="66" spans="1:19" x14ac:dyDescent="0.25">
      <c r="A66" s="46" t="s">
        <v>1057</v>
      </c>
      <c r="B66" s="46" t="s">
        <v>85</v>
      </c>
      <c r="C66" s="46" t="s">
        <v>44</v>
      </c>
      <c r="D66" s="46" t="s">
        <v>431</v>
      </c>
      <c r="E66" s="46" t="s">
        <v>211</v>
      </c>
      <c r="F66" s="98" t="s">
        <v>457</v>
      </c>
      <c r="G66" s="46" t="s">
        <v>512</v>
      </c>
      <c r="H66" s="46" t="s">
        <v>33</v>
      </c>
      <c r="I66" s="106">
        <v>45435</v>
      </c>
      <c r="J66" s="46">
        <v>5</v>
      </c>
      <c r="K66" s="46" t="s">
        <v>172</v>
      </c>
      <c r="L66" s="101">
        <f>VLOOKUP($C66&amp;$E66,'Updated SES'!A:N,14,0)</f>
        <v>1.8672000000000006</v>
      </c>
      <c r="M66" s="102">
        <f>VLOOKUP($K66,'Genre Penetration'!A:B,2,0)*VLOOKUP($C66&amp;$E66,'Updated SES'!A:I,9,0)</f>
        <v>0.32000000000000006</v>
      </c>
      <c r="N66" s="102">
        <f>VLOOKUP(K:K,'Genre Penetration'!A:C,3,0)*VLOOKUP($C66&amp;$E66,'Updated SES'!A:J,10,0)</f>
        <v>0.12</v>
      </c>
      <c r="O66" s="102" t="e">
        <f>VLOOKUP($B66,'Language Penetration'!$B$1:$AY$14,MATCH('Compile data Working'!#REF!,'Language Penetration'!$B$1:$AY$1,0),0)</f>
        <v>#REF!</v>
      </c>
      <c r="P66" s="103" t="str">
        <f t="shared" ca="1" si="0"/>
        <v>19%</v>
      </c>
      <c r="Q66" s="101" t="e">
        <f t="shared" ca="1" si="1"/>
        <v>#REF!</v>
      </c>
      <c r="R66" s="104">
        <f>VLOOKUP(D:D,ranking!W:X,2,0)</f>
        <v>0.6</v>
      </c>
      <c r="S66" s="59">
        <v>8.3799936000000051E-3</v>
      </c>
    </row>
    <row r="67" spans="1:19" x14ac:dyDescent="0.25">
      <c r="A67" s="46" t="s">
        <v>1057</v>
      </c>
      <c r="B67" s="46" t="s">
        <v>85</v>
      </c>
      <c r="C67" s="46" t="s">
        <v>44</v>
      </c>
      <c r="D67" s="46" t="s">
        <v>431</v>
      </c>
      <c r="E67" s="46" t="s">
        <v>211</v>
      </c>
      <c r="F67" s="98" t="s">
        <v>457</v>
      </c>
      <c r="G67" s="46" t="s">
        <v>518</v>
      </c>
      <c r="H67" s="98" t="s">
        <v>33</v>
      </c>
      <c r="I67" s="106">
        <v>45371</v>
      </c>
      <c r="J67" s="46">
        <v>6</v>
      </c>
      <c r="K67" s="98" t="s">
        <v>279</v>
      </c>
      <c r="L67" s="101">
        <f>VLOOKUP($C67&amp;$E67,'Updated SES'!A:N,14,0)</f>
        <v>1.8672000000000006</v>
      </c>
      <c r="M67" s="102">
        <f>VLOOKUP($K67,'Genre Penetration'!A:B,2,0)*VLOOKUP($C67&amp;$E67,'Updated SES'!A:I,9,0)</f>
        <v>0.36000000000000004</v>
      </c>
      <c r="N67" s="102">
        <f>VLOOKUP(K:K,'Genre Penetration'!A:C,3,0)*VLOOKUP($C67&amp;$E67,'Updated SES'!A:J,10,0)</f>
        <v>0.11000000000000001</v>
      </c>
      <c r="O67" s="102" t="e">
        <f>VLOOKUP($B67,'Language Penetration'!$B$1:$AY$14,MATCH('Compile data Working'!#REF!,'Language Penetration'!$B$1:$AY$1,0),0)</f>
        <v>#REF!</v>
      </c>
      <c r="P67" s="103" t="str">
        <f t="shared" ca="1" si="0"/>
        <v>14%</v>
      </c>
      <c r="Q67" s="101" t="e">
        <f t="shared" ca="1" si="1"/>
        <v>#REF!</v>
      </c>
      <c r="R67" s="104">
        <f>VLOOKUP(D:D,ranking!W:X,2,0)</f>
        <v>0.6</v>
      </c>
      <c r="S67" s="59">
        <v>7.3717056000000055E-3</v>
      </c>
    </row>
    <row r="68" spans="1:19" x14ac:dyDescent="0.25">
      <c r="A68" s="46" t="s">
        <v>1057</v>
      </c>
      <c r="B68" s="46" t="s">
        <v>85</v>
      </c>
      <c r="C68" s="46" t="s">
        <v>44</v>
      </c>
      <c r="D68" s="46" t="s">
        <v>431</v>
      </c>
      <c r="E68" s="46" t="s">
        <v>211</v>
      </c>
      <c r="F68" s="98" t="s">
        <v>457</v>
      </c>
      <c r="G68" s="46" t="s">
        <v>513</v>
      </c>
      <c r="H68" s="98" t="s">
        <v>33</v>
      </c>
      <c r="I68" s="106">
        <v>45371</v>
      </c>
      <c r="J68" s="46">
        <v>7</v>
      </c>
      <c r="K68" s="98" t="s">
        <v>216</v>
      </c>
      <c r="L68" s="101">
        <f>VLOOKUP($C68&amp;$E68,'Updated SES'!A:N,14,0)</f>
        <v>1.8672000000000006</v>
      </c>
      <c r="M68" s="102">
        <f>VLOOKUP($K68,'Genre Penetration'!A:B,2,0)*VLOOKUP($C68&amp;$E68,'Updated SES'!A:I,9,0)</f>
        <v>0.4</v>
      </c>
      <c r="N68" s="102">
        <f>VLOOKUP(K:K,'Genre Penetration'!A:C,3,0)*VLOOKUP($C68&amp;$E68,'Updated SES'!A:J,10,0)</f>
        <v>0.1</v>
      </c>
      <c r="O68" s="102" t="e">
        <f>VLOOKUP($B68,'Language Penetration'!$B$1:$AY$14,MATCH('Compile data Working'!#REF!,'Language Penetration'!$B$1:$AY$1,0),0)</f>
        <v>#REF!</v>
      </c>
      <c r="P68" s="103" t="str">
        <f t="shared" ca="1" si="0"/>
        <v>8%</v>
      </c>
      <c r="Q68" s="101" t="e">
        <f t="shared" ca="1" si="1"/>
        <v>#REF!</v>
      </c>
      <c r="R68" s="104">
        <f>VLOOKUP(D:D,ranking!W:X,2,0)</f>
        <v>0.6</v>
      </c>
      <c r="S68" s="59">
        <v>5.0414400000000012E-3</v>
      </c>
    </row>
    <row r="69" spans="1:19" x14ac:dyDescent="0.25">
      <c r="A69" s="46" t="s">
        <v>1057</v>
      </c>
      <c r="B69" s="46" t="s">
        <v>85</v>
      </c>
      <c r="C69" s="46" t="s">
        <v>44</v>
      </c>
      <c r="D69" s="46" t="s">
        <v>431</v>
      </c>
      <c r="E69" s="46" t="s">
        <v>211</v>
      </c>
      <c r="F69" s="98" t="s">
        <v>457</v>
      </c>
      <c r="G69" s="46" t="s">
        <v>517</v>
      </c>
      <c r="H69" s="98" t="s">
        <v>33</v>
      </c>
      <c r="I69" s="106">
        <v>45371</v>
      </c>
      <c r="J69" s="46">
        <v>8</v>
      </c>
      <c r="K69" s="98" t="s">
        <v>162</v>
      </c>
      <c r="L69" s="101">
        <f>VLOOKUP($C69&amp;$E69,'Updated SES'!A:N,14,0)</f>
        <v>1.8672000000000006</v>
      </c>
      <c r="M69" s="102">
        <f>VLOOKUP($K69,'Genre Penetration'!A:B,2,0)*VLOOKUP($C69&amp;$E69,'Updated SES'!A:I,9,0)</f>
        <v>0.55999999999999994</v>
      </c>
      <c r="N69" s="102">
        <f>VLOOKUP(K:K,'Genre Penetration'!A:C,3,0)*VLOOKUP($C69&amp;$E69,'Updated SES'!A:J,10,0)</f>
        <v>0.06</v>
      </c>
      <c r="O69" s="102" t="e">
        <f>VLOOKUP($B69,'Language Penetration'!$B$1:$AY$14,MATCH('Compile data Working'!#REF!,'Language Penetration'!$B$1:$AY$1,0),0)</f>
        <v>#REF!</v>
      </c>
      <c r="P69" s="103" t="str">
        <f t="shared" ref="P69:P132" ca="1" si="2">IF(ISBLANK(J69),RANDBETWEEN(1,2)&amp;"%",IF(J69=1,RANDBETWEEN(35,40)&amp;"%",IF(J69=2,RANDBETWEEN(30,35)&amp;"%",IF(J69=3,RANDBETWEEN(25,30)&amp;"%",IF(J69=4,RANDBETWEEN(20,25)&amp;"%",IF(J69=5,RANDBETWEEN(15,20)&amp;"%",IF(J69=6,RANDBETWEEN(10,15)&amp;"%",IF(J69=7,RANDBETWEEN(8,10)&amp;"%",IF(J69=8,RANDBETWEEN(6,8)&amp;"%",IF(J69=9,RANDBETWEEN(4,6)&amp;"%",IF(J69=10,RANDBETWEEN(2,4)&amp;"%","")))))))))))</f>
        <v>6%</v>
      </c>
      <c r="Q69" s="101" t="e">
        <f t="shared" ref="Q69:Q132" ca="1" si="3">IFERROR(L69*(M69+N69)*O69*P69,RANDBETWEEN(1,2)%*L69*(M69+N69)*O69)</f>
        <v>#REF!</v>
      </c>
      <c r="R69" s="104">
        <f>VLOOKUP(D:D,ranking!W:X,2,0)</f>
        <v>0.6</v>
      </c>
      <c r="S69" s="59">
        <v>4.8621888000000019E-3</v>
      </c>
    </row>
    <row r="70" spans="1:19" x14ac:dyDescent="0.25">
      <c r="A70" s="46" t="s">
        <v>1057</v>
      </c>
      <c r="B70" s="46" t="s">
        <v>85</v>
      </c>
      <c r="C70" s="46" t="s">
        <v>44</v>
      </c>
      <c r="D70" s="46" t="s">
        <v>431</v>
      </c>
      <c r="E70" s="46" t="s">
        <v>211</v>
      </c>
      <c r="F70" s="98" t="s">
        <v>457</v>
      </c>
      <c r="G70" s="46" t="s">
        <v>1341</v>
      </c>
      <c r="H70" s="98" t="s">
        <v>33</v>
      </c>
      <c r="I70" s="106">
        <v>45371</v>
      </c>
      <c r="J70" s="46">
        <v>9</v>
      </c>
      <c r="K70" s="98" t="s">
        <v>173</v>
      </c>
      <c r="L70" s="101">
        <f>VLOOKUP($C70&amp;$E70,'Updated SES'!A:N,14,0)</f>
        <v>1.8672000000000006</v>
      </c>
      <c r="M70" s="102">
        <f>VLOOKUP($K70,'Genre Penetration'!A:B,2,0)*VLOOKUP($C70&amp;$E70,'Updated SES'!A:I,9,0)</f>
        <v>0.44000000000000006</v>
      </c>
      <c r="N70" s="102">
        <f>VLOOKUP(K:K,'Genre Penetration'!A:C,3,0)*VLOOKUP($C70&amp;$E70,'Updated SES'!A:J,10,0)</f>
        <v>9.0000000000000011E-2</v>
      </c>
      <c r="O70" s="102" t="e">
        <f>VLOOKUP($B70,'Language Penetration'!$B$1:$AY$14,MATCH('Compile data Working'!#REF!,'Language Penetration'!$B$1:$AY$1,0),0)</f>
        <v>#REF!</v>
      </c>
      <c r="P70" s="103" t="str">
        <f t="shared" ca="1" si="2"/>
        <v>5%</v>
      </c>
      <c r="Q70" s="101" t="e">
        <f t="shared" ca="1" si="3"/>
        <v>#REF!</v>
      </c>
      <c r="R70" s="104">
        <f>VLOOKUP(D:D,ranking!W:X,2,0)</f>
        <v>0.6</v>
      </c>
      <c r="S70" s="59">
        <v>2.9688480000000014E-3</v>
      </c>
    </row>
    <row r="71" spans="1:19" x14ac:dyDescent="0.25">
      <c r="A71" s="46" t="s">
        <v>1057</v>
      </c>
      <c r="B71" s="46" t="s">
        <v>85</v>
      </c>
      <c r="C71" s="46" t="s">
        <v>44</v>
      </c>
      <c r="D71" s="46" t="s">
        <v>431</v>
      </c>
      <c r="E71" s="46" t="s">
        <v>211</v>
      </c>
      <c r="F71" s="98" t="s">
        <v>457</v>
      </c>
      <c r="G71" s="100" t="s">
        <v>1553</v>
      </c>
      <c r="H71" s="98" t="s">
        <v>33</v>
      </c>
      <c r="I71" s="106">
        <v>45371</v>
      </c>
      <c r="J71" s="46">
        <v>10</v>
      </c>
      <c r="K71" s="98" t="s">
        <v>138</v>
      </c>
      <c r="L71" s="101">
        <f>VLOOKUP($C71&amp;$E71,'Updated SES'!A:N,14,0)</f>
        <v>1.8672000000000006</v>
      </c>
      <c r="M71" s="102">
        <f>VLOOKUP($K71,'Genre Penetration'!A:B,2,0)*VLOOKUP($C71&amp;$E71,'Updated SES'!A:I,9,0)</f>
        <v>0.376</v>
      </c>
      <c r="N71" s="102">
        <f>VLOOKUP(K:K,'Genre Penetration'!A:C,3,0)*VLOOKUP($C71&amp;$E71,'Updated SES'!A:J,10,0)</f>
        <v>0.10600000000000001</v>
      </c>
      <c r="O71" s="102" t="e">
        <f>VLOOKUP($B71,'Language Penetration'!$B$1:$AY$14,MATCH('Compile data Working'!#REF!,'Language Penetration'!$B$1:$AY$1,0),0)</f>
        <v>#REF!</v>
      </c>
      <c r="P71" s="103" t="str">
        <f t="shared" ca="1" si="2"/>
        <v>4%</v>
      </c>
      <c r="Q71" s="101" t="e">
        <f t="shared" ca="1" si="3"/>
        <v>#REF!</v>
      </c>
      <c r="R71" s="104">
        <f>VLOOKUP(D:D,ranking!W:X,2,0)</f>
        <v>0.6</v>
      </c>
      <c r="S71" s="59">
        <v>1.6199827200000004E-3</v>
      </c>
    </row>
    <row r="72" spans="1:19" x14ac:dyDescent="0.25">
      <c r="A72" s="46" t="s">
        <v>1057</v>
      </c>
      <c r="B72" s="46" t="s">
        <v>85</v>
      </c>
      <c r="C72" s="46" t="s">
        <v>49</v>
      </c>
      <c r="D72" s="46" t="s">
        <v>434</v>
      </c>
      <c r="E72" s="46" t="s">
        <v>211</v>
      </c>
      <c r="F72" s="98" t="s">
        <v>458</v>
      </c>
      <c r="G72" s="98" t="s">
        <v>1630</v>
      </c>
      <c r="H72" s="98" t="s">
        <v>23</v>
      </c>
      <c r="I72" s="106">
        <v>45976</v>
      </c>
      <c r="J72" s="46">
        <v>1</v>
      </c>
      <c r="K72" s="98" t="s">
        <v>154</v>
      </c>
      <c r="L72" s="101">
        <f>VLOOKUP($C72&amp;$E72,'Updated SES'!A:N,14,0)</f>
        <v>12.626640000000002</v>
      </c>
      <c r="M72" s="102">
        <f>VLOOKUP($K72,'Genre Penetration'!A:B,2,0)*VLOOKUP($C72&amp;$E72,'Updated SES'!A:I,9,0)</f>
        <v>0.22799999999999998</v>
      </c>
      <c r="N72" s="102">
        <f>VLOOKUP(K:K,'Genre Penetration'!A:C,3,0)*VLOOKUP($C72&amp;$E72,'Updated SES'!A:J,10,0)</f>
        <v>0.16799999999999998</v>
      </c>
      <c r="O72" s="102">
        <f>VLOOKUP($B72,'Language Penetration'!$B$1:$AY$14,MATCH('Compile data Working'!$H30,'Language Penetration'!$B$1:$AY$1,0),0)</f>
        <v>0.6</v>
      </c>
      <c r="P72" s="103" t="str">
        <f t="shared" ca="1" si="2"/>
        <v>39%</v>
      </c>
      <c r="Q72" s="101">
        <f t="shared" ca="1" si="3"/>
        <v>1.1700349689600003</v>
      </c>
      <c r="R72" s="104">
        <f>VLOOKUP(D:D,ranking!W:X,2,0)</f>
        <v>0.7</v>
      </c>
      <c r="S72" s="59">
        <v>0.18375549191999999</v>
      </c>
    </row>
    <row r="73" spans="1:19" x14ac:dyDescent="0.25">
      <c r="A73" s="46" t="s">
        <v>1057</v>
      </c>
      <c r="B73" s="46" t="s">
        <v>85</v>
      </c>
      <c r="C73" s="46" t="s">
        <v>49</v>
      </c>
      <c r="D73" s="46" t="s">
        <v>432</v>
      </c>
      <c r="E73" s="46" t="s">
        <v>211</v>
      </c>
      <c r="F73" s="98" t="s">
        <v>458</v>
      </c>
      <c r="G73" s="46" t="s">
        <v>1649</v>
      </c>
      <c r="H73" s="98" t="s">
        <v>23</v>
      </c>
      <c r="I73" s="106">
        <v>45968</v>
      </c>
      <c r="J73" s="46">
        <v>2</v>
      </c>
      <c r="K73" s="98" t="s">
        <v>1416</v>
      </c>
      <c r="L73" s="101">
        <f>VLOOKUP($C73&amp;$E73,'Updated SES'!A:N,14,0)</f>
        <v>12.626640000000002</v>
      </c>
      <c r="M73" s="102">
        <f>VLOOKUP($K73,'Genre Penetration'!A:B,2,0)*VLOOKUP($C73&amp;$E73,'Updated SES'!A:I,9,0)</f>
        <v>0.44839999999999997</v>
      </c>
      <c r="N73" s="102">
        <f>VLOOKUP(K:K,'Genre Penetration'!A:C,3,0)*VLOOKUP($C73&amp;$E73,'Updated SES'!A:J,10,0)</f>
        <v>9.8399999999999987E-2</v>
      </c>
      <c r="O73" s="102" t="e">
        <f>VLOOKUP($B73,'Language Penetration'!$B$1:$AY$14,MATCH('Compile data Working'!#REF!,'Language Penetration'!$B$1:$AY$1,0),0)</f>
        <v>#REF!</v>
      </c>
      <c r="P73" s="103" t="str">
        <f t="shared" ca="1" si="2"/>
        <v>33%</v>
      </c>
      <c r="Q73" s="101" t="e">
        <f t="shared" ca="1" si="3"/>
        <v>#REF!</v>
      </c>
      <c r="R73" s="104">
        <f>VLOOKUP(D:D,ranking!W:X,2,0)</f>
        <v>0.8</v>
      </c>
      <c r="S73" s="59">
        <v>0.26512307527680007</v>
      </c>
    </row>
    <row r="74" spans="1:19" x14ac:dyDescent="0.25">
      <c r="A74" s="46" t="s">
        <v>1057</v>
      </c>
      <c r="B74" s="46" t="s">
        <v>85</v>
      </c>
      <c r="C74" s="46" t="s">
        <v>49</v>
      </c>
      <c r="D74" s="46" t="s">
        <v>431</v>
      </c>
      <c r="E74" s="46" t="s">
        <v>211</v>
      </c>
      <c r="F74" s="98" t="s">
        <v>457</v>
      </c>
      <c r="G74" s="46" t="s">
        <v>1650</v>
      </c>
      <c r="H74" s="98" t="s">
        <v>23</v>
      </c>
      <c r="I74" s="106">
        <v>45898</v>
      </c>
      <c r="J74" s="46">
        <v>3</v>
      </c>
      <c r="K74" s="98" t="s">
        <v>261</v>
      </c>
      <c r="L74" s="101">
        <f>VLOOKUP($C74&amp;$E74,'Updated SES'!A:N,14,0)</f>
        <v>12.626640000000002</v>
      </c>
      <c r="M74" s="102">
        <f>VLOOKUP($K74,'Genre Penetration'!A:B,2,0)*VLOOKUP($C74&amp;$E74,'Updated SES'!A:I,9,0)</f>
        <v>0.30400000000000005</v>
      </c>
      <c r="N74" s="102">
        <f>VLOOKUP(K:K,'Genre Penetration'!A:C,3,0)*VLOOKUP($C74&amp;$E74,'Updated SES'!A:J,10,0)</f>
        <v>0.14399999999999999</v>
      </c>
      <c r="O74" s="102" t="e">
        <f>VLOOKUP($B74,'Language Penetration'!$B$1:$AY$14,MATCH('Compile data Working'!#REF!,'Language Penetration'!$B$1:$AY$1,0),0)</f>
        <v>#REF!</v>
      </c>
      <c r="P74" s="103" t="str">
        <f t="shared" ca="1" si="2"/>
        <v>26%</v>
      </c>
      <c r="Q74" s="101" t="e">
        <f t="shared" ca="1" si="3"/>
        <v>#REF!</v>
      </c>
      <c r="R74" s="104">
        <f>VLOOKUP(D:D,ranking!W:X,2,0)</f>
        <v>0.6</v>
      </c>
      <c r="S74" s="59">
        <v>0.14764077619200006</v>
      </c>
    </row>
    <row r="75" spans="1:19" x14ac:dyDescent="0.25">
      <c r="A75" s="46" t="s">
        <v>1057</v>
      </c>
      <c r="B75" s="46" t="s">
        <v>85</v>
      </c>
      <c r="C75" s="46" t="s">
        <v>49</v>
      </c>
      <c r="D75" s="46" t="s">
        <v>431</v>
      </c>
      <c r="E75" s="98" t="s">
        <v>211</v>
      </c>
      <c r="F75" s="98" t="s">
        <v>457</v>
      </c>
      <c r="G75" s="98" t="s">
        <v>1651</v>
      </c>
      <c r="H75" s="98" t="s">
        <v>23</v>
      </c>
      <c r="I75" s="106">
        <v>45947</v>
      </c>
      <c r="J75" s="46">
        <v>4</v>
      </c>
      <c r="K75" s="46" t="s">
        <v>172</v>
      </c>
      <c r="L75" s="101">
        <f>VLOOKUP($C75&amp;$E75,'Updated SES'!A:N,14,0)</f>
        <v>12.626640000000002</v>
      </c>
      <c r="M75" s="102">
        <f>VLOOKUP($K75,'Genre Penetration'!A:B,2,0)*VLOOKUP($C75&amp;$E75,'Updated SES'!A:I,9,0)</f>
        <v>0.30400000000000005</v>
      </c>
      <c r="N75" s="102">
        <f>VLOOKUP(K:K,'Genre Penetration'!A:C,3,0)*VLOOKUP($C75&amp;$E75,'Updated SES'!A:J,10,0)</f>
        <v>0.14399999999999999</v>
      </c>
      <c r="O75" s="102" t="e">
        <f>VLOOKUP($B75,'Language Penetration'!$B$1:$AY$14,MATCH('Compile data Working'!#REF!,'Language Penetration'!$B$1:$AY$1,0),0)</f>
        <v>#REF!</v>
      </c>
      <c r="P75" s="103" t="str">
        <f t="shared" ca="1" si="2"/>
        <v>25%</v>
      </c>
      <c r="Q75" s="101" t="e">
        <f t="shared" ca="1" si="3"/>
        <v>#REF!</v>
      </c>
      <c r="R75" s="104">
        <f>VLOOKUP(D:D,ranking!W:X,2,0)</f>
        <v>0.6</v>
      </c>
      <c r="S75" s="59">
        <v>0.12218546995200004</v>
      </c>
    </row>
    <row r="76" spans="1:19" x14ac:dyDescent="0.25">
      <c r="A76" s="46" t="s">
        <v>1057</v>
      </c>
      <c r="B76" s="46" t="s">
        <v>85</v>
      </c>
      <c r="C76" s="46" t="s">
        <v>49</v>
      </c>
      <c r="D76" s="46" t="s">
        <v>434</v>
      </c>
      <c r="E76" s="98" t="s">
        <v>211</v>
      </c>
      <c r="F76" s="98" t="s">
        <v>458</v>
      </c>
      <c r="G76" s="98" t="s">
        <v>1652</v>
      </c>
      <c r="H76" s="98" t="s">
        <v>23</v>
      </c>
      <c r="I76" s="106">
        <v>45930</v>
      </c>
      <c r="J76" s="46">
        <v>5</v>
      </c>
      <c r="K76" s="98" t="s">
        <v>92</v>
      </c>
      <c r="L76" s="101">
        <f>VLOOKUP($C76&amp;$E76,'Updated SES'!A:N,14,0)</f>
        <v>12.626640000000002</v>
      </c>
      <c r="M76" s="102">
        <f>VLOOKUP($K76,'Genre Penetration'!A:B,2,0)*VLOOKUP($C76&amp;$E76,'Updated SES'!A:I,9,0)</f>
        <v>0.40280000000000005</v>
      </c>
      <c r="N76" s="102">
        <f>VLOOKUP(K:K,'Genre Penetration'!A:C,3,0)*VLOOKUP($C76&amp;$E76,'Updated SES'!A:J,10,0)</f>
        <v>0.11279999999999998</v>
      </c>
      <c r="O76" s="102" t="e">
        <f>VLOOKUP($B76,'Language Penetration'!$B$1:$AY$14,MATCH('Compile data Working'!#REF!,'Language Penetration'!$B$1:$AY$1,0),0)</f>
        <v>#REF!</v>
      </c>
      <c r="P76" s="103" t="str">
        <f t="shared" ca="1" si="2"/>
        <v>18%</v>
      </c>
      <c r="Q76" s="101" t="e">
        <f t="shared" ca="1" si="3"/>
        <v>#REF!</v>
      </c>
      <c r="R76" s="104">
        <f>VLOOKUP(D:D,ranking!W:X,2,0)</f>
        <v>0.7</v>
      </c>
      <c r="S76" s="59">
        <v>0.102537155448</v>
      </c>
    </row>
    <row r="77" spans="1:19" x14ac:dyDescent="0.25">
      <c r="A77" s="46" t="s">
        <v>1057</v>
      </c>
      <c r="B77" s="46" t="s">
        <v>85</v>
      </c>
      <c r="C77" s="46" t="s">
        <v>49</v>
      </c>
      <c r="D77" s="46" t="s">
        <v>431</v>
      </c>
      <c r="E77" s="98" t="s">
        <v>211</v>
      </c>
      <c r="F77" s="98" t="s">
        <v>457</v>
      </c>
      <c r="G77" s="98" t="s">
        <v>1653</v>
      </c>
      <c r="H77" s="98" t="s">
        <v>23</v>
      </c>
      <c r="I77" s="106">
        <v>45919</v>
      </c>
      <c r="J77" s="46">
        <v>6</v>
      </c>
      <c r="K77" s="98" t="s">
        <v>172</v>
      </c>
      <c r="L77" s="101">
        <f>VLOOKUP($C77&amp;$E77,'Updated SES'!A:N,14,0)</f>
        <v>12.626640000000002</v>
      </c>
      <c r="M77" s="102">
        <f>VLOOKUP($K77,'Genre Penetration'!A:B,2,0)*VLOOKUP($C77&amp;$E77,'Updated SES'!A:I,9,0)</f>
        <v>0.30400000000000005</v>
      </c>
      <c r="N77" s="102">
        <f>VLOOKUP(K:K,'Genre Penetration'!A:C,3,0)*VLOOKUP($C77&amp;$E77,'Updated SES'!A:J,10,0)</f>
        <v>0.14399999999999999</v>
      </c>
      <c r="O77" s="102" t="e">
        <f>VLOOKUP($B77,'Language Penetration'!$B$1:$AY$14,MATCH('Compile data Working'!#REF!,'Language Penetration'!$B$1:$AY$1,0),0)</f>
        <v>#REF!</v>
      </c>
      <c r="P77" s="103" t="str">
        <f t="shared" ca="1" si="2"/>
        <v>13%</v>
      </c>
      <c r="Q77" s="101" t="e">
        <f t="shared" ca="1" si="3"/>
        <v>#REF!</v>
      </c>
      <c r="R77" s="104">
        <f>VLOOKUP(D:D,ranking!W:X,2,0)</f>
        <v>0.6</v>
      </c>
      <c r="S77" s="59">
        <v>6.6183796224000016E-2</v>
      </c>
    </row>
    <row r="78" spans="1:19" x14ac:dyDescent="0.25">
      <c r="A78" s="46" t="s">
        <v>1057</v>
      </c>
      <c r="B78" s="46" t="s">
        <v>85</v>
      </c>
      <c r="C78" s="46" t="s">
        <v>49</v>
      </c>
      <c r="D78" s="46" t="s">
        <v>434</v>
      </c>
      <c r="E78" s="98" t="s">
        <v>211</v>
      </c>
      <c r="F78" s="98" t="s">
        <v>458</v>
      </c>
      <c r="G78" s="98" t="s">
        <v>1654</v>
      </c>
      <c r="H78" s="46" t="s">
        <v>23</v>
      </c>
      <c r="I78" s="106">
        <v>45891</v>
      </c>
      <c r="J78" s="46">
        <v>7</v>
      </c>
      <c r="K78" s="46" t="s">
        <v>138</v>
      </c>
      <c r="L78" s="101">
        <f>VLOOKUP($C78&amp;$E78,'Updated SES'!A:N,14,0)</f>
        <v>12.626640000000002</v>
      </c>
      <c r="M78" s="102">
        <f>VLOOKUP($K78,'Genre Penetration'!A:B,2,0)*VLOOKUP($C78&amp;$E78,'Updated SES'!A:I,9,0)</f>
        <v>0.35719999999999996</v>
      </c>
      <c r="N78" s="102">
        <f>VLOOKUP(K:K,'Genre Penetration'!A:C,3,0)*VLOOKUP($C78&amp;$E78,'Updated SES'!A:J,10,0)</f>
        <v>0.12720000000000001</v>
      </c>
      <c r="O78" s="102" t="e">
        <f>VLOOKUP($B78,'Language Penetration'!$B$1:$AY$14,MATCH('Compile data Working'!#REF!,'Language Penetration'!$B$1:$AY$1,0),0)</f>
        <v>#REF!</v>
      </c>
      <c r="P78" s="103" t="str">
        <f t="shared" ca="1" si="2"/>
        <v>10%</v>
      </c>
      <c r="Q78" s="101" t="e">
        <f t="shared" ca="1" si="3"/>
        <v>#REF!</v>
      </c>
      <c r="R78" s="104">
        <f>VLOOKUP(D:D,ranking!W:X,2,0)</f>
        <v>0.7</v>
      </c>
      <c r="S78" s="59">
        <v>6.4221616368000001E-2</v>
      </c>
    </row>
    <row r="79" spans="1:19" x14ac:dyDescent="0.25">
      <c r="A79" s="46" t="s">
        <v>1057</v>
      </c>
      <c r="B79" s="46" t="s">
        <v>85</v>
      </c>
      <c r="C79" s="46" t="s">
        <v>49</v>
      </c>
      <c r="D79" s="46" t="s">
        <v>431</v>
      </c>
      <c r="E79" s="98" t="s">
        <v>211</v>
      </c>
      <c r="F79" s="98" t="s">
        <v>457</v>
      </c>
      <c r="G79" s="98" t="s">
        <v>1655</v>
      </c>
      <c r="H79" s="98" t="s">
        <v>23</v>
      </c>
      <c r="I79" s="106">
        <v>45786</v>
      </c>
      <c r="J79" s="46">
        <v>8</v>
      </c>
      <c r="K79" s="98" t="s">
        <v>138</v>
      </c>
      <c r="L79" s="101">
        <f>VLOOKUP($C79&amp;$E79,'Updated SES'!A:N,14,0)</f>
        <v>12.626640000000002</v>
      </c>
      <c r="M79" s="102">
        <f>VLOOKUP($K79,'Genre Penetration'!A:B,2,0)*VLOOKUP($C79&amp;$E79,'Updated SES'!A:I,9,0)</f>
        <v>0.35719999999999996</v>
      </c>
      <c r="N79" s="102">
        <f>VLOOKUP(K:K,'Genre Penetration'!A:C,3,0)*VLOOKUP($C79&amp;$E79,'Updated SES'!A:J,10,0)</f>
        <v>0.12720000000000001</v>
      </c>
      <c r="O79" s="102">
        <f>VLOOKUP($B79,'Language Penetration'!$B$1:$AY$14,MATCH('Compile data Working'!$H31,'Language Penetration'!$B$1:$AY$1,0),0)</f>
        <v>0.2</v>
      </c>
      <c r="P79" s="103" t="str">
        <f t="shared" ca="1" si="2"/>
        <v>7%</v>
      </c>
      <c r="Q79" s="101">
        <f t="shared" ca="1" si="3"/>
        <v>8.5628821824000029E-2</v>
      </c>
      <c r="R79" s="104">
        <f>VLOOKUP(D:D,ranking!W:X,2,0)</f>
        <v>0.6</v>
      </c>
      <c r="S79" s="59">
        <v>3.8532969820799998E-2</v>
      </c>
    </row>
    <row r="80" spans="1:19" x14ac:dyDescent="0.25">
      <c r="A80" s="46" t="s">
        <v>1057</v>
      </c>
      <c r="B80" s="46" t="s">
        <v>85</v>
      </c>
      <c r="C80" s="46" t="s">
        <v>49</v>
      </c>
      <c r="D80" s="46" t="s">
        <v>431</v>
      </c>
      <c r="E80" s="98" t="s">
        <v>211</v>
      </c>
      <c r="F80" s="98" t="s">
        <v>457</v>
      </c>
      <c r="G80" s="98" t="s">
        <v>1656</v>
      </c>
      <c r="H80" s="98" t="s">
        <v>23</v>
      </c>
      <c r="I80" s="106">
        <v>44680</v>
      </c>
      <c r="J80" s="46">
        <v>9</v>
      </c>
      <c r="K80" s="98" t="s">
        <v>448</v>
      </c>
      <c r="L80" s="101">
        <f>VLOOKUP($C80&amp;$E80,'Updated SES'!A:N,14,0)</f>
        <v>12.626640000000002</v>
      </c>
      <c r="M80" s="102">
        <f>VLOOKUP($K80,'Genre Penetration'!A:B,2,0)*VLOOKUP($C80&amp;$E80,'Updated SES'!A:I,9,0)</f>
        <v>0.53199999999999992</v>
      </c>
      <c r="N80" s="102">
        <f>VLOOKUP(K:K,'Genre Penetration'!A:C,3,0)*VLOOKUP($C80&amp;$E80,'Updated SES'!A:J,10,0)</f>
        <v>7.1999999999999995E-2</v>
      </c>
      <c r="O80" s="102" t="e">
        <f>VLOOKUP($B80,'Language Penetration'!$B$1:$AY$14,MATCH('Compile data Working'!#REF!,'Language Penetration'!$B$1:$AY$1,0),0)</f>
        <v>#REF!</v>
      </c>
      <c r="P80" s="103" t="str">
        <f t="shared" ca="1" si="2"/>
        <v>4%</v>
      </c>
      <c r="Q80" s="101" t="e">
        <f t="shared" ca="1" si="3"/>
        <v>#REF!</v>
      </c>
      <c r="R80" s="104">
        <f>VLOOKUP(D:D,ranking!W:X,2,0)</f>
        <v>0.6</v>
      </c>
      <c r="S80" s="59">
        <v>3.4319207519999992E-2</v>
      </c>
    </row>
    <row r="81" spans="1:19" x14ac:dyDescent="0.25">
      <c r="A81" s="46" t="s">
        <v>1057</v>
      </c>
      <c r="B81" s="46" t="s">
        <v>85</v>
      </c>
      <c r="C81" s="46" t="s">
        <v>49</v>
      </c>
      <c r="D81" s="46" t="s">
        <v>434</v>
      </c>
      <c r="E81" s="98" t="s">
        <v>211</v>
      </c>
      <c r="F81" s="98" t="s">
        <v>458</v>
      </c>
      <c r="G81" s="98" t="s">
        <v>349</v>
      </c>
      <c r="H81" s="98" t="s">
        <v>23</v>
      </c>
      <c r="I81" s="106">
        <v>46016</v>
      </c>
      <c r="J81" s="46">
        <v>10</v>
      </c>
      <c r="K81" s="98" t="s">
        <v>80</v>
      </c>
      <c r="L81" s="101">
        <f>VLOOKUP($C81&amp;$E81,'Updated SES'!A:N,14,0)</f>
        <v>12.626640000000002</v>
      </c>
      <c r="M81" s="102">
        <f>VLOOKUP($K81,'Genre Penetration'!A:B,2,0)*VLOOKUP($C81&amp;$E81,'Updated SES'!A:I,9,0)</f>
        <v>0.50919999999999999</v>
      </c>
      <c r="N81" s="102">
        <f>VLOOKUP(K:K,'Genre Penetration'!A:C,3,0)*VLOOKUP($C81&amp;$E81,'Updated SES'!A:J,10,0)</f>
        <v>7.9200000000000007E-2</v>
      </c>
      <c r="O81" s="102">
        <f>VLOOKUP($B81,'Language Penetration'!$B$1:$AY$14,MATCH('Compile data Working'!$H32,'Language Penetration'!$B$1:$AY$1,0),0)</f>
        <v>0.15</v>
      </c>
      <c r="P81" s="103" t="str">
        <f t="shared" ca="1" si="2"/>
        <v>4%</v>
      </c>
      <c r="Q81" s="101">
        <f t="shared" ca="1" si="3"/>
        <v>4.4577089856000007E-2</v>
      </c>
      <c r="R81" s="104">
        <f>VLOOKUP(D:D,ranking!W:X,2,0)</f>
        <v>0.7</v>
      </c>
      <c r="S81" s="59">
        <v>3.1203962899200004E-2</v>
      </c>
    </row>
    <row r="82" spans="1:19" x14ac:dyDescent="0.25">
      <c r="A82" s="46" t="s">
        <v>1057</v>
      </c>
      <c r="B82" s="46" t="s">
        <v>85</v>
      </c>
      <c r="C82" s="46" t="s">
        <v>64</v>
      </c>
      <c r="D82" s="46" t="s">
        <v>434</v>
      </c>
      <c r="E82" s="98" t="s">
        <v>211</v>
      </c>
      <c r="F82" s="98" t="s">
        <v>458</v>
      </c>
      <c r="G82" s="98" t="s">
        <v>1489</v>
      </c>
      <c r="H82" s="98" t="s">
        <v>1059</v>
      </c>
      <c r="I82" s="106">
        <v>45960</v>
      </c>
      <c r="J82" s="46">
        <v>1</v>
      </c>
      <c r="K82" s="98" t="s">
        <v>46</v>
      </c>
      <c r="L82" s="101">
        <f>VLOOKUP($C82&amp;$E82,'Updated SES'!A:N,14,0)</f>
        <v>36.498239999999996</v>
      </c>
      <c r="M82" s="102">
        <f>VLOOKUP($K82,'Genre Penetration'!A:B,2,0)*VLOOKUP($C82&amp;$E82,'Updated SES'!A:I,9,0)</f>
        <v>0.36399999999999999</v>
      </c>
      <c r="N82" s="102">
        <f>VLOOKUP(K:K,'Genre Penetration'!A:C,3,0)*VLOOKUP($C82&amp;$E82,'Updated SES'!A:J,10,0)</f>
        <v>0.14399999999999999</v>
      </c>
      <c r="O82" s="102">
        <v>0.2</v>
      </c>
      <c r="P82" s="103" t="str">
        <f t="shared" ca="1" si="2"/>
        <v>40%</v>
      </c>
      <c r="Q82" s="101">
        <f t="shared" ca="1" si="3"/>
        <v>1.4832884736</v>
      </c>
      <c r="R82" s="104">
        <f>VLOOKUP(D:D,ranking!W:X,2,0)</f>
        <v>0.7</v>
      </c>
      <c r="S82" s="59">
        <v>0.98638683494399992</v>
      </c>
    </row>
    <row r="83" spans="1:19" x14ac:dyDescent="0.25">
      <c r="A83" s="46" t="s">
        <v>1057</v>
      </c>
      <c r="B83" s="46" t="s">
        <v>85</v>
      </c>
      <c r="C83" s="46" t="s">
        <v>64</v>
      </c>
      <c r="D83" s="46" t="s">
        <v>434</v>
      </c>
      <c r="E83" s="98" t="s">
        <v>211</v>
      </c>
      <c r="F83" s="98" t="s">
        <v>458</v>
      </c>
      <c r="G83" s="98" t="s">
        <v>1485</v>
      </c>
      <c r="H83" s="98" t="s">
        <v>19</v>
      </c>
      <c r="I83" s="53">
        <v>45975</v>
      </c>
      <c r="J83" s="46">
        <v>2</v>
      </c>
      <c r="K83" s="98" t="s">
        <v>980</v>
      </c>
      <c r="L83" s="101">
        <f>VLOOKUP($C83&amp;$E83,'Updated SES'!A:N,14,0)</f>
        <v>36.498239999999996</v>
      </c>
      <c r="M83" s="102">
        <f>VLOOKUP($K83,'Genre Penetration'!A:B,2,0)*VLOOKUP($C83&amp;$E83,'Updated SES'!A:I,9,0)</f>
        <v>0.312</v>
      </c>
      <c r="N83" s="102">
        <f>VLOOKUP(K:K,'Genre Penetration'!A:C,3,0)*VLOOKUP($C83&amp;$E83,'Updated SES'!A:J,10,0)</f>
        <v>0.192</v>
      </c>
      <c r="O83" s="102" t="e">
        <f>VLOOKUP($B83,'Language Penetration'!$B$1:$AY$14,MATCH('Compile data Working'!#REF!,'Language Penetration'!$B$1:$AY$1,0),0)</f>
        <v>#REF!</v>
      </c>
      <c r="P83" s="103" t="str">
        <f t="shared" ca="1" si="2"/>
        <v>31%</v>
      </c>
      <c r="Q83" s="101" t="e">
        <f t="shared" ca="1" si="3"/>
        <v>#REF!</v>
      </c>
      <c r="R83" s="104">
        <f>VLOOKUP(D:D,ranking!W:X,2,0)</f>
        <v>0.7</v>
      </c>
      <c r="S83" s="59">
        <v>2.7040816051199994</v>
      </c>
    </row>
    <row r="84" spans="1:19" x14ac:dyDescent="0.25">
      <c r="A84" s="46" t="s">
        <v>1057</v>
      </c>
      <c r="B84" s="46" t="s">
        <v>85</v>
      </c>
      <c r="C84" s="46" t="s">
        <v>64</v>
      </c>
      <c r="D84" s="46" t="s">
        <v>434</v>
      </c>
      <c r="E84" s="98" t="s">
        <v>211</v>
      </c>
      <c r="F84" s="98" t="s">
        <v>458</v>
      </c>
      <c r="G84" s="98" t="s">
        <v>1535</v>
      </c>
      <c r="H84" s="98" t="s">
        <v>40</v>
      </c>
      <c r="I84" s="53">
        <v>45967</v>
      </c>
      <c r="J84" s="46">
        <v>3</v>
      </c>
      <c r="K84" s="98" t="s">
        <v>124</v>
      </c>
      <c r="L84" s="101">
        <f>VLOOKUP($C84&amp;$E84,'Updated SES'!A:N,14,0)</f>
        <v>36.498239999999996</v>
      </c>
      <c r="M84" s="102">
        <f>VLOOKUP($K84,'Genre Penetration'!A:B,2,0)*VLOOKUP($C84&amp;$E84,'Updated SES'!A:I,9,0)</f>
        <v>0.23400000000000001</v>
      </c>
      <c r="N84" s="102">
        <f>VLOOKUP(K:K,'Genre Penetration'!A:C,3,0)*VLOOKUP($C84&amp;$E84,'Updated SES'!A:J,10,0)</f>
        <v>0.26400000000000001</v>
      </c>
      <c r="O84" s="102" t="e">
        <f>VLOOKUP($B84,'Language Penetration'!$B$1:$AY$14,MATCH('Compile data Working'!$H33,'Language Penetration'!$B$1:$AY$1,0),0)</f>
        <v>#N/A</v>
      </c>
      <c r="P84" s="103" t="str">
        <f t="shared" ca="1" si="2"/>
        <v>29%</v>
      </c>
      <c r="Q84" s="101" t="e">
        <f t="shared" ca="1" si="3"/>
        <v>#N/A</v>
      </c>
      <c r="R84" s="104">
        <f>VLOOKUP(D:D,ranking!W:X,2,0)</f>
        <v>0.7</v>
      </c>
      <c r="S84" s="59">
        <v>0.93728210284799973</v>
      </c>
    </row>
    <row r="85" spans="1:19" x14ac:dyDescent="0.25">
      <c r="A85" s="46" t="s">
        <v>1057</v>
      </c>
      <c r="B85" s="46" t="s">
        <v>85</v>
      </c>
      <c r="C85" s="46" t="s">
        <v>64</v>
      </c>
      <c r="D85" s="46" t="s">
        <v>434</v>
      </c>
      <c r="E85" s="98" t="s">
        <v>211</v>
      </c>
      <c r="F85" s="98" t="s">
        <v>458</v>
      </c>
      <c r="G85" s="98" t="s">
        <v>1598</v>
      </c>
      <c r="H85" s="98" t="s">
        <v>1432</v>
      </c>
      <c r="I85" s="53">
        <v>45973</v>
      </c>
      <c r="J85" s="46">
        <v>4</v>
      </c>
      <c r="K85" s="98" t="s">
        <v>262</v>
      </c>
      <c r="L85" s="101">
        <f>VLOOKUP($C85&amp;$E85,'Updated SES'!A:N,14,0)</f>
        <v>36.498239999999996</v>
      </c>
      <c r="M85" s="102">
        <f>VLOOKUP($K85,'Genre Penetration'!A:B,2,0)*VLOOKUP($C85&amp;$E85,'Updated SES'!A:I,9,0)</f>
        <v>0.34840000000000004</v>
      </c>
      <c r="N85" s="102">
        <f>VLOOKUP(K:K,'Genre Penetration'!A:C,3,0)*VLOOKUP($C85&amp;$E85,'Updated SES'!A:J,10,0)</f>
        <v>0.15840000000000001</v>
      </c>
      <c r="O85" s="102">
        <v>0.7</v>
      </c>
      <c r="P85" s="103" t="str">
        <f t="shared" ca="1" si="2"/>
        <v>24%</v>
      </c>
      <c r="Q85" s="101">
        <f t="shared" ca="1" si="3"/>
        <v>3.1075477493759998</v>
      </c>
      <c r="R85" s="104">
        <f>VLOOKUP(D:D,ranking!W:X,2,0)</f>
        <v>0.7</v>
      </c>
      <c r="S85" s="59">
        <v>1.9940098058495999</v>
      </c>
    </row>
    <row r="86" spans="1:19" x14ac:dyDescent="0.25">
      <c r="A86" s="46" t="s">
        <v>1057</v>
      </c>
      <c r="B86" s="46" t="s">
        <v>85</v>
      </c>
      <c r="C86" s="46" t="s">
        <v>64</v>
      </c>
      <c r="D86" s="46" t="s">
        <v>434</v>
      </c>
      <c r="E86" s="98" t="s">
        <v>211</v>
      </c>
      <c r="F86" s="98" t="s">
        <v>458</v>
      </c>
      <c r="G86" s="98" t="s">
        <v>1324</v>
      </c>
      <c r="H86" s="98" t="s">
        <v>19</v>
      </c>
      <c r="I86" s="106">
        <v>45893</v>
      </c>
      <c r="J86" s="46">
        <v>5</v>
      </c>
      <c r="K86" s="98" t="s">
        <v>279</v>
      </c>
      <c r="L86" s="101">
        <f>VLOOKUP($C86&amp;$E86,'Updated SES'!A:N,14,0)</f>
        <v>36.498239999999996</v>
      </c>
      <c r="M86" s="102">
        <f>VLOOKUP($K86,'Genre Penetration'!A:B,2,0)*VLOOKUP($C86&amp;$E86,'Updated SES'!A:I,9,0)</f>
        <v>0.23400000000000001</v>
      </c>
      <c r="N86" s="102">
        <f>VLOOKUP(K:K,'Genre Penetration'!A:C,3,0)*VLOOKUP($C86&amp;$E86,'Updated SES'!A:J,10,0)</f>
        <v>0.26400000000000001</v>
      </c>
      <c r="O86" s="102" t="e">
        <f>VLOOKUP($B86,'Language Penetration'!$B$1:$AY$14,MATCH('Compile data Working'!#REF!,'Language Penetration'!$B$1:$AY$1,0),0)</f>
        <v>#REF!</v>
      </c>
      <c r="P86" s="103" t="str">
        <f t="shared" ca="1" si="2"/>
        <v>18%</v>
      </c>
      <c r="Q86" s="101" t="e">
        <f t="shared" ca="1" si="3"/>
        <v>#REF!</v>
      </c>
      <c r="R86" s="104">
        <f>VLOOKUP(D:D,ranking!W:X,2,0)</f>
        <v>0.7</v>
      </c>
      <c r="S86" s="59">
        <v>1.2214355005439996</v>
      </c>
    </row>
    <row r="87" spans="1:19" x14ac:dyDescent="0.25">
      <c r="A87" s="46" t="s">
        <v>1057</v>
      </c>
      <c r="B87" s="46" t="s">
        <v>85</v>
      </c>
      <c r="C87" s="46" t="s">
        <v>64</v>
      </c>
      <c r="D87" s="46" t="s">
        <v>434</v>
      </c>
      <c r="E87" s="98" t="s">
        <v>211</v>
      </c>
      <c r="F87" s="98" t="s">
        <v>458</v>
      </c>
      <c r="G87" s="98" t="s">
        <v>1434</v>
      </c>
      <c r="H87" s="46" t="s">
        <v>19</v>
      </c>
      <c r="I87" s="106">
        <v>45905</v>
      </c>
      <c r="J87" s="46">
        <v>6</v>
      </c>
      <c r="K87" s="98" t="s">
        <v>983</v>
      </c>
      <c r="L87" s="101">
        <f>VLOOKUP($C87&amp;$E87,'Updated SES'!A:N,14,0)</f>
        <v>36.498239999999996</v>
      </c>
      <c r="M87" s="102">
        <f>VLOOKUP($K87,'Genre Penetration'!A:B,2,0)*VLOOKUP($C87&amp;$E87,'Updated SES'!A:I,9,0)</f>
        <v>0.312</v>
      </c>
      <c r="N87" s="102">
        <f>VLOOKUP(K:K,'Genre Penetration'!A:C,3,0)*VLOOKUP($C87&amp;$E87,'Updated SES'!A:J,10,0)</f>
        <v>0.192</v>
      </c>
      <c r="O87" s="102" t="e">
        <f>VLOOKUP($B87,'Language Penetration'!$B$1:$AY$14,MATCH('Compile data Working'!#REF!,'Language Penetration'!$B$1:$AY$1,0),0)</f>
        <v>#REF!</v>
      </c>
      <c r="P87" s="103" t="str">
        <f t="shared" ca="1" si="2"/>
        <v>15%</v>
      </c>
      <c r="Q87" s="101" t="e">
        <f t="shared" ca="1" si="3"/>
        <v>#REF!</v>
      </c>
      <c r="R87" s="104">
        <f>VLOOKUP(D:D,ranking!W:X,2,0)</f>
        <v>0.7</v>
      </c>
      <c r="S87" s="59">
        <v>0.77259474431999997</v>
      </c>
    </row>
    <row r="88" spans="1:19" x14ac:dyDescent="0.25">
      <c r="A88" s="46" t="s">
        <v>1057</v>
      </c>
      <c r="B88" s="46" t="s">
        <v>85</v>
      </c>
      <c r="C88" s="46" t="s">
        <v>64</v>
      </c>
      <c r="D88" s="46" t="s">
        <v>434</v>
      </c>
      <c r="E88" s="98" t="s">
        <v>211</v>
      </c>
      <c r="F88" s="100" t="s">
        <v>458</v>
      </c>
      <c r="G88" s="98" t="s">
        <v>1533</v>
      </c>
      <c r="H88" s="100" t="s">
        <v>77</v>
      </c>
      <c r="I88" s="53">
        <v>45898</v>
      </c>
      <c r="J88" s="46">
        <v>7</v>
      </c>
      <c r="K88" s="100" t="s">
        <v>1143</v>
      </c>
      <c r="L88" s="101">
        <f>VLOOKUP($C88&amp;$E88,'Updated SES'!A:N,14,0)</f>
        <v>36.498239999999996</v>
      </c>
      <c r="M88" s="102">
        <f>VLOOKUP($K88,'Genre Penetration'!A:B,2,0)*VLOOKUP($C88&amp;$E88,'Updated SES'!A:I,9,0)</f>
        <v>0.30159999999999998</v>
      </c>
      <c r="N88" s="102">
        <f>VLOOKUP(K:K,'Genre Penetration'!A:C,3,0)*VLOOKUP($C88&amp;$E88,'Updated SES'!A:J,10,0)</f>
        <v>0.20159999999999997</v>
      </c>
      <c r="O88" s="102">
        <v>0.5</v>
      </c>
      <c r="P88" s="103" t="str">
        <f t="shared" ca="1" si="2"/>
        <v>9%</v>
      </c>
      <c r="Q88" s="101">
        <f t="shared" ca="1" si="3"/>
        <v>0.82646614655999995</v>
      </c>
      <c r="R88" s="104">
        <f>VLOOKUP(D:D,ranking!W:X,2,0)</f>
        <v>0.7</v>
      </c>
      <c r="S88" s="59">
        <v>0.64280700287999992</v>
      </c>
    </row>
    <row r="89" spans="1:19" x14ac:dyDescent="0.25">
      <c r="A89" s="46" t="s">
        <v>1057</v>
      </c>
      <c r="B89" s="46" t="s">
        <v>85</v>
      </c>
      <c r="C89" s="46" t="s">
        <v>64</v>
      </c>
      <c r="D89" s="46" t="s">
        <v>434</v>
      </c>
      <c r="E89" s="98" t="s">
        <v>211</v>
      </c>
      <c r="F89" s="98" t="s">
        <v>458</v>
      </c>
      <c r="G89" s="98" t="s">
        <v>1634</v>
      </c>
      <c r="H89" s="98" t="s">
        <v>19</v>
      </c>
      <c r="I89" s="53">
        <v>45975</v>
      </c>
      <c r="J89" s="46">
        <v>8</v>
      </c>
      <c r="K89" s="98" t="s">
        <v>216</v>
      </c>
      <c r="L89" s="101">
        <f>VLOOKUP($C89&amp;$E89,'Updated SES'!A:N,14,0)</f>
        <v>36.498239999999996</v>
      </c>
      <c r="M89" s="102">
        <f>VLOOKUP($K89,'Genre Penetration'!A:B,2,0)*VLOOKUP($C89&amp;$E89,'Updated SES'!A:I,9,0)</f>
        <v>0.26</v>
      </c>
      <c r="N89" s="102">
        <f>VLOOKUP(K:K,'Genre Penetration'!A:C,3,0)*VLOOKUP($C89&amp;$E89,'Updated SES'!A:J,10,0)</f>
        <v>0.24</v>
      </c>
      <c r="O89" s="102" t="e">
        <f>VLOOKUP($B89,'Language Penetration'!$B$1:$AY$14,MATCH('Compile data Working'!#REF!,'Language Penetration'!$B$1:$AY$1,0),0)</f>
        <v>#REF!</v>
      </c>
      <c r="P89" s="103" t="str">
        <f t="shared" ca="1" si="2"/>
        <v>8%</v>
      </c>
      <c r="Q89" s="101" t="e">
        <f t="shared" ca="1" si="3"/>
        <v>#REF!</v>
      </c>
      <c r="R89" s="104">
        <f>VLOOKUP(D:D,ranking!W:X,2,0)</f>
        <v>0.7</v>
      </c>
      <c r="S89" s="59">
        <v>0.61317043199999988</v>
      </c>
    </row>
    <row r="90" spans="1:19" x14ac:dyDescent="0.25">
      <c r="A90" s="46" t="s">
        <v>1057</v>
      </c>
      <c r="B90" s="46" t="s">
        <v>85</v>
      </c>
      <c r="C90" s="46" t="s">
        <v>64</v>
      </c>
      <c r="D90" s="46" t="s">
        <v>434</v>
      </c>
      <c r="E90" s="98" t="s">
        <v>211</v>
      </c>
      <c r="F90" s="98" t="s">
        <v>458</v>
      </c>
      <c r="G90" s="98" t="s">
        <v>1657</v>
      </c>
      <c r="H90" s="98" t="s">
        <v>1058</v>
      </c>
      <c r="I90" s="46" t="s">
        <v>254</v>
      </c>
      <c r="J90" s="46">
        <v>9</v>
      </c>
      <c r="K90" s="98" t="s">
        <v>1748</v>
      </c>
      <c r="L90" s="101">
        <f>VLOOKUP($C90&amp;$E90,'Updated SES'!A:N,14,0)</f>
        <v>36.498239999999996</v>
      </c>
      <c r="M90" s="102">
        <f>VLOOKUP($K90,'Genre Penetration'!A:B,2,0)*VLOOKUP($C90&amp;$E90,'Updated SES'!A:I,9,0)</f>
        <v>0.27300000000000002</v>
      </c>
      <c r="N90" s="102">
        <f>VLOOKUP(K:K,'Genre Penetration'!A:C,3,0)*VLOOKUP($C90&amp;$E90,'Updated SES'!A:J,10,0)</f>
        <v>0.22799999999999998</v>
      </c>
      <c r="O90" s="102">
        <v>0.7</v>
      </c>
      <c r="P90" s="103" t="str">
        <f t="shared" ca="1" si="2"/>
        <v>6%</v>
      </c>
      <c r="Q90" s="101">
        <f t="shared" ca="1" si="3"/>
        <v>0.76799596607999987</v>
      </c>
      <c r="R90" s="104">
        <f>VLOOKUP(D:D,ranking!W:X,2,0)</f>
        <v>0.7</v>
      </c>
      <c r="S90" s="59">
        <v>0.5375971762559999</v>
      </c>
    </row>
    <row r="91" spans="1:19" x14ac:dyDescent="0.25">
      <c r="A91" s="46" t="s">
        <v>1057</v>
      </c>
      <c r="B91" s="46" t="s">
        <v>85</v>
      </c>
      <c r="C91" s="46" t="s">
        <v>64</v>
      </c>
      <c r="D91" s="46" t="s">
        <v>434</v>
      </c>
      <c r="E91" s="98" t="s">
        <v>211</v>
      </c>
      <c r="F91" s="98" t="s">
        <v>458</v>
      </c>
      <c r="G91" s="98" t="s">
        <v>1658</v>
      </c>
      <c r="H91" s="98" t="s">
        <v>26</v>
      </c>
      <c r="I91" s="53">
        <v>45975</v>
      </c>
      <c r="J91" s="46">
        <v>10</v>
      </c>
      <c r="K91" s="98" t="s">
        <v>78</v>
      </c>
      <c r="L91" s="101">
        <f>VLOOKUP($C91&amp;$E91,'Updated SES'!A:N,14,0)</f>
        <v>36.498239999999996</v>
      </c>
      <c r="M91" s="102">
        <f>VLOOKUP($K91,'Genre Penetration'!A:B,2,0)*VLOOKUP($C91&amp;$E91,'Updated SES'!A:I,9,0)</f>
        <v>0.24959999999999999</v>
      </c>
      <c r="N91" s="102">
        <f>VLOOKUP(K:K,'Genre Penetration'!A:C,3,0)*VLOOKUP($C91&amp;$E91,'Updated SES'!A:J,10,0)</f>
        <v>0.24959999999999999</v>
      </c>
      <c r="O91" s="102" t="e">
        <f>VLOOKUP($B91,'Language Penetration'!$B$1:$AY$14,MATCH('Compile data Working'!$H35,'Language Penetration'!$B$1:$AY$1,0),0)</f>
        <v>#N/A</v>
      </c>
      <c r="P91" s="103" t="str">
        <f t="shared" ca="1" si="2"/>
        <v>2%</v>
      </c>
      <c r="Q91" s="101" t="e">
        <f t="shared" ca="1" si="3"/>
        <v>#N/A</v>
      </c>
      <c r="R91" s="104">
        <f>VLOOKUP(D:D,ranking!W:X,2,0)</f>
        <v>0.7</v>
      </c>
      <c r="S91" s="59">
        <v>1.7855522979839996E-2</v>
      </c>
    </row>
    <row r="92" spans="1:19" x14ac:dyDescent="0.25">
      <c r="A92" s="46" t="s">
        <v>1057</v>
      </c>
      <c r="B92" s="46" t="s">
        <v>85</v>
      </c>
      <c r="C92" s="46" t="s">
        <v>64</v>
      </c>
      <c r="D92" s="46" t="s">
        <v>434</v>
      </c>
      <c r="E92" s="98" t="s">
        <v>233</v>
      </c>
      <c r="F92" s="98" t="s">
        <v>458</v>
      </c>
      <c r="G92" s="98" t="s">
        <v>1458</v>
      </c>
      <c r="H92" s="98" t="s">
        <v>315</v>
      </c>
      <c r="I92" s="106">
        <v>45905</v>
      </c>
      <c r="J92" s="98">
        <v>1</v>
      </c>
      <c r="K92" s="98" t="s">
        <v>1467</v>
      </c>
      <c r="L92" s="101">
        <f>VLOOKUP($C92&amp;$E92,'Updated SES'!A:N,14,0)</f>
        <v>4.6890000000000001</v>
      </c>
      <c r="M92" s="102">
        <f>VLOOKUP($K92,'Genre Penetration'!A:B,2,0)*VLOOKUP($C92&amp;$E92,'Updated SES'!A:I,9,0)</f>
        <v>0.40800000000000003</v>
      </c>
      <c r="N92" s="102">
        <f>VLOOKUP(K:K,'Genre Penetration'!A:C,3,0)*VLOOKUP($C92&amp;$E92,'Updated SES'!A:J,10,0)</f>
        <v>0.128</v>
      </c>
      <c r="O92" s="102" t="e">
        <f>VLOOKUP($B92,'Language Penetration'!$B$1:$AY$14,MATCH('Compile data Working'!$H36,'Language Penetration'!$B$1:$AY$1,0),0)</f>
        <v>#N/A</v>
      </c>
      <c r="P92" s="103" t="str">
        <f t="shared" ca="1" si="2"/>
        <v>36%</v>
      </c>
      <c r="Q92" s="101" t="e">
        <f t="shared" ca="1" si="3"/>
        <v>#N/A</v>
      </c>
      <c r="R92" s="104">
        <f>VLOOKUP(D:D,ranking!W:X,2,0)</f>
        <v>0.7</v>
      </c>
      <c r="S92" s="59">
        <v>0.10291979880000002</v>
      </c>
    </row>
    <row r="93" spans="1:19" x14ac:dyDescent="0.25">
      <c r="A93" s="46" t="s">
        <v>1057</v>
      </c>
      <c r="B93" s="46" t="s">
        <v>85</v>
      </c>
      <c r="C93" s="46" t="s">
        <v>64</v>
      </c>
      <c r="D93" s="46" t="s">
        <v>434</v>
      </c>
      <c r="E93" s="98" t="s">
        <v>233</v>
      </c>
      <c r="F93" s="98" t="s">
        <v>458</v>
      </c>
      <c r="G93" s="98" t="s">
        <v>1123</v>
      </c>
      <c r="H93" s="98" t="s">
        <v>21</v>
      </c>
      <c r="I93" s="106">
        <v>45874</v>
      </c>
      <c r="J93" s="98">
        <v>2</v>
      </c>
      <c r="K93" s="98" t="s">
        <v>983</v>
      </c>
      <c r="L93" s="101">
        <f>VLOOKUP($C93&amp;$E93,'Updated SES'!A:N,14,0)</f>
        <v>4.6890000000000001</v>
      </c>
      <c r="M93" s="102">
        <f>VLOOKUP($K93,'Genre Penetration'!A:B,2,0)*VLOOKUP($C93&amp;$E93,'Updated SES'!A:I,9,0)</f>
        <v>0.40800000000000003</v>
      </c>
      <c r="N93" s="102">
        <f>VLOOKUP(K:K,'Genre Penetration'!A:C,3,0)*VLOOKUP($C93&amp;$E93,'Updated SES'!A:J,10,0)</f>
        <v>0.128</v>
      </c>
      <c r="O93" s="102">
        <f>VLOOKUP($B93,'Language Penetration'!$B$1:$AY$14,MATCH('Compile data Working'!$H37,'Language Penetration'!$B$1:$AY$1,0),0)</f>
        <v>0.2</v>
      </c>
      <c r="P93" s="103" t="str">
        <f t="shared" ca="1" si="2"/>
        <v>33%</v>
      </c>
      <c r="Q93" s="101">
        <f t="shared" ca="1" si="3"/>
        <v>0.16587806400000002</v>
      </c>
      <c r="R93" s="104">
        <f>VLOOKUP(D:D,ranking!W:X,2,0)</f>
        <v>0.7</v>
      </c>
      <c r="S93" s="59">
        <v>0.21111753599999999</v>
      </c>
    </row>
    <row r="94" spans="1:19" x14ac:dyDescent="0.25">
      <c r="A94" s="46" t="s">
        <v>1057</v>
      </c>
      <c r="B94" s="46" t="s">
        <v>85</v>
      </c>
      <c r="C94" s="46" t="s">
        <v>64</v>
      </c>
      <c r="D94" s="46" t="s">
        <v>434</v>
      </c>
      <c r="E94" s="98" t="s">
        <v>233</v>
      </c>
      <c r="F94" s="98" t="s">
        <v>458</v>
      </c>
      <c r="G94" s="98" t="s">
        <v>1308</v>
      </c>
      <c r="H94" s="98" t="s">
        <v>21</v>
      </c>
      <c r="I94" s="106">
        <v>45934</v>
      </c>
      <c r="J94" s="98">
        <v>3</v>
      </c>
      <c r="K94" s="98" t="s">
        <v>80</v>
      </c>
      <c r="L94" s="101">
        <f>VLOOKUP($C94&amp;$E94,'Updated SES'!A:N,14,0)</f>
        <v>4.6890000000000001</v>
      </c>
      <c r="M94" s="102">
        <f>VLOOKUP($K94,'Genre Penetration'!A:B,2,0)*VLOOKUP($C94&amp;$E94,'Updated SES'!A:I,9,0)</f>
        <v>0.45560000000000006</v>
      </c>
      <c r="N94" s="102">
        <f>VLOOKUP(K:K,'Genre Penetration'!A:C,3,0)*VLOOKUP($C94&amp;$E94,'Updated SES'!A:J,10,0)</f>
        <v>0.10560000000000001</v>
      </c>
      <c r="O94" s="102">
        <f>VLOOKUP($B94,'Language Penetration'!$B$1:$AY$14,MATCH('Compile data Working'!$H38,'Language Penetration'!$B$1:$AY$1,0),0)</f>
        <v>0.6</v>
      </c>
      <c r="P94" s="103" t="str">
        <f t="shared" ca="1" si="2"/>
        <v>29%</v>
      </c>
      <c r="Q94" s="101">
        <f t="shared" ca="1" si="3"/>
        <v>0.45787522319999996</v>
      </c>
      <c r="R94" s="104">
        <f>VLOOKUP(D:D,ranking!W:X,2,0)</f>
        <v>0.7</v>
      </c>
      <c r="S94" s="59">
        <v>0.20630699712</v>
      </c>
    </row>
    <row r="95" spans="1:19" x14ac:dyDescent="0.25">
      <c r="A95" s="46" t="s">
        <v>1057</v>
      </c>
      <c r="B95" s="46" t="s">
        <v>85</v>
      </c>
      <c r="C95" s="46" t="s">
        <v>64</v>
      </c>
      <c r="D95" s="46" t="s">
        <v>434</v>
      </c>
      <c r="E95" s="98" t="s">
        <v>233</v>
      </c>
      <c r="F95" s="98" t="s">
        <v>458</v>
      </c>
      <c r="G95" s="98" t="s">
        <v>1554</v>
      </c>
      <c r="H95" s="98" t="s">
        <v>20</v>
      </c>
      <c r="I95" s="106">
        <v>45919</v>
      </c>
      <c r="J95" s="98">
        <v>4</v>
      </c>
      <c r="K95" s="98" t="s">
        <v>1143</v>
      </c>
      <c r="L95" s="101">
        <f>VLOOKUP($C95&amp;$E95,'Updated SES'!A:N,14,0)</f>
        <v>4.6890000000000001</v>
      </c>
      <c r="M95" s="102">
        <f>VLOOKUP($K95,'Genre Penetration'!A:B,2,0)*VLOOKUP($C95&amp;$E95,'Updated SES'!A:I,9,0)</f>
        <v>0.39440000000000003</v>
      </c>
      <c r="N95" s="102">
        <f>VLOOKUP(K:K,'Genre Penetration'!A:C,3,0)*VLOOKUP($C95&amp;$E95,'Updated SES'!A:J,10,0)</f>
        <v>0.13439999999999999</v>
      </c>
      <c r="O95" s="102" t="e">
        <f>VLOOKUP($B95,'Language Penetration'!$B$1:$AY$14,MATCH('Compile data Working'!$H39,'Language Penetration'!$B$1:$AY$1,0),0)</f>
        <v>#N/A</v>
      </c>
      <c r="P95" s="103" t="str">
        <f t="shared" ca="1" si="2"/>
        <v>24%</v>
      </c>
      <c r="Q95" s="101" t="e">
        <f t="shared" ca="1" si="3"/>
        <v>#N/A</v>
      </c>
      <c r="R95" s="104">
        <f>VLOOKUP(D:D,ranking!W:X,2,0)</f>
        <v>0.7</v>
      </c>
      <c r="S95" s="59">
        <v>7.6369930560000007E-2</v>
      </c>
    </row>
    <row r="96" spans="1:19" x14ac:dyDescent="0.25">
      <c r="A96" s="46" t="s">
        <v>1057</v>
      </c>
      <c r="B96" s="46" t="s">
        <v>85</v>
      </c>
      <c r="C96" s="46" t="s">
        <v>64</v>
      </c>
      <c r="D96" s="46" t="s">
        <v>434</v>
      </c>
      <c r="E96" s="98" t="s">
        <v>233</v>
      </c>
      <c r="F96" s="100" t="s">
        <v>458</v>
      </c>
      <c r="G96" s="98" t="s">
        <v>1035</v>
      </c>
      <c r="H96" s="98" t="s">
        <v>21</v>
      </c>
      <c r="I96" s="106">
        <v>45888</v>
      </c>
      <c r="J96" s="98">
        <v>5</v>
      </c>
      <c r="K96" s="100" t="s">
        <v>381</v>
      </c>
      <c r="L96" s="101">
        <f>VLOOKUP($C96&amp;$E96,'Updated SES'!A:N,14,0)</f>
        <v>4.6890000000000001</v>
      </c>
      <c r="M96" s="102">
        <f>VLOOKUP($K96,'Genre Penetration'!A:B,2,0)*VLOOKUP($C96&amp;$E96,'Updated SES'!A:I,9,0)</f>
        <v>0.37400000000000005</v>
      </c>
      <c r="N96" s="102">
        <f>VLOOKUP(K:K,'Genre Penetration'!A:C,3,0)*VLOOKUP($C96&amp;$E96,'Updated SES'!A:J,10,0)</f>
        <v>0.14400000000000002</v>
      </c>
      <c r="O96" s="102" t="e">
        <f>VLOOKUP($B96,'Language Penetration'!$B$1:$AY$14,MATCH('Compile data Working'!#REF!,'Language Penetration'!$B$1:$AY$1,0),0)</f>
        <v>#REF!</v>
      </c>
      <c r="P96" s="103" t="str">
        <f t="shared" ca="1" si="2"/>
        <v>20%</v>
      </c>
      <c r="Q96" s="101" t="e">
        <f t="shared" ca="1" si="3"/>
        <v>#REF!</v>
      </c>
      <c r="R96" s="104">
        <f>VLOOKUP(D:D,ranking!W:X,2,0)</f>
        <v>0.7</v>
      </c>
      <c r="S96" s="59">
        <v>0.10201388399999999</v>
      </c>
    </row>
    <row r="97" spans="1:19" x14ac:dyDescent="0.25">
      <c r="A97" s="46" t="s">
        <v>1057</v>
      </c>
      <c r="B97" s="46" t="s">
        <v>85</v>
      </c>
      <c r="C97" s="46" t="s">
        <v>64</v>
      </c>
      <c r="D97" s="46" t="s">
        <v>434</v>
      </c>
      <c r="E97" s="98" t="s">
        <v>233</v>
      </c>
      <c r="F97" s="98" t="s">
        <v>458</v>
      </c>
      <c r="G97" s="98" t="s">
        <v>1305</v>
      </c>
      <c r="H97" s="98" t="s">
        <v>21</v>
      </c>
      <c r="I97" s="106">
        <v>45884</v>
      </c>
      <c r="J97" s="98">
        <v>6</v>
      </c>
      <c r="K97" s="46" t="s">
        <v>381</v>
      </c>
      <c r="L97" s="101">
        <f>VLOOKUP($C97&amp;$E97,'Updated SES'!A:N,14,0)</f>
        <v>4.6890000000000001</v>
      </c>
      <c r="M97" s="102">
        <f>VLOOKUP($K97,'Genre Penetration'!A:B,2,0)*VLOOKUP($C97&amp;$E97,'Updated SES'!A:I,9,0)</f>
        <v>0.37400000000000005</v>
      </c>
      <c r="N97" s="102">
        <f>VLOOKUP(K:K,'Genre Penetration'!A:C,3,0)*VLOOKUP($C97&amp;$E97,'Updated SES'!A:J,10,0)</f>
        <v>0.14400000000000002</v>
      </c>
      <c r="O97" s="102">
        <f>VLOOKUP($B97,'Language Penetration'!$B$1:$AY$14,MATCH('Compile data Working'!$H40,'Language Penetration'!$B$1:$AY$1,0),0)</f>
        <v>0.6</v>
      </c>
      <c r="P97" s="103" t="str">
        <f t="shared" ca="1" si="2"/>
        <v>14%</v>
      </c>
      <c r="Q97" s="101">
        <f t="shared" ca="1" si="3"/>
        <v>0.204027768</v>
      </c>
      <c r="R97" s="104">
        <f>VLOOKUP(D:D,ranking!W:X,2,0)</f>
        <v>0.7</v>
      </c>
      <c r="S97" s="59">
        <v>9.5212958400000006E-2</v>
      </c>
    </row>
    <row r="98" spans="1:19" x14ac:dyDescent="0.25">
      <c r="A98" s="46" t="s">
        <v>1057</v>
      </c>
      <c r="B98" s="46" t="s">
        <v>85</v>
      </c>
      <c r="C98" s="46" t="s">
        <v>64</v>
      </c>
      <c r="D98" s="46" t="s">
        <v>434</v>
      </c>
      <c r="E98" s="98" t="s">
        <v>233</v>
      </c>
      <c r="F98" s="98" t="s">
        <v>458</v>
      </c>
      <c r="G98" s="98" t="s">
        <v>1635</v>
      </c>
      <c r="H98" s="98" t="s">
        <v>20</v>
      </c>
      <c r="I98" s="53">
        <v>45975</v>
      </c>
      <c r="J98" s="98">
        <v>7</v>
      </c>
      <c r="K98" s="98" t="s">
        <v>92</v>
      </c>
      <c r="L98" s="101">
        <f>VLOOKUP($C98&amp;$E98,'Updated SES'!A:N,14,0)</f>
        <v>4.6890000000000001</v>
      </c>
      <c r="M98" s="102">
        <f>VLOOKUP($K98,'Genre Penetration'!A:B,2,0)*VLOOKUP($C98&amp;$E98,'Updated SES'!A:I,9,0)</f>
        <v>0.36040000000000005</v>
      </c>
      <c r="N98" s="102">
        <f>VLOOKUP(K:K,'Genre Penetration'!A:C,3,0)*VLOOKUP($C98&amp;$E98,'Updated SES'!A:J,10,0)</f>
        <v>0.15040000000000001</v>
      </c>
      <c r="O98" s="102" t="e">
        <f>VLOOKUP($B98,'Language Penetration'!$B$1:$AY$14,MATCH('Compile data Working'!#REF!,'Language Penetration'!$B$1:$AY$1,0),0)</f>
        <v>#REF!</v>
      </c>
      <c r="P98" s="103" t="str">
        <f t="shared" ca="1" si="2"/>
        <v>9%</v>
      </c>
      <c r="Q98" s="101" t="e">
        <f t="shared" ca="1" si="3"/>
        <v>#REF!</v>
      </c>
      <c r="R98" s="104">
        <f>VLOOKUP(D:D,ranking!W:X,2,0)</f>
        <v>0.7</v>
      </c>
      <c r="S98" s="59">
        <v>2.6825581440000003E-2</v>
      </c>
    </row>
    <row r="99" spans="1:19" x14ac:dyDescent="0.25">
      <c r="A99" s="46" t="s">
        <v>1057</v>
      </c>
      <c r="B99" s="46" t="s">
        <v>85</v>
      </c>
      <c r="C99" s="46" t="s">
        <v>64</v>
      </c>
      <c r="D99" s="46" t="s">
        <v>434</v>
      </c>
      <c r="E99" s="98" t="s">
        <v>233</v>
      </c>
      <c r="F99" s="98" t="s">
        <v>458</v>
      </c>
      <c r="G99" s="98" t="s">
        <v>1659</v>
      </c>
      <c r="H99" s="98" t="s">
        <v>29</v>
      </c>
      <c r="I99" s="53">
        <v>45975</v>
      </c>
      <c r="J99" s="98">
        <v>8</v>
      </c>
      <c r="K99" s="98" t="s">
        <v>145</v>
      </c>
      <c r="L99" s="101">
        <f>VLOOKUP($C99&amp;$E99,'Updated SES'!A:N,14,0)</f>
        <v>4.6890000000000001</v>
      </c>
      <c r="M99" s="102">
        <f>VLOOKUP($K99,'Genre Penetration'!A:B,2,0)*VLOOKUP($C99&amp;$E99,'Updated SES'!A:I,9,0)</f>
        <v>0.25159999999999999</v>
      </c>
      <c r="N99" s="102">
        <f>VLOOKUP(K:K,'Genre Penetration'!A:C,3,0)*VLOOKUP($C99&amp;$E99,'Updated SES'!A:J,10,0)</f>
        <v>0.2016</v>
      </c>
      <c r="O99" s="102" t="e">
        <f>VLOOKUP($B99,'Language Penetration'!$B$1:$AY$14,MATCH('Compile data Working'!#REF!,'Language Penetration'!$B$1:$AY$1,0),0)</f>
        <v>#REF!</v>
      </c>
      <c r="P99" s="103" t="str">
        <f t="shared" ca="1" si="2"/>
        <v>7%</v>
      </c>
      <c r="Q99" s="101" t="e">
        <f t="shared" ca="1" si="3"/>
        <v>#REF!</v>
      </c>
      <c r="R99" s="104">
        <f>VLOOKUP(D:D,ranking!W:X,2,0)</f>
        <v>0.7</v>
      </c>
      <c r="S99" s="59">
        <v>1.4280368255999997E-2</v>
      </c>
    </row>
    <row r="100" spans="1:19" x14ac:dyDescent="0.25">
      <c r="A100" s="46" t="s">
        <v>1057</v>
      </c>
      <c r="B100" s="46" t="s">
        <v>85</v>
      </c>
      <c r="C100" s="46" t="s">
        <v>64</v>
      </c>
      <c r="D100" s="46" t="s">
        <v>434</v>
      </c>
      <c r="E100" s="98" t="s">
        <v>233</v>
      </c>
      <c r="F100" s="98" t="s">
        <v>458</v>
      </c>
      <c r="G100" s="98" t="s">
        <v>1343</v>
      </c>
      <c r="H100" s="98" t="s">
        <v>19</v>
      </c>
      <c r="I100" s="106">
        <v>45826</v>
      </c>
      <c r="J100" s="98">
        <v>9</v>
      </c>
      <c r="K100" s="98" t="s">
        <v>124</v>
      </c>
      <c r="L100" s="101">
        <f>VLOOKUP($C100&amp;$E100,'Updated SES'!A:N,14,0)</f>
        <v>4.6890000000000001</v>
      </c>
      <c r="M100" s="102">
        <f>VLOOKUP($K100,'Genre Penetration'!A:B,2,0)*VLOOKUP($C100&amp;$E100,'Updated SES'!A:I,9,0)</f>
        <v>0.30600000000000005</v>
      </c>
      <c r="N100" s="102">
        <f>VLOOKUP(K:K,'Genre Penetration'!A:C,3,0)*VLOOKUP($C100&amp;$E100,'Updated SES'!A:J,10,0)</f>
        <v>0.17600000000000002</v>
      </c>
      <c r="O100" s="102">
        <f>VLOOKUP($B100,'Language Penetration'!$B$1:$AY$14,MATCH('Compile data Working'!$H41,'Language Penetration'!$B$1:$AY$1,0),0)</f>
        <v>0.6</v>
      </c>
      <c r="P100" s="103" t="str">
        <f t="shared" ca="1" si="2"/>
        <v>5%</v>
      </c>
      <c r="Q100" s="101">
        <f t="shared" ca="1" si="3"/>
        <v>6.780294000000002E-2</v>
      </c>
      <c r="R100" s="104">
        <f>VLOOKUP(D:D,ranking!W:X,2,0)</f>
        <v>0.7</v>
      </c>
      <c r="S100" s="59">
        <v>5.6954469600000002E-2</v>
      </c>
    </row>
    <row r="101" spans="1:19" x14ac:dyDescent="0.25">
      <c r="A101" s="46" t="s">
        <v>1057</v>
      </c>
      <c r="B101" s="46" t="s">
        <v>85</v>
      </c>
      <c r="C101" s="46" t="s">
        <v>64</v>
      </c>
      <c r="D101" s="46" t="s">
        <v>434</v>
      </c>
      <c r="E101" s="98" t="s">
        <v>233</v>
      </c>
      <c r="F101" s="98" t="s">
        <v>458</v>
      </c>
      <c r="G101" s="98" t="s">
        <v>1660</v>
      </c>
      <c r="H101" s="98" t="s">
        <v>77</v>
      </c>
      <c r="I101" s="53">
        <v>45540</v>
      </c>
      <c r="J101" s="98">
        <v>10</v>
      </c>
      <c r="K101" s="98" t="s">
        <v>138</v>
      </c>
      <c r="L101" s="101">
        <f>VLOOKUP($C101&amp;$E101,'Updated SES'!A:N,14,0)</f>
        <v>4.6890000000000001</v>
      </c>
      <c r="M101" s="102">
        <f>VLOOKUP($K101,'Genre Penetration'!A:B,2,0)*VLOOKUP($C101&amp;$E101,'Updated SES'!A:I,9,0)</f>
        <v>0.3196</v>
      </c>
      <c r="N101" s="102">
        <f>VLOOKUP(K:K,'Genre Penetration'!A:C,3,0)*VLOOKUP($C101&amp;$E101,'Updated SES'!A:J,10,0)</f>
        <v>0.1696</v>
      </c>
      <c r="O101" s="102">
        <v>0.5</v>
      </c>
      <c r="P101" s="103" t="str">
        <f t="shared" ca="1" si="2"/>
        <v>3%</v>
      </c>
      <c r="Q101" s="101">
        <f t="shared" ca="1" si="3"/>
        <v>3.4407881999999994E-2</v>
      </c>
      <c r="R101" s="104">
        <f>VLOOKUP(D:D,ranking!W:X,2,0)</f>
        <v>0.7</v>
      </c>
      <c r="S101" s="59">
        <v>3.2114023199999994E-2</v>
      </c>
    </row>
    <row r="102" spans="1:19" x14ac:dyDescent="0.25">
      <c r="A102" s="46" t="s">
        <v>1057</v>
      </c>
      <c r="B102" s="46" t="s">
        <v>85</v>
      </c>
      <c r="C102" s="46" t="s">
        <v>64</v>
      </c>
      <c r="D102" s="46" t="s">
        <v>431</v>
      </c>
      <c r="E102" s="98" t="s">
        <v>211</v>
      </c>
      <c r="F102" s="98" t="s">
        <v>457</v>
      </c>
      <c r="G102" s="98" t="s">
        <v>1304</v>
      </c>
      <c r="H102" s="98" t="s">
        <v>19</v>
      </c>
      <c r="I102" s="106">
        <v>45924</v>
      </c>
      <c r="J102" s="98">
        <v>1</v>
      </c>
      <c r="K102" s="98" t="s">
        <v>1296</v>
      </c>
      <c r="L102" s="101">
        <f>VLOOKUP($C102&amp;$E102,'Updated SES'!A:N,14,0)</f>
        <v>36.498239999999996</v>
      </c>
      <c r="M102" s="102">
        <f>VLOOKUP($K102,'Genre Penetration'!A:B,2,0)*VLOOKUP($C102&amp;$E102,'Updated SES'!A:I,9,0)</f>
        <v>0.27040000000000003</v>
      </c>
      <c r="N102" s="102">
        <f>VLOOKUP(K:K,'Genre Penetration'!A:C,3,0)*VLOOKUP($C102&amp;$E102,'Updated SES'!A:J,10,0)</f>
        <v>0.23039999999999999</v>
      </c>
      <c r="O102" s="102" t="e">
        <f>VLOOKUP($B102,'Language Penetration'!$B$1:$AY$14,MATCH('Compile data Working'!#REF!,'Language Penetration'!$B$1:$AY$1,0),0)</f>
        <v>#REF!</v>
      </c>
      <c r="P102" s="103" t="str">
        <f t="shared" ca="1" si="2"/>
        <v>38%</v>
      </c>
      <c r="Q102" s="101" t="e">
        <f t="shared" ca="1" si="3"/>
        <v>#REF!</v>
      </c>
      <c r="R102" s="104">
        <f>VLOOKUP(D:D,ranking!W:X,2,0)</f>
        <v>0.6</v>
      </c>
      <c r="S102" s="59">
        <v>2.5662759303168001</v>
      </c>
    </row>
    <row r="103" spans="1:19" x14ac:dyDescent="0.25">
      <c r="A103" s="46" t="s">
        <v>1057</v>
      </c>
      <c r="B103" s="46" t="s">
        <v>85</v>
      </c>
      <c r="C103" s="46" t="s">
        <v>64</v>
      </c>
      <c r="D103" s="46" t="s">
        <v>431</v>
      </c>
      <c r="E103" s="98" t="s">
        <v>211</v>
      </c>
      <c r="F103" s="98" t="s">
        <v>457</v>
      </c>
      <c r="G103" s="98" t="s">
        <v>1555</v>
      </c>
      <c r="H103" s="98" t="s">
        <v>20</v>
      </c>
      <c r="I103" s="53">
        <v>45968</v>
      </c>
      <c r="J103" s="98">
        <v>2</v>
      </c>
      <c r="K103" s="98" t="s">
        <v>172</v>
      </c>
      <c r="L103" s="101">
        <f>VLOOKUP($C103&amp;$E103,'Updated SES'!A:N,14,0)</f>
        <v>36.498239999999996</v>
      </c>
      <c r="M103" s="102">
        <f>VLOOKUP($K103,'Genre Penetration'!A:B,2,0)*VLOOKUP($C103&amp;$E103,'Updated SES'!A:I,9,0)</f>
        <v>0.20800000000000002</v>
      </c>
      <c r="N103" s="102">
        <f>VLOOKUP(K:K,'Genre Penetration'!A:C,3,0)*VLOOKUP($C103&amp;$E103,'Updated SES'!A:J,10,0)</f>
        <v>0.28799999999999998</v>
      </c>
      <c r="O103" s="102" t="e">
        <f>VLOOKUP($B103,'Language Penetration'!$B$1:$AY$14,MATCH('Compile data Working'!#REF!,'Language Penetration'!$B$1:$AY$1,0),0)</f>
        <v>#REF!</v>
      </c>
      <c r="P103" s="103" t="str">
        <f t="shared" ca="1" si="2"/>
        <v>30%</v>
      </c>
      <c r="Q103" s="101" t="e">
        <f t="shared" ca="1" si="3"/>
        <v>#REF!</v>
      </c>
      <c r="R103" s="104">
        <f>VLOOKUP(D:D,ranking!W:X,2,0)</f>
        <v>0.6</v>
      </c>
      <c r="S103" s="59">
        <v>0.76033133567999978</v>
      </c>
    </row>
    <row r="104" spans="1:19" x14ac:dyDescent="0.25">
      <c r="A104" s="46" t="s">
        <v>1057</v>
      </c>
      <c r="B104" s="46" t="s">
        <v>85</v>
      </c>
      <c r="C104" s="46" t="s">
        <v>64</v>
      </c>
      <c r="D104" s="46" t="s">
        <v>431</v>
      </c>
      <c r="E104" s="98" t="s">
        <v>211</v>
      </c>
      <c r="F104" s="98" t="s">
        <v>457</v>
      </c>
      <c r="G104" s="98" t="s">
        <v>1488</v>
      </c>
      <c r="H104" s="98" t="s">
        <v>19</v>
      </c>
      <c r="I104" s="106">
        <v>44351</v>
      </c>
      <c r="J104" s="98">
        <v>3</v>
      </c>
      <c r="K104" s="98" t="s">
        <v>92</v>
      </c>
      <c r="L104" s="101">
        <f>VLOOKUP($C104&amp;$E104,'Updated SES'!A:N,14,0)</f>
        <v>36.498239999999996</v>
      </c>
      <c r="M104" s="102">
        <f>VLOOKUP($K104,'Genre Penetration'!A:B,2,0)*VLOOKUP($C104&amp;$E104,'Updated SES'!A:I,9,0)</f>
        <v>0.27560000000000001</v>
      </c>
      <c r="N104" s="102">
        <f>VLOOKUP(K:K,'Genre Penetration'!A:C,3,0)*VLOOKUP($C104&amp;$E104,'Updated SES'!A:J,10,0)</f>
        <v>0.22559999999999997</v>
      </c>
      <c r="O104" s="102" t="e">
        <f>VLOOKUP($B104,'Language Penetration'!$B$1:$AY$14,MATCH('Compile data Working'!#REF!,'Language Penetration'!$B$1:$AY$1,0),0)</f>
        <v>#REF!</v>
      </c>
      <c r="P104" s="103" t="str">
        <f t="shared" ca="1" si="2"/>
        <v>27%</v>
      </c>
      <c r="Q104" s="101" t="e">
        <f t="shared" ca="1" si="3"/>
        <v>#REF!</v>
      </c>
      <c r="R104" s="104">
        <f>VLOOKUP(D:D,ranking!W:X,2,0)</f>
        <v>0.6</v>
      </c>
      <c r="S104" s="59">
        <v>1.8439261231103996</v>
      </c>
    </row>
    <row r="105" spans="1:19" x14ac:dyDescent="0.25">
      <c r="A105" s="46" t="s">
        <v>1057</v>
      </c>
      <c r="B105" s="46" t="s">
        <v>85</v>
      </c>
      <c r="C105" s="46" t="s">
        <v>64</v>
      </c>
      <c r="D105" s="46" t="s">
        <v>431</v>
      </c>
      <c r="E105" s="98" t="s">
        <v>211</v>
      </c>
      <c r="F105" s="98" t="s">
        <v>457</v>
      </c>
      <c r="G105" s="98" t="s">
        <v>1031</v>
      </c>
      <c r="H105" s="98" t="s">
        <v>19</v>
      </c>
      <c r="I105" s="106">
        <v>45832</v>
      </c>
      <c r="J105" s="98">
        <v>4</v>
      </c>
      <c r="K105" s="46" t="s">
        <v>138</v>
      </c>
      <c r="L105" s="101">
        <f>VLOOKUP($C105&amp;$E105,'Updated SES'!A:N,14,0)</f>
        <v>36.498239999999996</v>
      </c>
      <c r="M105" s="102">
        <f>VLOOKUP($K105,'Genre Penetration'!A:B,2,0)*VLOOKUP($C105&amp;$E105,'Updated SES'!A:I,9,0)</f>
        <v>0.24440000000000001</v>
      </c>
      <c r="N105" s="102">
        <f>VLOOKUP(K:K,'Genre Penetration'!A:C,3,0)*VLOOKUP($C105&amp;$E105,'Updated SES'!A:J,10,0)</f>
        <v>0.25440000000000002</v>
      </c>
      <c r="O105" s="102">
        <f>VLOOKUP($B105,'Language Penetration'!$B$1:$AY$14,MATCH('Compile data Working'!$H43,'Language Penetration'!$B$1:$AY$1,0),0)</f>
        <v>0.15</v>
      </c>
      <c r="P105" s="103" t="str">
        <f t="shared" ca="1" si="2"/>
        <v>25%</v>
      </c>
      <c r="Q105" s="101">
        <f t="shared" ca="1" si="3"/>
        <v>0.68269957919999991</v>
      </c>
      <c r="R105" s="104">
        <f>VLOOKUP(D:D,ranking!W:X,2,0)</f>
        <v>0.6</v>
      </c>
      <c r="S105" s="59">
        <v>1.3107831920639998</v>
      </c>
    </row>
    <row r="106" spans="1:19" x14ac:dyDescent="0.25">
      <c r="A106" s="46" t="s">
        <v>1057</v>
      </c>
      <c r="B106" s="46" t="s">
        <v>85</v>
      </c>
      <c r="C106" s="46" t="s">
        <v>64</v>
      </c>
      <c r="D106" s="46" t="s">
        <v>431</v>
      </c>
      <c r="E106" s="98" t="s">
        <v>211</v>
      </c>
      <c r="F106" s="98" t="s">
        <v>457</v>
      </c>
      <c r="G106" s="98" t="s">
        <v>1556</v>
      </c>
      <c r="H106" s="98" t="s">
        <v>20</v>
      </c>
      <c r="I106" s="106">
        <v>45854</v>
      </c>
      <c r="J106" s="98">
        <v>5</v>
      </c>
      <c r="K106" s="46" t="s">
        <v>172</v>
      </c>
      <c r="L106" s="101">
        <f>VLOOKUP($C106&amp;$E106,'Updated SES'!A:N,14,0)</f>
        <v>36.498239999999996</v>
      </c>
      <c r="M106" s="102">
        <f>VLOOKUP($K106,'Genre Penetration'!A:B,2,0)*VLOOKUP($C106&amp;$E106,'Updated SES'!A:I,9,0)</f>
        <v>0.20800000000000002</v>
      </c>
      <c r="N106" s="102">
        <f>VLOOKUP(K:K,'Genre Penetration'!A:C,3,0)*VLOOKUP($C106&amp;$E106,'Updated SES'!A:J,10,0)</f>
        <v>0.28799999999999998</v>
      </c>
      <c r="O106" s="102" t="e">
        <f>VLOOKUP($B106,'Language Penetration'!$B$1:$AY$14,MATCH('Compile data Working'!#REF!,'Language Penetration'!$B$1:$AY$1,0),0)</f>
        <v>#REF!</v>
      </c>
      <c r="P106" s="103" t="str">
        <f t="shared" ca="1" si="2"/>
        <v>19%</v>
      </c>
      <c r="Q106" s="101" t="e">
        <f t="shared" ca="1" si="3"/>
        <v>#REF!</v>
      </c>
      <c r="R106" s="104">
        <f>VLOOKUP(D:D,ranking!W:X,2,0)</f>
        <v>0.6</v>
      </c>
      <c r="S106" s="59">
        <v>0.36930379161599997</v>
      </c>
    </row>
    <row r="107" spans="1:19" x14ac:dyDescent="0.25">
      <c r="A107" s="46" t="s">
        <v>1057</v>
      </c>
      <c r="B107" s="46" t="s">
        <v>85</v>
      </c>
      <c r="C107" s="46" t="s">
        <v>64</v>
      </c>
      <c r="D107" s="46" t="s">
        <v>431</v>
      </c>
      <c r="E107" s="98" t="s">
        <v>211</v>
      </c>
      <c r="F107" s="98" t="s">
        <v>457</v>
      </c>
      <c r="G107" s="98" t="s">
        <v>562</v>
      </c>
      <c r="H107" s="46" t="s">
        <v>19</v>
      </c>
      <c r="I107" s="106">
        <v>44967</v>
      </c>
      <c r="J107" s="98">
        <v>6</v>
      </c>
      <c r="K107" s="46" t="s">
        <v>216</v>
      </c>
      <c r="L107" s="101">
        <f>VLOOKUP($C107&amp;$E107,'Updated SES'!A:N,14,0)</f>
        <v>36.498239999999996</v>
      </c>
      <c r="M107" s="102">
        <f>VLOOKUP($K107,'Genre Penetration'!A:B,2,0)*VLOOKUP($C107&amp;$E107,'Updated SES'!A:I,9,0)</f>
        <v>0.26</v>
      </c>
      <c r="N107" s="102">
        <f>VLOOKUP(K:K,'Genre Penetration'!A:C,3,0)*VLOOKUP($C107&amp;$E107,'Updated SES'!A:J,10,0)</f>
        <v>0.24</v>
      </c>
      <c r="O107" s="102" t="e">
        <f>VLOOKUP($B107,'Language Penetration'!$B$1:$AY$14,MATCH('Compile data Working'!#REF!,'Language Penetration'!$B$1:$AY$1,0),0)</f>
        <v>#REF!</v>
      </c>
      <c r="P107" s="103" t="str">
        <f t="shared" ca="1" si="2"/>
        <v>10%</v>
      </c>
      <c r="Q107" s="101" t="e">
        <f t="shared" ca="1" si="3"/>
        <v>#REF!</v>
      </c>
      <c r="R107" s="104">
        <f>VLOOKUP(D:D,ranking!W:X,2,0)</f>
        <v>0.6</v>
      </c>
      <c r="S107" s="59">
        <v>0.91975564799999998</v>
      </c>
    </row>
    <row r="108" spans="1:19" x14ac:dyDescent="0.25">
      <c r="A108" s="46" t="s">
        <v>1057</v>
      </c>
      <c r="B108" s="46" t="s">
        <v>85</v>
      </c>
      <c r="C108" s="46" t="s">
        <v>64</v>
      </c>
      <c r="D108" s="46" t="s">
        <v>431</v>
      </c>
      <c r="E108" s="98" t="s">
        <v>211</v>
      </c>
      <c r="F108" s="98" t="s">
        <v>457</v>
      </c>
      <c r="G108" s="98" t="s">
        <v>1632</v>
      </c>
      <c r="H108" s="98" t="s">
        <v>20</v>
      </c>
      <c r="I108" s="53">
        <v>45975</v>
      </c>
      <c r="J108" s="46">
        <v>7</v>
      </c>
      <c r="K108" s="98" t="s">
        <v>980</v>
      </c>
      <c r="L108" s="101">
        <f>VLOOKUP($C108&amp;$E108,'Updated SES'!A:N,14,0)</f>
        <v>36.498239999999996</v>
      </c>
      <c r="M108" s="102">
        <f>VLOOKUP($K108,'Genre Penetration'!A:B,2,0)*VLOOKUP($C108&amp;$E108,'Updated SES'!A:I,9,0)</f>
        <v>0.312</v>
      </c>
      <c r="N108" s="102">
        <f>VLOOKUP(K:K,'Genre Penetration'!A:C,3,0)*VLOOKUP($C108&amp;$E108,'Updated SES'!A:J,10,0)</f>
        <v>0.192</v>
      </c>
      <c r="O108" s="102">
        <f>VLOOKUP($B108,'Language Penetration'!$B$1:$AY$14,MATCH('Compile data Working'!$H44,'Language Penetration'!$B$1:$AY$1,0),0)</f>
        <v>0.2</v>
      </c>
      <c r="P108" s="103" t="str">
        <f t="shared" ca="1" si="2"/>
        <v>9%</v>
      </c>
      <c r="Q108" s="101">
        <f t="shared" ca="1" si="3"/>
        <v>0.33111203328</v>
      </c>
      <c r="R108" s="104">
        <f>VLOOKUP(D:D,ranking!W:X,2,0)</f>
        <v>0.6</v>
      </c>
      <c r="S108" s="59">
        <v>0.176593084416</v>
      </c>
    </row>
    <row r="109" spans="1:19" x14ac:dyDescent="0.25">
      <c r="A109" s="46" t="s">
        <v>1057</v>
      </c>
      <c r="B109" s="46" t="s">
        <v>85</v>
      </c>
      <c r="C109" s="46" t="s">
        <v>64</v>
      </c>
      <c r="D109" s="46" t="s">
        <v>431</v>
      </c>
      <c r="E109" s="98" t="s">
        <v>211</v>
      </c>
      <c r="F109" s="100" t="s">
        <v>457</v>
      </c>
      <c r="G109" s="98" t="s">
        <v>1441</v>
      </c>
      <c r="H109" s="100" t="s">
        <v>19</v>
      </c>
      <c r="I109" s="106">
        <v>45478</v>
      </c>
      <c r="J109" s="46">
        <v>8</v>
      </c>
      <c r="K109" s="100" t="s">
        <v>1142</v>
      </c>
      <c r="L109" s="101">
        <f>VLOOKUP($C109&amp;$E109,'Updated SES'!A:N,14,0)</f>
        <v>36.498239999999996</v>
      </c>
      <c r="M109" s="102">
        <f>VLOOKUP($K109,'Genre Penetration'!A:B,2,0)*VLOOKUP($C109&amp;$E109,'Updated SES'!A:I,9,0)</f>
        <v>0.33800000000000002</v>
      </c>
      <c r="N109" s="102">
        <f>VLOOKUP(K:K,'Genre Penetration'!A:C,3,0)*VLOOKUP($C109&amp;$E109,'Updated SES'!A:J,10,0)</f>
        <v>0.16799999999999998</v>
      </c>
      <c r="O109" s="102">
        <f>VLOOKUP($B109,'Language Penetration'!$B$1:$AY$14,MATCH('Compile data Working'!$H45,'Language Penetration'!$B$1:$AY$1,0),0)</f>
        <v>0.1</v>
      </c>
      <c r="P109" s="103" t="str">
        <f t="shared" ca="1" si="2"/>
        <v>6%</v>
      </c>
      <c r="Q109" s="101">
        <f t="shared" ca="1" si="3"/>
        <v>0.11080865664</v>
      </c>
      <c r="R109" s="104">
        <f>VLOOKUP(D:D,ranking!W:X,2,0)</f>
        <v>0.6</v>
      </c>
      <c r="S109" s="59">
        <v>0.53188155187199992</v>
      </c>
    </row>
    <row r="110" spans="1:19" x14ac:dyDescent="0.25">
      <c r="A110" s="46" t="s">
        <v>1057</v>
      </c>
      <c r="B110" s="46" t="s">
        <v>85</v>
      </c>
      <c r="C110" s="46" t="s">
        <v>64</v>
      </c>
      <c r="D110" s="46" t="s">
        <v>431</v>
      </c>
      <c r="E110" s="98" t="s">
        <v>211</v>
      </c>
      <c r="F110" s="100" t="s">
        <v>457</v>
      </c>
      <c r="G110" s="98" t="s">
        <v>1120</v>
      </c>
      <c r="H110" s="100" t="s">
        <v>19</v>
      </c>
      <c r="I110" s="106">
        <v>45912</v>
      </c>
      <c r="J110" s="46">
        <v>9</v>
      </c>
      <c r="K110" s="98" t="s">
        <v>138</v>
      </c>
      <c r="L110" s="101">
        <f>VLOOKUP($C110&amp;$E110,'Updated SES'!A:N,14,0)</f>
        <v>36.498239999999996</v>
      </c>
      <c r="M110" s="102">
        <f>VLOOKUP($K110,'Genre Penetration'!A:B,2,0)*VLOOKUP($C110&amp;$E110,'Updated SES'!A:I,9,0)</f>
        <v>0.24440000000000001</v>
      </c>
      <c r="N110" s="102">
        <f>VLOOKUP(K:K,'Genre Penetration'!A:C,3,0)*VLOOKUP($C110&amp;$E110,'Updated SES'!A:J,10,0)</f>
        <v>0.25440000000000002</v>
      </c>
      <c r="O110" s="102" t="e">
        <f>VLOOKUP($B110,'Language Penetration'!$B$1:$AY$14,MATCH('Compile data Working'!#REF!,'Language Penetration'!$B$1:$AY$1,0),0)</f>
        <v>#REF!</v>
      </c>
      <c r="P110" s="103" t="str">
        <f t="shared" ca="1" si="2"/>
        <v>4%</v>
      </c>
      <c r="Q110" s="101" t="e">
        <f t="shared" ca="1" si="3"/>
        <v>#REF!</v>
      </c>
      <c r="R110" s="104">
        <f>VLOOKUP(D:D,ranking!W:X,2,0)</f>
        <v>0.6</v>
      </c>
      <c r="S110" s="59">
        <v>0.32769579801599996</v>
      </c>
    </row>
    <row r="111" spans="1:19" x14ac:dyDescent="0.25">
      <c r="A111" s="46" t="s">
        <v>1057</v>
      </c>
      <c r="B111" s="46" t="s">
        <v>85</v>
      </c>
      <c r="C111" s="46" t="s">
        <v>64</v>
      </c>
      <c r="D111" s="46" t="s">
        <v>431</v>
      </c>
      <c r="E111" s="98" t="s">
        <v>211</v>
      </c>
      <c r="F111" s="100" t="s">
        <v>457</v>
      </c>
      <c r="G111" s="98" t="s">
        <v>1260</v>
      </c>
      <c r="H111" s="100" t="s">
        <v>20</v>
      </c>
      <c r="I111" s="106">
        <v>45917</v>
      </c>
      <c r="J111" s="46">
        <v>10</v>
      </c>
      <c r="K111" s="100" t="s">
        <v>78</v>
      </c>
      <c r="L111" s="101">
        <f>VLOOKUP($C111&amp;$E111,'Updated SES'!A:N,14,0)</f>
        <v>36.498239999999996</v>
      </c>
      <c r="M111" s="102">
        <f>VLOOKUP($K111,'Genre Penetration'!A:B,2,0)*VLOOKUP($C111&amp;$E111,'Updated SES'!A:I,9,0)</f>
        <v>0.24959999999999999</v>
      </c>
      <c r="N111" s="102">
        <f>VLOOKUP(K:K,'Genre Penetration'!A:C,3,0)*VLOOKUP($C111&amp;$E111,'Updated SES'!A:J,10,0)</f>
        <v>0.24959999999999999</v>
      </c>
      <c r="O111" s="102" t="e">
        <f>VLOOKUP($B111,'Language Penetration'!$B$1:$AY$14,MATCH('Compile data Working'!$H46,'Language Penetration'!$B$1:$AY$1,0),0)</f>
        <v>#N/A</v>
      </c>
      <c r="P111" s="103" t="str">
        <f t="shared" ca="1" si="2"/>
        <v>2%</v>
      </c>
      <c r="Q111" s="101" t="e">
        <f t="shared" ca="1" si="3"/>
        <v>#N/A</v>
      </c>
      <c r="R111" s="104">
        <f>VLOOKUP(D:D,ranking!W:X,2,0)</f>
        <v>0.6</v>
      </c>
      <c r="S111" s="59">
        <v>8.7455622758399992E-2</v>
      </c>
    </row>
    <row r="112" spans="1:19" x14ac:dyDescent="0.25">
      <c r="A112" s="46" t="s">
        <v>1057</v>
      </c>
      <c r="B112" s="46" t="s">
        <v>85</v>
      </c>
      <c r="C112" s="46" t="s">
        <v>406</v>
      </c>
      <c r="D112" s="46" t="s">
        <v>434</v>
      </c>
      <c r="E112" s="98" t="s">
        <v>211</v>
      </c>
      <c r="F112" s="100" t="s">
        <v>458</v>
      </c>
      <c r="G112" s="98" t="s">
        <v>1661</v>
      </c>
      <c r="H112" s="100" t="s">
        <v>20</v>
      </c>
      <c r="I112" s="53">
        <v>45976</v>
      </c>
      <c r="J112" s="98">
        <v>1</v>
      </c>
      <c r="K112" s="100" t="s">
        <v>1749</v>
      </c>
      <c r="L112" s="101">
        <f>VLOOKUP($C112&amp;$E112,'Updated SES'!A:N,14,0)</f>
        <v>1.669</v>
      </c>
      <c r="M112" s="102">
        <f>VLOOKUP($K112,'Genre Penetration'!A:B,2,0)*VLOOKUP($C112&amp;$E112,'Updated SES'!A:I,9,0)</f>
        <v>0.3</v>
      </c>
      <c r="N112" s="102">
        <f>VLOOKUP(K:K,'Genre Penetration'!A:C,3,0)*VLOOKUP($C112&amp;$E112,'Updated SES'!A:J,10,0)</f>
        <v>0.2</v>
      </c>
      <c r="O112" s="102" t="e">
        <f>VLOOKUP($B112,'Language Penetration'!$B$1:$AY$14,MATCH('Compile data Working'!#REF!,'Language Penetration'!$B$1:$AY$1,0),0)</f>
        <v>#REF!</v>
      </c>
      <c r="P112" s="103" t="str">
        <f t="shared" ca="1" si="2"/>
        <v>40%</v>
      </c>
      <c r="Q112" s="101" t="e">
        <f t="shared" ca="1" si="3"/>
        <v>#REF!</v>
      </c>
      <c r="R112" s="104">
        <f>VLOOKUP(D:D,ranking!W:X,2,0)</f>
        <v>0.7</v>
      </c>
      <c r="S112" s="59">
        <v>4.5563700000000006E-2</v>
      </c>
    </row>
    <row r="113" spans="1:19" x14ac:dyDescent="0.25">
      <c r="A113" s="46" t="s">
        <v>1057</v>
      </c>
      <c r="B113" s="46" t="s">
        <v>85</v>
      </c>
      <c r="C113" s="46" t="s">
        <v>406</v>
      </c>
      <c r="D113" s="46" t="s">
        <v>434</v>
      </c>
      <c r="E113" s="98" t="s">
        <v>211</v>
      </c>
      <c r="F113" s="100" t="s">
        <v>458</v>
      </c>
      <c r="G113" s="98" t="s">
        <v>1310</v>
      </c>
      <c r="H113" s="100" t="s">
        <v>20</v>
      </c>
      <c r="I113" s="106">
        <v>45933</v>
      </c>
      <c r="J113" s="98">
        <v>2</v>
      </c>
      <c r="K113" s="100" t="s">
        <v>173</v>
      </c>
      <c r="L113" s="101">
        <f>VLOOKUP($C113&amp;$E113,'Updated SES'!A:N,14,0)</f>
        <v>1.669</v>
      </c>
      <c r="M113" s="102">
        <f>VLOOKUP($K113,'Genre Penetration'!A:B,2,0)*VLOOKUP($C113&amp;$E113,'Updated SES'!A:I,9,0)</f>
        <v>0.33</v>
      </c>
      <c r="N113" s="102">
        <f>VLOOKUP(K:K,'Genre Penetration'!A:C,3,0)*VLOOKUP($C113&amp;$E113,'Updated SES'!A:J,10,0)</f>
        <v>0.18000000000000002</v>
      </c>
      <c r="O113" s="102" t="e">
        <f>VLOOKUP($B113,'Language Penetration'!$B$1:$AY$14,MATCH('Compile data Working'!#REF!,'Language Penetration'!$B$1:$AY$1,0),0)</f>
        <v>#REF!</v>
      </c>
      <c r="P113" s="103" t="str">
        <f t="shared" ca="1" si="2"/>
        <v>34%</v>
      </c>
      <c r="Q113" s="101" t="e">
        <f t="shared" ca="1" si="3"/>
        <v>#REF!</v>
      </c>
      <c r="R113" s="104">
        <f>VLOOKUP(D:D,ranking!W:X,2,0)</f>
        <v>0.7</v>
      </c>
      <c r="S113" s="59">
        <v>4.0516643999999997E-2</v>
      </c>
    </row>
    <row r="114" spans="1:19" x14ac:dyDescent="0.25">
      <c r="A114" s="46" t="s">
        <v>1057</v>
      </c>
      <c r="B114" s="46" t="s">
        <v>85</v>
      </c>
      <c r="C114" s="46" t="s">
        <v>406</v>
      </c>
      <c r="D114" s="46" t="s">
        <v>434</v>
      </c>
      <c r="E114" s="98" t="s">
        <v>211</v>
      </c>
      <c r="F114" s="100" t="s">
        <v>458</v>
      </c>
      <c r="G114" s="98" t="s">
        <v>1662</v>
      </c>
      <c r="H114" s="100" t="s">
        <v>20</v>
      </c>
      <c r="I114" s="53">
        <v>45974</v>
      </c>
      <c r="J114" s="98">
        <v>3</v>
      </c>
      <c r="K114" s="46" t="s">
        <v>1749</v>
      </c>
      <c r="L114" s="101">
        <f>VLOOKUP($C114&amp;$E114,'Updated SES'!A:N,14,0)</f>
        <v>1.669</v>
      </c>
      <c r="M114" s="102">
        <f>VLOOKUP($K114,'Genre Penetration'!A:B,2,0)*VLOOKUP($C114&amp;$E114,'Updated SES'!A:I,9,0)</f>
        <v>0.3</v>
      </c>
      <c r="N114" s="102">
        <f>VLOOKUP(K:K,'Genre Penetration'!A:C,3,0)*VLOOKUP($C114&amp;$E114,'Updated SES'!A:J,10,0)</f>
        <v>0.2</v>
      </c>
      <c r="O114" s="102" t="e">
        <f>VLOOKUP($B114,'Language Penetration'!$B$1:$AY$14,MATCH('Compile data Working'!#REF!,'Language Penetration'!$B$1:$AY$1,0),0)</f>
        <v>#REF!</v>
      </c>
      <c r="P114" s="103" t="str">
        <f t="shared" ca="1" si="2"/>
        <v>28%</v>
      </c>
      <c r="Q114" s="101" t="e">
        <f t="shared" ca="1" si="3"/>
        <v>#REF!</v>
      </c>
      <c r="R114" s="104">
        <f>VLOOKUP(D:D,ranking!W:X,2,0)</f>
        <v>0.7</v>
      </c>
      <c r="S114" s="59">
        <v>3.2712400000000003E-2</v>
      </c>
    </row>
    <row r="115" spans="1:19" x14ac:dyDescent="0.25">
      <c r="A115" s="46" t="s">
        <v>1057</v>
      </c>
      <c r="B115" s="46" t="s">
        <v>85</v>
      </c>
      <c r="C115" s="46" t="s">
        <v>406</v>
      </c>
      <c r="D115" s="46" t="s">
        <v>434</v>
      </c>
      <c r="E115" s="98" t="s">
        <v>211</v>
      </c>
      <c r="F115" s="100" t="s">
        <v>458</v>
      </c>
      <c r="G115" s="98" t="s">
        <v>1622</v>
      </c>
      <c r="H115" s="100" t="s">
        <v>20</v>
      </c>
      <c r="I115" s="53">
        <v>45975</v>
      </c>
      <c r="J115" s="98">
        <v>4</v>
      </c>
      <c r="K115" s="100" t="s">
        <v>1750</v>
      </c>
      <c r="L115" s="101">
        <f>VLOOKUP($C115&amp;$E115,'Updated SES'!A:N,14,0)</f>
        <v>1.669</v>
      </c>
      <c r="M115" s="102">
        <f>VLOOKUP($K115,'Genre Penetration'!A:B,2,0)*VLOOKUP($C115&amp;$E115,'Updated SES'!A:I,9,0)</f>
        <v>0.33</v>
      </c>
      <c r="N115" s="102">
        <f>VLOOKUP(K:K,'Genre Penetration'!A:C,3,0)*VLOOKUP($C115&amp;$E115,'Updated SES'!A:J,10,0)</f>
        <v>0.18000000000000002</v>
      </c>
      <c r="O115" s="102" t="e">
        <f>VLOOKUP($B115,'Language Penetration'!$B$1:$AY$14,MATCH('Compile data Working'!#REF!,'Language Penetration'!$B$1:$AY$1,0),0)</f>
        <v>#REF!</v>
      </c>
      <c r="P115" s="103" t="str">
        <f t="shared" ca="1" si="2"/>
        <v>21%</v>
      </c>
      <c r="Q115" s="101" t="e">
        <f t="shared" ca="1" si="3"/>
        <v>#REF!</v>
      </c>
      <c r="R115" s="104">
        <f>VLOOKUP(D:D,ranking!W:X,2,0)</f>
        <v>0.7</v>
      </c>
      <c r="S115" s="59">
        <v>2.7408317999999997E-2</v>
      </c>
    </row>
    <row r="116" spans="1:19" x14ac:dyDescent="0.25">
      <c r="A116" s="46" t="s">
        <v>1057</v>
      </c>
      <c r="B116" s="46" t="s">
        <v>85</v>
      </c>
      <c r="C116" s="46" t="s">
        <v>406</v>
      </c>
      <c r="D116" s="46" t="s">
        <v>434</v>
      </c>
      <c r="E116" s="98" t="s">
        <v>211</v>
      </c>
      <c r="F116" s="100" t="s">
        <v>458</v>
      </c>
      <c r="G116" s="98" t="s">
        <v>1055</v>
      </c>
      <c r="H116" s="100" t="s">
        <v>20</v>
      </c>
      <c r="I116" s="106">
        <v>45905</v>
      </c>
      <c r="J116" s="98">
        <v>5</v>
      </c>
      <c r="K116" s="100" t="s">
        <v>168</v>
      </c>
      <c r="L116" s="101">
        <f>VLOOKUP($C116&amp;$E116,'Updated SES'!A:N,14,0)</f>
        <v>1.669</v>
      </c>
      <c r="M116" s="102">
        <f>VLOOKUP($K116,'Genre Penetration'!A:B,2,0)*VLOOKUP($C116&amp;$E116,'Updated SES'!A:I,9,0)</f>
        <v>0.38400000000000001</v>
      </c>
      <c r="N116" s="102">
        <f>VLOOKUP(K:K,'Genre Penetration'!A:C,3,0)*VLOOKUP($C116&amp;$E116,'Updated SES'!A:J,10,0)</f>
        <v>0.14399999999999999</v>
      </c>
      <c r="O116" s="102" t="e">
        <f>VLOOKUP($B116,'Language Penetration'!$B$1:$AY$14,MATCH('Compile data Working'!#REF!,'Language Penetration'!$B$1:$AY$1,0),0)</f>
        <v>#REF!</v>
      </c>
      <c r="P116" s="103" t="str">
        <f t="shared" ca="1" si="2"/>
        <v>18%</v>
      </c>
      <c r="Q116" s="101" t="e">
        <f t="shared" ca="1" si="3"/>
        <v>#REF!</v>
      </c>
      <c r="R116" s="104">
        <f>VLOOKUP(D:D,ranking!W:X,2,0)</f>
        <v>0.7</v>
      </c>
      <c r="S116" s="59">
        <v>1.9739596800000002E-2</v>
      </c>
    </row>
    <row r="117" spans="1:19" x14ac:dyDescent="0.25">
      <c r="A117" s="46" t="s">
        <v>1057</v>
      </c>
      <c r="B117" s="46" t="s">
        <v>85</v>
      </c>
      <c r="C117" s="46" t="s">
        <v>406</v>
      </c>
      <c r="D117" s="98" t="s">
        <v>432</v>
      </c>
      <c r="E117" s="98" t="s">
        <v>211</v>
      </c>
      <c r="F117" s="100" t="s">
        <v>458</v>
      </c>
      <c r="G117" s="98" t="s">
        <v>581</v>
      </c>
      <c r="H117" s="98" t="s">
        <v>20</v>
      </c>
      <c r="I117" s="106">
        <v>45275</v>
      </c>
      <c r="J117" s="98">
        <v>6</v>
      </c>
      <c r="K117" s="98" t="s">
        <v>124</v>
      </c>
      <c r="L117" s="101">
        <f>VLOOKUP($C117&amp;$E117,'Updated SES'!A:N,14,0)</f>
        <v>1.669</v>
      </c>
      <c r="M117" s="102">
        <f>VLOOKUP($K117,'Genre Penetration'!A:B,2,0)*VLOOKUP($C117&amp;$E117,'Updated SES'!A:I,9,0)</f>
        <v>0.27</v>
      </c>
      <c r="N117" s="102">
        <f>VLOOKUP(K:K,'Genre Penetration'!A:C,3,0)*VLOOKUP($C117&amp;$E117,'Updated SES'!A:J,10,0)</f>
        <v>0.22000000000000003</v>
      </c>
      <c r="O117" s="102" t="e">
        <f>VLOOKUP($B117,'Language Penetration'!$B$1:$AY$14,MATCH('Compile data Working'!#REF!,'Language Penetration'!$B$1:$AY$1,0),0)</f>
        <v>#REF!</v>
      </c>
      <c r="P117" s="103" t="str">
        <f t="shared" ca="1" si="2"/>
        <v>15%</v>
      </c>
      <c r="Q117" s="101" t="e">
        <f t="shared" ca="1" si="3"/>
        <v>#REF!</v>
      </c>
      <c r="R117" s="104">
        <f>VLOOKUP(D:D,ranking!W:X,2,0)</f>
        <v>0.8</v>
      </c>
      <c r="S117" s="59">
        <v>1.3084960000000005E-2</v>
      </c>
    </row>
    <row r="118" spans="1:19" x14ac:dyDescent="0.25">
      <c r="A118" s="46" t="s">
        <v>1057</v>
      </c>
      <c r="B118" s="46" t="s">
        <v>85</v>
      </c>
      <c r="C118" s="46" t="s">
        <v>406</v>
      </c>
      <c r="D118" s="98" t="s">
        <v>432</v>
      </c>
      <c r="E118" s="98" t="s">
        <v>211</v>
      </c>
      <c r="F118" s="100" t="s">
        <v>458</v>
      </c>
      <c r="G118" s="98" t="s">
        <v>1289</v>
      </c>
      <c r="H118" s="98" t="s">
        <v>20</v>
      </c>
      <c r="I118" s="106">
        <v>45926</v>
      </c>
      <c r="J118" s="98">
        <v>7</v>
      </c>
      <c r="K118" s="98" t="s">
        <v>279</v>
      </c>
      <c r="L118" s="101">
        <f>VLOOKUP($C118&amp;$E118,'Updated SES'!A:N,14,0)</f>
        <v>1.669</v>
      </c>
      <c r="M118" s="102">
        <f>VLOOKUP($K118,'Genre Penetration'!A:B,2,0)*VLOOKUP($C118&amp;$E118,'Updated SES'!A:I,9,0)</f>
        <v>0.27</v>
      </c>
      <c r="N118" s="102">
        <f>VLOOKUP(K:K,'Genre Penetration'!A:C,3,0)*VLOOKUP($C118&amp;$E118,'Updated SES'!A:J,10,0)</f>
        <v>0.22000000000000003</v>
      </c>
      <c r="O118" s="102" t="e">
        <f>VLOOKUP($B118,'Language Penetration'!$B$1:$AY$14,MATCH('Compile data Working'!#REF!,'Language Penetration'!$B$1:$AY$1,0),0)</f>
        <v>#REF!</v>
      </c>
      <c r="P118" s="103" t="str">
        <f t="shared" ca="1" si="2"/>
        <v>10%</v>
      </c>
      <c r="Q118" s="101" t="e">
        <f t="shared" ca="1" si="3"/>
        <v>#REF!</v>
      </c>
      <c r="R118" s="104">
        <f>VLOOKUP(D:D,ranking!W:X,2,0)</f>
        <v>0.8</v>
      </c>
      <c r="S118" s="59">
        <v>1.0467968000000003E-2</v>
      </c>
    </row>
    <row r="119" spans="1:19" x14ac:dyDescent="0.25">
      <c r="A119" s="46" t="s">
        <v>1057</v>
      </c>
      <c r="B119" s="46" t="s">
        <v>85</v>
      </c>
      <c r="C119" s="46" t="s">
        <v>406</v>
      </c>
      <c r="D119" s="98" t="s">
        <v>432</v>
      </c>
      <c r="E119" s="98" t="s">
        <v>211</v>
      </c>
      <c r="F119" s="98" t="s">
        <v>458</v>
      </c>
      <c r="G119" s="98" t="s">
        <v>1033</v>
      </c>
      <c r="H119" s="98" t="s">
        <v>20</v>
      </c>
      <c r="I119" s="106">
        <v>45702</v>
      </c>
      <c r="J119" s="98">
        <v>8</v>
      </c>
      <c r="K119" s="98" t="s">
        <v>168</v>
      </c>
      <c r="L119" s="101">
        <f>VLOOKUP($C119&amp;$E119,'Updated SES'!A:N,14,0)</f>
        <v>1.669</v>
      </c>
      <c r="M119" s="102">
        <f>VLOOKUP($K119,'Genre Penetration'!A:B,2,0)*VLOOKUP($C119&amp;$E119,'Updated SES'!A:I,9,0)</f>
        <v>0.38400000000000001</v>
      </c>
      <c r="N119" s="102">
        <f>VLOOKUP(K:K,'Genre Penetration'!A:C,3,0)*VLOOKUP($C119&amp;$E119,'Updated SES'!A:J,10,0)</f>
        <v>0.14399999999999999</v>
      </c>
      <c r="O119" s="102" t="e">
        <f>VLOOKUP($B119,'Language Penetration'!$B$1:$AY$14,MATCH('Compile data Working'!#REF!,'Language Penetration'!$B$1:$AY$1,0),0)</f>
        <v>#REF!</v>
      </c>
      <c r="P119" s="103" t="str">
        <f t="shared" ca="1" si="2"/>
        <v>8%</v>
      </c>
      <c r="Q119" s="101" t="e">
        <f t="shared" ca="1" si="3"/>
        <v>#REF!</v>
      </c>
      <c r="R119" s="104">
        <f>VLOOKUP(D:D,ranking!W:X,2,0)</f>
        <v>0.8</v>
      </c>
      <c r="S119" s="59">
        <v>9.8697984000000044E-3</v>
      </c>
    </row>
    <row r="120" spans="1:19" x14ac:dyDescent="0.25">
      <c r="A120" s="46" t="s">
        <v>1057</v>
      </c>
      <c r="B120" s="46" t="s">
        <v>85</v>
      </c>
      <c r="C120" s="46" t="s">
        <v>406</v>
      </c>
      <c r="D120" s="46" t="s">
        <v>434</v>
      </c>
      <c r="E120" s="98" t="s">
        <v>211</v>
      </c>
      <c r="F120" s="100" t="s">
        <v>458</v>
      </c>
      <c r="G120" s="98" t="s">
        <v>1663</v>
      </c>
      <c r="H120" s="98" t="s">
        <v>20</v>
      </c>
      <c r="I120" s="53">
        <v>45954</v>
      </c>
      <c r="J120" s="98">
        <v>9</v>
      </c>
      <c r="K120" s="98" t="s">
        <v>1750</v>
      </c>
      <c r="L120" s="101">
        <f>VLOOKUP($C120&amp;$E120,'Updated SES'!A:N,14,0)</f>
        <v>1.669</v>
      </c>
      <c r="M120" s="102">
        <f>VLOOKUP($K120,'Genre Penetration'!A:B,2,0)*VLOOKUP($C120&amp;$E120,'Updated SES'!A:I,9,0)</f>
        <v>0.33</v>
      </c>
      <c r="N120" s="102">
        <f>VLOOKUP(K:K,'Genre Penetration'!A:C,3,0)*VLOOKUP($C120&amp;$E120,'Updated SES'!A:J,10,0)</f>
        <v>0.18000000000000002</v>
      </c>
      <c r="O120" s="102" t="e">
        <f>VLOOKUP($B120,'Language Penetration'!$B$1:$AY$14,MATCH('Compile data Working'!#REF!,'Language Penetration'!$B$1:$AY$1,0),0)</f>
        <v>#REF!</v>
      </c>
      <c r="P120" s="103" t="str">
        <f t="shared" ca="1" si="2"/>
        <v>4%</v>
      </c>
      <c r="Q120" s="101" t="e">
        <f t="shared" ca="1" si="3"/>
        <v>#REF!</v>
      </c>
      <c r="R120" s="104">
        <f>VLOOKUP(D:D,ranking!W:X,2,0)</f>
        <v>0.7</v>
      </c>
      <c r="S120" s="59">
        <v>7.1499959999999987E-3</v>
      </c>
    </row>
    <row r="121" spans="1:19" x14ac:dyDescent="0.25">
      <c r="A121" s="46" t="s">
        <v>1057</v>
      </c>
      <c r="B121" s="46" t="s">
        <v>85</v>
      </c>
      <c r="C121" s="46" t="s">
        <v>406</v>
      </c>
      <c r="D121" s="46" t="s">
        <v>434</v>
      </c>
      <c r="E121" s="98" t="s">
        <v>211</v>
      </c>
      <c r="F121" s="100" t="s">
        <v>458</v>
      </c>
      <c r="G121" s="98" t="s">
        <v>578</v>
      </c>
      <c r="H121" s="98" t="s">
        <v>20</v>
      </c>
      <c r="I121" s="106">
        <v>43993</v>
      </c>
      <c r="J121" s="98">
        <v>10</v>
      </c>
      <c r="K121" s="98" t="s">
        <v>92</v>
      </c>
      <c r="L121" s="101">
        <f>VLOOKUP($C121&amp;$E121,'Updated SES'!A:N,14,0)</f>
        <v>1.669</v>
      </c>
      <c r="M121" s="102">
        <f>VLOOKUP($K121,'Genre Penetration'!A:B,2,0)*VLOOKUP($C121&amp;$E121,'Updated SES'!A:I,9,0)</f>
        <v>0.318</v>
      </c>
      <c r="N121" s="102">
        <f>VLOOKUP(K:K,'Genre Penetration'!A:C,3,0)*VLOOKUP($C121&amp;$E121,'Updated SES'!A:J,10,0)</f>
        <v>0.188</v>
      </c>
      <c r="O121" s="102" t="e">
        <f>VLOOKUP($B121,'Language Penetration'!$B$1:$AY$14,MATCH('Compile data Working'!#REF!,'Language Penetration'!$B$1:$AY$1,0),0)</f>
        <v>#REF!</v>
      </c>
      <c r="P121" s="103" t="str">
        <f t="shared" ca="1" si="2"/>
        <v>3%</v>
      </c>
      <c r="Q121" s="101" t="e">
        <f t="shared" ca="1" si="3"/>
        <v>#REF!</v>
      </c>
      <c r="R121" s="104">
        <f>VLOOKUP(D:D,ranking!W:X,2,0)</f>
        <v>0.7</v>
      </c>
      <c r="S121" s="59">
        <v>3.5469588000000001E-3</v>
      </c>
    </row>
    <row r="122" spans="1:19" x14ac:dyDescent="0.25">
      <c r="A122" s="46" t="s">
        <v>1057</v>
      </c>
      <c r="B122" s="46" t="s">
        <v>85</v>
      </c>
      <c r="C122" s="46" t="s">
        <v>406</v>
      </c>
      <c r="D122" s="46" t="s">
        <v>431</v>
      </c>
      <c r="E122" s="98" t="s">
        <v>211</v>
      </c>
      <c r="F122" s="100" t="s">
        <v>457</v>
      </c>
      <c r="G122" s="98" t="s">
        <v>1542</v>
      </c>
      <c r="H122" s="98" t="s">
        <v>20</v>
      </c>
      <c r="I122" s="53">
        <v>45968</v>
      </c>
      <c r="J122" s="98">
        <v>1</v>
      </c>
      <c r="K122" s="98" t="s">
        <v>865</v>
      </c>
      <c r="L122" s="101">
        <f>VLOOKUP($C122&amp;$E122,'Updated SES'!A:N,14,0)</f>
        <v>1.669</v>
      </c>
      <c r="M122" s="102">
        <f>VLOOKUP($K122,'Genre Penetration'!A:B,2,0)*VLOOKUP($C122&amp;$E122,'Updated SES'!A:I,9,0)</f>
        <v>0.33</v>
      </c>
      <c r="N122" s="102">
        <f>VLOOKUP(K:K,'Genre Penetration'!A:C,3,0)*VLOOKUP($C122&amp;$E122,'Updated SES'!A:J,10,0)</f>
        <v>0.18000000000000002</v>
      </c>
      <c r="O122" s="102" t="e">
        <f>VLOOKUP($B122,'Language Penetration'!$B$1:$AY$14,MATCH('Compile data Working'!#REF!,'Language Penetration'!$B$1:$AY$1,0),0)</f>
        <v>#REF!</v>
      </c>
      <c r="P122" s="103" t="str">
        <f t="shared" ca="1" si="2"/>
        <v>40%</v>
      </c>
      <c r="Q122" s="101" t="e">
        <f t="shared" ca="1" si="3"/>
        <v>#REF!</v>
      </c>
      <c r="R122" s="104">
        <f>VLOOKUP(D:D,ranking!W:X,2,0)</f>
        <v>0.6</v>
      </c>
      <c r="S122" s="59">
        <v>3.5749980000000001E-2</v>
      </c>
    </row>
    <row r="123" spans="1:19" x14ac:dyDescent="0.25">
      <c r="A123" s="46" t="s">
        <v>1057</v>
      </c>
      <c r="B123" s="46" t="s">
        <v>85</v>
      </c>
      <c r="C123" s="46" t="s">
        <v>406</v>
      </c>
      <c r="D123" s="46" t="s">
        <v>431</v>
      </c>
      <c r="E123" s="98" t="s">
        <v>211</v>
      </c>
      <c r="F123" s="46" t="s">
        <v>457</v>
      </c>
      <c r="G123" s="98" t="s">
        <v>1124</v>
      </c>
      <c r="H123" s="98" t="s">
        <v>20</v>
      </c>
      <c r="I123" s="106">
        <v>45182</v>
      </c>
      <c r="J123" s="98">
        <v>2</v>
      </c>
      <c r="K123" s="46" t="s">
        <v>216</v>
      </c>
      <c r="L123" s="101">
        <f>VLOOKUP($C123&amp;$E123,'Updated SES'!A:N,14,0)</f>
        <v>1.669</v>
      </c>
      <c r="M123" s="102">
        <f>VLOOKUP($K123,'Genre Penetration'!A:B,2,0)*VLOOKUP($C123&amp;$E123,'Updated SES'!A:I,9,0)</f>
        <v>0.3</v>
      </c>
      <c r="N123" s="102">
        <f>VLOOKUP(K:K,'Genre Penetration'!A:C,3,0)*VLOOKUP($C123&amp;$E123,'Updated SES'!A:J,10,0)</f>
        <v>0.2</v>
      </c>
      <c r="O123" s="102" t="e">
        <f>VLOOKUP($B123,'Language Penetration'!$B$1:$AY$14,MATCH('Compile data Working'!#REF!,'Language Penetration'!$B$1:$AY$1,0),0)</f>
        <v>#REF!</v>
      </c>
      <c r="P123" s="103" t="str">
        <f t="shared" ca="1" si="2"/>
        <v>30%</v>
      </c>
      <c r="Q123" s="101" t="e">
        <f t="shared" ca="1" si="3"/>
        <v>#REF!</v>
      </c>
      <c r="R123" s="104">
        <f>VLOOKUP(D:D,ranking!W:X,2,0)</f>
        <v>0.6</v>
      </c>
      <c r="S123" s="59">
        <v>3.0041999999999999E-2</v>
      </c>
    </row>
    <row r="124" spans="1:19" x14ac:dyDescent="0.25">
      <c r="A124" s="46" t="s">
        <v>1057</v>
      </c>
      <c r="B124" s="46" t="s">
        <v>85</v>
      </c>
      <c r="C124" s="46" t="s">
        <v>406</v>
      </c>
      <c r="D124" s="46" t="s">
        <v>431</v>
      </c>
      <c r="E124" s="98" t="s">
        <v>211</v>
      </c>
      <c r="F124" s="100" t="s">
        <v>457</v>
      </c>
      <c r="G124" s="98" t="s">
        <v>1327</v>
      </c>
      <c r="H124" s="98" t="s">
        <v>20</v>
      </c>
      <c r="I124" s="106">
        <v>45940</v>
      </c>
      <c r="J124" s="98">
        <v>3</v>
      </c>
      <c r="K124" s="100" t="s">
        <v>103</v>
      </c>
      <c r="L124" s="101">
        <f>VLOOKUP($C124&amp;$E124,'Updated SES'!A:N,14,0)</f>
        <v>1.669</v>
      </c>
      <c r="M124" s="102">
        <f>VLOOKUP($K124,'Genre Penetration'!A:B,2,0)*VLOOKUP($C124&amp;$E124,'Updated SES'!A:I,9,0)</f>
        <v>0.42599999999999999</v>
      </c>
      <c r="N124" s="102">
        <f>VLOOKUP(K:K,'Genre Penetration'!A:C,3,0)*VLOOKUP($C124&amp;$E124,'Updated SES'!A:J,10,0)</f>
        <v>0.11599999999999999</v>
      </c>
      <c r="O124" s="102" t="e">
        <f>VLOOKUP($B124,'Language Penetration'!$B$1:$AY$14,MATCH('Compile data Working'!#REF!,'Language Penetration'!$B$1:$AY$1,0),0)</f>
        <v>#REF!</v>
      </c>
      <c r="P124" s="103" t="str">
        <f t="shared" ca="1" si="2"/>
        <v>27%</v>
      </c>
      <c r="Q124" s="101" t="e">
        <f t="shared" ca="1" si="3"/>
        <v>#REF!</v>
      </c>
      <c r="R124" s="104">
        <f>VLOOKUP(D:D,ranking!W:X,2,0)</f>
        <v>0.6</v>
      </c>
      <c r="S124" s="59">
        <v>3.1480010400000001E-2</v>
      </c>
    </row>
    <row r="125" spans="1:19" x14ac:dyDescent="0.25">
      <c r="A125" s="46" t="s">
        <v>1057</v>
      </c>
      <c r="B125" s="46" t="s">
        <v>85</v>
      </c>
      <c r="C125" s="46" t="s">
        <v>406</v>
      </c>
      <c r="D125" s="46" t="s">
        <v>431</v>
      </c>
      <c r="E125" s="98" t="s">
        <v>211</v>
      </c>
      <c r="F125" s="100" t="s">
        <v>457</v>
      </c>
      <c r="G125" s="98" t="s">
        <v>1664</v>
      </c>
      <c r="H125" s="100" t="s">
        <v>20</v>
      </c>
      <c r="I125" s="53">
        <v>45973</v>
      </c>
      <c r="J125" s="98">
        <v>4</v>
      </c>
      <c r="K125" s="100" t="s">
        <v>138</v>
      </c>
      <c r="L125" s="101">
        <f>VLOOKUP($C125&amp;$E125,'Updated SES'!A:N,14,0)</f>
        <v>1.669</v>
      </c>
      <c r="M125" s="102">
        <f>VLOOKUP($K125,'Genre Penetration'!A:B,2,0)*VLOOKUP($C125&amp;$E125,'Updated SES'!A:I,9,0)</f>
        <v>0.28199999999999997</v>
      </c>
      <c r="N125" s="102">
        <f>VLOOKUP(K:K,'Genre Penetration'!A:C,3,0)*VLOOKUP($C125&amp;$E125,'Updated SES'!A:J,10,0)</f>
        <v>0.21200000000000002</v>
      </c>
      <c r="O125" s="102" t="e">
        <f>VLOOKUP($B125,'Language Penetration'!$B$1:$AY$14,MATCH('Compile data Working'!#REF!,'Language Penetration'!$B$1:$AY$1,0),0)</f>
        <v>#REF!</v>
      </c>
      <c r="P125" s="103" t="str">
        <f t="shared" ca="1" si="2"/>
        <v>22%</v>
      </c>
      <c r="Q125" s="101" t="e">
        <f t="shared" ca="1" si="3"/>
        <v>#REF!</v>
      </c>
      <c r="R125" s="104">
        <f>VLOOKUP(D:D,ranking!W:X,2,0)</f>
        <v>0.6</v>
      </c>
      <c r="S125" s="59">
        <v>2.1766430400000002E-2</v>
      </c>
    </row>
    <row r="126" spans="1:19" x14ac:dyDescent="0.25">
      <c r="A126" s="46" t="s">
        <v>1057</v>
      </c>
      <c r="B126" s="46" t="s">
        <v>85</v>
      </c>
      <c r="C126" s="46" t="s">
        <v>406</v>
      </c>
      <c r="D126" s="46" t="s">
        <v>431</v>
      </c>
      <c r="E126" s="98" t="s">
        <v>211</v>
      </c>
      <c r="F126" s="100" t="s">
        <v>457</v>
      </c>
      <c r="G126" s="98" t="s">
        <v>1478</v>
      </c>
      <c r="H126" s="100" t="s">
        <v>20</v>
      </c>
      <c r="I126" s="106">
        <v>45959</v>
      </c>
      <c r="J126" s="98">
        <v>5</v>
      </c>
      <c r="K126" s="100" t="s">
        <v>217</v>
      </c>
      <c r="L126" s="101">
        <f>VLOOKUP($C126&amp;$E126,'Updated SES'!A:N,14,0)</f>
        <v>1.669</v>
      </c>
      <c r="M126" s="102">
        <f>VLOOKUP($K126,'Genre Penetration'!A:B,2,0)*VLOOKUP($C126&amp;$E126,'Updated SES'!A:I,9,0)</f>
        <v>0.34799999999999998</v>
      </c>
      <c r="N126" s="102">
        <f>VLOOKUP(K:K,'Genre Penetration'!A:C,3,0)*VLOOKUP($C126&amp;$E126,'Updated SES'!A:J,10,0)</f>
        <v>0.16800000000000001</v>
      </c>
      <c r="O126" s="102" t="e">
        <f>VLOOKUP($B126,'Language Penetration'!$B$1:$AY$14,MATCH('Compile data Working'!#REF!,'Language Penetration'!$B$1:$AY$1,0),0)</f>
        <v>#REF!</v>
      </c>
      <c r="P126" s="103" t="str">
        <f t="shared" ca="1" si="2"/>
        <v>17%</v>
      </c>
      <c r="Q126" s="101" t="e">
        <f t="shared" ca="1" si="3"/>
        <v>#REF!</v>
      </c>
      <c r="R126" s="104">
        <f>VLOOKUP(D:D,ranking!W:X,2,0)</f>
        <v>0.6</v>
      </c>
      <c r="S126" s="59">
        <v>1.5501672000000001E-2</v>
      </c>
    </row>
    <row r="127" spans="1:19" x14ac:dyDescent="0.25">
      <c r="A127" s="46" t="s">
        <v>1057</v>
      </c>
      <c r="B127" s="46" t="s">
        <v>85</v>
      </c>
      <c r="C127" s="46" t="s">
        <v>406</v>
      </c>
      <c r="D127" s="46" t="s">
        <v>431</v>
      </c>
      <c r="E127" s="98" t="s">
        <v>211</v>
      </c>
      <c r="F127" s="98" t="s">
        <v>457</v>
      </c>
      <c r="G127" s="98" t="s">
        <v>1125</v>
      </c>
      <c r="H127" s="98" t="s">
        <v>20</v>
      </c>
      <c r="I127" s="106">
        <v>44652</v>
      </c>
      <c r="J127" s="98">
        <v>6</v>
      </c>
      <c r="K127" s="98" t="s">
        <v>168</v>
      </c>
      <c r="L127" s="101">
        <f>VLOOKUP($C127&amp;$E127,'Updated SES'!A:N,14,0)</f>
        <v>1.669</v>
      </c>
      <c r="M127" s="102">
        <f>VLOOKUP($K127,'Genre Penetration'!A:B,2,0)*VLOOKUP($C127&amp;$E127,'Updated SES'!A:I,9,0)</f>
        <v>0.38400000000000001</v>
      </c>
      <c r="N127" s="102">
        <f>VLOOKUP(K:K,'Genre Penetration'!A:C,3,0)*VLOOKUP($C127&amp;$E127,'Updated SES'!A:J,10,0)</f>
        <v>0.14399999999999999</v>
      </c>
      <c r="O127" s="102" t="e">
        <f>VLOOKUP($B127,'Language Penetration'!$B$1:$AY$14,MATCH('Compile data Working'!#REF!,'Language Penetration'!$B$1:$AY$1,0),0)</f>
        <v>#REF!</v>
      </c>
      <c r="P127" s="103" t="str">
        <f t="shared" ca="1" si="2"/>
        <v>11%</v>
      </c>
      <c r="Q127" s="101" t="e">
        <f t="shared" ca="1" si="3"/>
        <v>#REF!</v>
      </c>
      <c r="R127" s="104">
        <f>VLOOKUP(D:D,ranking!W:X,2,0)</f>
        <v>0.6</v>
      </c>
      <c r="S127" s="59">
        <v>1.26897408E-2</v>
      </c>
    </row>
    <row r="128" spans="1:19" x14ac:dyDescent="0.25">
      <c r="A128" s="46" t="s">
        <v>1057</v>
      </c>
      <c r="B128" s="46" t="s">
        <v>85</v>
      </c>
      <c r="C128" s="46" t="s">
        <v>406</v>
      </c>
      <c r="D128" s="46" t="s">
        <v>431</v>
      </c>
      <c r="E128" s="98" t="s">
        <v>211</v>
      </c>
      <c r="F128" s="98" t="s">
        <v>457</v>
      </c>
      <c r="G128" s="98" t="s">
        <v>592</v>
      </c>
      <c r="H128" s="98" t="s">
        <v>20</v>
      </c>
      <c r="I128" s="106">
        <v>44057</v>
      </c>
      <c r="J128" s="98">
        <v>7</v>
      </c>
      <c r="K128" s="98" t="s">
        <v>124</v>
      </c>
      <c r="L128" s="101">
        <f>VLOOKUP($C128&amp;$E128,'Updated SES'!A:N,14,0)</f>
        <v>1.669</v>
      </c>
      <c r="M128" s="102">
        <f>VLOOKUP($K128,'Genre Penetration'!A:B,2,0)*VLOOKUP($C128&amp;$E128,'Updated SES'!A:I,9,0)</f>
        <v>0.27</v>
      </c>
      <c r="N128" s="102">
        <f>VLOOKUP(K:K,'Genre Penetration'!A:C,3,0)*VLOOKUP($C128&amp;$E128,'Updated SES'!A:J,10,0)</f>
        <v>0.22000000000000003</v>
      </c>
      <c r="O128" s="102" t="e">
        <f>VLOOKUP($B128,'Language Penetration'!$B$1:$AY$14,MATCH('Compile data Working'!#REF!,'Language Penetration'!$B$1:$AY$1,0),0)</f>
        <v>#REF!</v>
      </c>
      <c r="P128" s="103" t="str">
        <f t="shared" ca="1" si="2"/>
        <v>9%</v>
      </c>
      <c r="Q128" s="101" t="e">
        <f t="shared" ca="1" si="3"/>
        <v>#REF!</v>
      </c>
      <c r="R128" s="104">
        <f>VLOOKUP(D:D,ranking!W:X,2,0)</f>
        <v>0.6</v>
      </c>
      <c r="S128" s="59">
        <v>9.8137200000000032E-3</v>
      </c>
    </row>
    <row r="129" spans="1:19" x14ac:dyDescent="0.25">
      <c r="A129" s="46" t="s">
        <v>1057</v>
      </c>
      <c r="B129" s="46" t="s">
        <v>85</v>
      </c>
      <c r="C129" s="46" t="s">
        <v>406</v>
      </c>
      <c r="D129" s="46" t="s">
        <v>431</v>
      </c>
      <c r="E129" s="98" t="s">
        <v>211</v>
      </c>
      <c r="F129" s="98" t="s">
        <v>457</v>
      </c>
      <c r="G129" s="98" t="s">
        <v>1665</v>
      </c>
      <c r="H129" s="98" t="s">
        <v>20</v>
      </c>
      <c r="I129" s="53">
        <v>45945</v>
      </c>
      <c r="J129" s="98">
        <v>8</v>
      </c>
      <c r="K129" s="98" t="s">
        <v>124</v>
      </c>
      <c r="L129" s="101">
        <f>VLOOKUP($C129&amp;$E129,'Updated SES'!A:N,14,0)</f>
        <v>1.669</v>
      </c>
      <c r="M129" s="102">
        <f>VLOOKUP($K129,'Genre Penetration'!A:B,2,0)*VLOOKUP($C129&amp;$E129,'Updated SES'!A:I,9,0)</f>
        <v>0.27</v>
      </c>
      <c r="N129" s="102">
        <f>VLOOKUP(K:K,'Genre Penetration'!A:C,3,0)*VLOOKUP($C129&amp;$E129,'Updated SES'!A:J,10,0)</f>
        <v>0.22000000000000003</v>
      </c>
      <c r="O129" s="102" t="e">
        <f>VLOOKUP($B129,'Language Penetration'!$B$1:$AY$14,MATCH('Compile data Working'!#REF!,'Language Penetration'!$B$1:$AY$1,0),0)</f>
        <v>#REF!</v>
      </c>
      <c r="P129" s="103" t="str">
        <f t="shared" ca="1" si="2"/>
        <v>6%</v>
      </c>
      <c r="Q129" s="101" t="e">
        <f t="shared" ca="1" si="3"/>
        <v>#REF!</v>
      </c>
      <c r="R129" s="104">
        <f>VLOOKUP(D:D,ranking!W:X,2,0)</f>
        <v>0.6</v>
      </c>
      <c r="S129" s="59">
        <v>6.8696040000000022E-3</v>
      </c>
    </row>
    <row r="130" spans="1:19" x14ac:dyDescent="0.25">
      <c r="A130" s="46" t="s">
        <v>1057</v>
      </c>
      <c r="B130" s="46" t="s">
        <v>85</v>
      </c>
      <c r="C130" s="46" t="s">
        <v>406</v>
      </c>
      <c r="D130" s="46" t="s">
        <v>431</v>
      </c>
      <c r="E130" s="98" t="s">
        <v>211</v>
      </c>
      <c r="F130" s="98" t="s">
        <v>457</v>
      </c>
      <c r="G130" s="98" t="s">
        <v>1032</v>
      </c>
      <c r="H130" s="98" t="s">
        <v>20</v>
      </c>
      <c r="I130" s="106">
        <v>44491</v>
      </c>
      <c r="J130" s="98">
        <v>9</v>
      </c>
      <c r="K130" s="98" t="s">
        <v>1041</v>
      </c>
      <c r="L130" s="101">
        <f>VLOOKUP($C130&amp;$E130,'Updated SES'!A:N,14,0)</f>
        <v>1.669</v>
      </c>
      <c r="M130" s="102">
        <f>VLOOKUP($K130,'Genre Penetration'!A:B,2,0)*VLOOKUP($C130&amp;$E130,'Updated SES'!A:I,9,0)</f>
        <v>0.39</v>
      </c>
      <c r="N130" s="102">
        <f>VLOOKUP(K:K,'Genre Penetration'!A:C,3,0)*VLOOKUP($C130&amp;$E130,'Updated SES'!A:J,10,0)</f>
        <v>0.13999999999999999</v>
      </c>
      <c r="O130" s="102" t="e">
        <f>VLOOKUP($B130,'Language Penetration'!$B$1:$AY$14,MATCH('Compile data Working'!#REF!,'Language Penetration'!$B$1:$AY$1,0),0)</f>
        <v>#REF!</v>
      </c>
      <c r="P130" s="103" t="str">
        <f t="shared" ca="1" si="2"/>
        <v>5%</v>
      </c>
      <c r="Q130" s="101" t="e">
        <f t="shared" ca="1" si="3"/>
        <v>#REF!</v>
      </c>
      <c r="R130" s="104">
        <f>VLOOKUP(D:D,ranking!W:X,2,0)</f>
        <v>0.6</v>
      </c>
      <c r="S130" s="59">
        <v>4.2459360000000005E-3</v>
      </c>
    </row>
    <row r="131" spans="1:19" x14ac:dyDescent="0.25">
      <c r="A131" s="46" t="s">
        <v>1057</v>
      </c>
      <c r="B131" s="46" t="s">
        <v>85</v>
      </c>
      <c r="C131" s="46" t="s">
        <v>406</v>
      </c>
      <c r="D131" s="46" t="s">
        <v>431</v>
      </c>
      <c r="E131" s="98" t="s">
        <v>211</v>
      </c>
      <c r="F131" s="98" t="s">
        <v>457</v>
      </c>
      <c r="G131" s="98" t="s">
        <v>588</v>
      </c>
      <c r="H131" s="98" t="s">
        <v>20</v>
      </c>
      <c r="I131" s="106">
        <v>44610</v>
      </c>
      <c r="J131" s="98">
        <v>10</v>
      </c>
      <c r="K131" s="98" t="s">
        <v>324</v>
      </c>
      <c r="L131" s="101">
        <f>VLOOKUP($C131&amp;$E131,'Updated SES'!A:N,14,0)</f>
        <v>1.669</v>
      </c>
      <c r="M131" s="102">
        <f>VLOOKUP($K131,'Genre Penetration'!A:B,2,0)*VLOOKUP($C131&amp;$E131,'Updated SES'!A:I,9,0)</f>
        <v>0.38400000000000001</v>
      </c>
      <c r="N131" s="102">
        <f>VLOOKUP(K:K,'Genre Penetration'!A:C,3,0)*VLOOKUP($C131&amp;$E131,'Updated SES'!A:J,10,0)</f>
        <v>0.14399999999999999</v>
      </c>
      <c r="O131" s="102" t="e">
        <f>VLOOKUP($B131,'Language Penetration'!$B$1:$AY$14,MATCH('Compile data Working'!#REF!,'Language Penetration'!$B$1:$AY$1,0),0)</f>
        <v>#REF!</v>
      </c>
      <c r="P131" s="103" t="str">
        <f t="shared" ca="1" si="2"/>
        <v>4%</v>
      </c>
      <c r="Q131" s="101" t="e">
        <f t="shared" ca="1" si="3"/>
        <v>#REF!</v>
      </c>
      <c r="R131" s="104">
        <f>VLOOKUP(D:D,ranking!W:X,2,0)</f>
        <v>0.6</v>
      </c>
      <c r="S131" s="59">
        <v>4.2299136000000003E-3</v>
      </c>
    </row>
    <row r="132" spans="1:19" x14ac:dyDescent="0.25">
      <c r="A132" s="46" t="s">
        <v>1057</v>
      </c>
      <c r="B132" s="46" t="s">
        <v>85</v>
      </c>
      <c r="C132" s="46" t="s">
        <v>71</v>
      </c>
      <c r="D132" s="46" t="s">
        <v>434</v>
      </c>
      <c r="E132" s="98" t="s">
        <v>211</v>
      </c>
      <c r="F132" s="98" t="s">
        <v>458</v>
      </c>
      <c r="G132" s="98" t="s">
        <v>1637</v>
      </c>
      <c r="H132" s="98" t="s">
        <v>32</v>
      </c>
      <c r="I132" s="53">
        <v>45971</v>
      </c>
      <c r="J132" s="98">
        <v>1</v>
      </c>
      <c r="K132" s="98" t="s">
        <v>138</v>
      </c>
      <c r="L132" s="101">
        <f>VLOOKUP($C132&amp;$E132,'Updated SES'!A:N,14,0)</f>
        <v>4.1369999999999996</v>
      </c>
      <c r="M132" s="102">
        <f>VLOOKUP($K132,'Genre Penetration'!A:B,2,0)*VLOOKUP($C132&amp;$E132,'Updated SES'!A:I,9,0)</f>
        <v>0.35249999999999998</v>
      </c>
      <c r="N132" s="102">
        <f>VLOOKUP(K:K,'Genre Penetration'!A:C,3,0)*VLOOKUP($C132&amp;$E132,'Updated SES'!A:J,10,0)</f>
        <v>0.13250000000000001</v>
      </c>
      <c r="O132" s="102" t="e">
        <f>VLOOKUP($B132,'Language Penetration'!$B$1:$AY$14,MATCH('Compile data Working'!#REF!,'Language Penetration'!$B$1:$AY$1,0),0)</f>
        <v>#REF!</v>
      </c>
      <c r="P132" s="103" t="str">
        <f t="shared" ca="1" si="2"/>
        <v>36%</v>
      </c>
      <c r="Q132" s="101" t="e">
        <f t="shared" ca="1" si="3"/>
        <v>#REF!</v>
      </c>
      <c r="R132" s="104">
        <f>VLOOKUP(D:D,ranking!W:X,2,0)</f>
        <v>0.7</v>
      </c>
      <c r="S132" s="59">
        <v>5.0562413999999993E-2</v>
      </c>
    </row>
    <row r="133" spans="1:19" x14ac:dyDescent="0.25">
      <c r="A133" s="46" t="s">
        <v>1057</v>
      </c>
      <c r="B133" s="46" t="s">
        <v>85</v>
      </c>
      <c r="C133" s="46" t="s">
        <v>71</v>
      </c>
      <c r="D133" s="46" t="s">
        <v>434</v>
      </c>
      <c r="E133" s="98" t="s">
        <v>211</v>
      </c>
      <c r="F133" s="98" t="s">
        <v>458</v>
      </c>
      <c r="G133" s="98" t="s">
        <v>1309</v>
      </c>
      <c r="H133" s="98" t="s">
        <v>32</v>
      </c>
      <c r="I133" s="106">
        <v>45932</v>
      </c>
      <c r="J133" s="98">
        <v>2</v>
      </c>
      <c r="K133" s="46" t="s">
        <v>138</v>
      </c>
      <c r="L133" s="101">
        <f>VLOOKUP($C133&amp;$E133,'Updated SES'!A:N,14,0)</f>
        <v>4.1369999999999996</v>
      </c>
      <c r="M133" s="102">
        <f>VLOOKUP($K133,'Genre Penetration'!A:B,2,0)*VLOOKUP($C133&amp;$E133,'Updated SES'!A:I,9,0)</f>
        <v>0.35249999999999998</v>
      </c>
      <c r="N133" s="102">
        <f>VLOOKUP(K:K,'Genre Penetration'!A:C,3,0)*VLOOKUP($C133&amp;$E133,'Updated SES'!A:J,10,0)</f>
        <v>0.13250000000000001</v>
      </c>
      <c r="O133" s="102" t="e">
        <f>VLOOKUP($B133,'Language Penetration'!$B$1:$AY$14,MATCH('Compile data Working'!#REF!,'Language Penetration'!$B$1:$AY$1,0),0)</f>
        <v>#REF!</v>
      </c>
      <c r="P133" s="103" t="str">
        <f t="shared" ref="P133:P196" ca="1" si="4">IF(ISBLANK(J133),RANDBETWEEN(1,2)&amp;"%",IF(J133=1,RANDBETWEEN(35,40)&amp;"%",IF(J133=2,RANDBETWEEN(30,35)&amp;"%",IF(J133=3,RANDBETWEEN(25,30)&amp;"%",IF(J133=4,RANDBETWEEN(20,25)&amp;"%",IF(J133=5,RANDBETWEEN(15,20)&amp;"%",IF(J133=6,RANDBETWEEN(10,15)&amp;"%",IF(J133=7,RANDBETWEEN(8,10)&amp;"%",IF(J133=8,RANDBETWEEN(6,8)&amp;"%",IF(J133=9,RANDBETWEEN(4,6)&amp;"%",IF(J133=10,RANDBETWEEN(2,4)&amp;"%","")))))))))))</f>
        <v>33%</v>
      </c>
      <c r="Q133" s="101" t="e">
        <f t="shared" ref="Q133:Q196" ca="1" si="5">IFERROR(L133*(M133+N133)*O133*P133,RANDBETWEEN(1,2)%*L133*(M133+N133)*O133)</f>
        <v>#REF!</v>
      </c>
      <c r="R133" s="104">
        <f>VLOOKUP(D:D,ranking!W:X,2,0)</f>
        <v>0.7</v>
      </c>
      <c r="S133" s="59">
        <v>4.4242112249999986E-2</v>
      </c>
    </row>
    <row r="134" spans="1:19" x14ac:dyDescent="0.25">
      <c r="A134" s="46" t="s">
        <v>1057</v>
      </c>
      <c r="B134" s="46" t="s">
        <v>85</v>
      </c>
      <c r="C134" s="46" t="s">
        <v>71</v>
      </c>
      <c r="D134" s="46" t="s">
        <v>434</v>
      </c>
      <c r="E134" s="98" t="s">
        <v>211</v>
      </c>
      <c r="F134" s="98" t="s">
        <v>458</v>
      </c>
      <c r="G134" s="46" t="s">
        <v>1453</v>
      </c>
      <c r="H134" s="98" t="s">
        <v>32</v>
      </c>
      <c r="I134" s="53">
        <v>45952</v>
      </c>
      <c r="J134" s="46">
        <v>3</v>
      </c>
      <c r="K134" s="98" t="s">
        <v>1523</v>
      </c>
      <c r="L134" s="101">
        <f>VLOOKUP($C134&amp;$E134,'Updated SES'!A:N,14,0)</f>
        <v>4.1369999999999996</v>
      </c>
      <c r="M134" s="102">
        <f>VLOOKUP($K134,'Genre Penetration'!A:B,2,0)*VLOOKUP($C134&amp;$E134,'Updated SES'!A:I,9,0)</f>
        <v>0.41250000000000003</v>
      </c>
      <c r="N134" s="102">
        <f>VLOOKUP(K:K,'Genre Penetration'!A:C,3,0)*VLOOKUP($C134&amp;$E134,'Updated SES'!A:J,10,0)</f>
        <v>0.1125</v>
      </c>
      <c r="O134" s="102" t="e">
        <f>VLOOKUP($B134,'Language Penetration'!$B$1:$AY$14,MATCH('Compile data Working'!#REF!,'Language Penetration'!$B$1:$AY$1,0),0)</f>
        <v>#REF!</v>
      </c>
      <c r="P134" s="103" t="str">
        <f t="shared" ca="1" si="4"/>
        <v>27%</v>
      </c>
      <c r="Q134" s="101" t="e">
        <f t="shared" ca="1" si="5"/>
        <v>#REF!</v>
      </c>
      <c r="R134" s="104">
        <f>VLOOKUP(D:D,ranking!W:X,2,0)</f>
        <v>0.7</v>
      </c>
      <c r="S134" s="59">
        <v>4.1049382499999995E-2</v>
      </c>
    </row>
    <row r="135" spans="1:19" x14ac:dyDescent="0.25">
      <c r="A135" s="46" t="s">
        <v>1057</v>
      </c>
      <c r="B135" s="46" t="s">
        <v>85</v>
      </c>
      <c r="C135" s="46" t="s">
        <v>71</v>
      </c>
      <c r="D135" s="46" t="s">
        <v>431</v>
      </c>
      <c r="E135" s="98" t="s">
        <v>211</v>
      </c>
      <c r="F135" s="98" t="s">
        <v>457</v>
      </c>
      <c r="G135" s="98" t="s">
        <v>1666</v>
      </c>
      <c r="H135" s="98" t="s">
        <v>32</v>
      </c>
      <c r="I135" s="53">
        <v>45967</v>
      </c>
      <c r="J135" s="98">
        <v>4</v>
      </c>
      <c r="K135" s="98" t="s">
        <v>138</v>
      </c>
      <c r="L135" s="101">
        <f>VLOOKUP($C135&amp;$E135,'Updated SES'!A:N,14,0)</f>
        <v>4.1369999999999996</v>
      </c>
      <c r="M135" s="102">
        <f>VLOOKUP($K135,'Genre Penetration'!A:B,2,0)*VLOOKUP($C135&amp;$E135,'Updated SES'!A:I,9,0)</f>
        <v>0.35249999999999998</v>
      </c>
      <c r="N135" s="102">
        <f>VLOOKUP(K:K,'Genre Penetration'!A:C,3,0)*VLOOKUP($C135&amp;$E135,'Updated SES'!A:J,10,0)</f>
        <v>0.13250000000000001</v>
      </c>
      <c r="O135" s="102" t="e">
        <f>VLOOKUP($B135,'Language Penetration'!$B$1:$AY$14,MATCH('Compile data Working'!#REF!,'Language Penetration'!$B$1:$AY$1,0),0)</f>
        <v>#REF!</v>
      </c>
      <c r="P135" s="103" t="str">
        <f t="shared" ca="1" si="4"/>
        <v>23%</v>
      </c>
      <c r="Q135" s="101" t="e">
        <f t="shared" ca="1" si="5"/>
        <v>#REF!</v>
      </c>
      <c r="R135" s="104">
        <f>VLOOKUP(D:D,ranking!W:X,2,0)</f>
        <v>0.6</v>
      </c>
      <c r="S135" s="59">
        <v>2.2753086299999996E-2</v>
      </c>
    </row>
    <row r="136" spans="1:19" x14ac:dyDescent="0.25">
      <c r="A136" s="46" t="s">
        <v>1057</v>
      </c>
      <c r="B136" s="46" t="s">
        <v>85</v>
      </c>
      <c r="C136" s="46" t="s">
        <v>71</v>
      </c>
      <c r="D136" s="46" t="s">
        <v>434</v>
      </c>
      <c r="E136" s="98" t="s">
        <v>211</v>
      </c>
      <c r="F136" s="98" t="s">
        <v>458</v>
      </c>
      <c r="G136" s="46" t="s">
        <v>1345</v>
      </c>
      <c r="H136" s="98" t="s">
        <v>32</v>
      </c>
      <c r="I136" s="106">
        <v>45918</v>
      </c>
      <c r="J136" s="98">
        <v>5</v>
      </c>
      <c r="K136" s="98" t="s">
        <v>138</v>
      </c>
      <c r="L136" s="101">
        <f>VLOOKUP($C136&amp;$E136,'Updated SES'!A:N,14,0)</f>
        <v>4.1369999999999996</v>
      </c>
      <c r="M136" s="102">
        <f>VLOOKUP($K136,'Genre Penetration'!A:B,2,0)*VLOOKUP($C136&amp;$E136,'Updated SES'!A:I,9,0)</f>
        <v>0.35249999999999998</v>
      </c>
      <c r="N136" s="102">
        <f>VLOOKUP(K:K,'Genre Penetration'!A:C,3,0)*VLOOKUP($C136&amp;$E136,'Updated SES'!A:J,10,0)</f>
        <v>0.13250000000000001</v>
      </c>
      <c r="O136" s="102" t="e">
        <f>VLOOKUP($B136,'Language Penetration'!$B$1:$AY$14,MATCH('Compile data Working'!#REF!,'Language Penetration'!$B$1:$AY$1,0),0)</f>
        <v>#REF!</v>
      </c>
      <c r="P136" s="103" t="str">
        <f t="shared" ca="1" si="4"/>
        <v>15%</v>
      </c>
      <c r="Q136" s="101" t="e">
        <f t="shared" ca="1" si="5"/>
        <v>#REF!</v>
      </c>
      <c r="R136" s="104">
        <f>VLOOKUP(D:D,ranking!W:X,2,0)</f>
        <v>0.7</v>
      </c>
      <c r="S136" s="59">
        <v>1.8960905249999993E-2</v>
      </c>
    </row>
    <row r="137" spans="1:19" x14ac:dyDescent="0.25">
      <c r="A137" s="46" t="s">
        <v>1057</v>
      </c>
      <c r="B137" s="46" t="s">
        <v>85</v>
      </c>
      <c r="C137" s="46" t="s">
        <v>71</v>
      </c>
      <c r="D137" s="46" t="s">
        <v>431</v>
      </c>
      <c r="E137" s="98" t="s">
        <v>211</v>
      </c>
      <c r="F137" s="98" t="s">
        <v>457</v>
      </c>
      <c r="G137" s="46" t="s">
        <v>1347</v>
      </c>
      <c r="H137" s="98" t="s">
        <v>32</v>
      </c>
      <c r="I137" s="106">
        <v>44939</v>
      </c>
      <c r="J137" s="98">
        <v>6</v>
      </c>
      <c r="K137" s="98" t="s">
        <v>202</v>
      </c>
      <c r="L137" s="101">
        <f>VLOOKUP($C137&amp;$E137,'Updated SES'!A:N,14,0)</f>
        <v>4.1369999999999996</v>
      </c>
      <c r="M137" s="102">
        <f>VLOOKUP($K137,'Genre Penetration'!A:B,2,0)*VLOOKUP($C137&amp;$E137,'Updated SES'!A:I,9,0)</f>
        <v>0.54</v>
      </c>
      <c r="N137" s="102">
        <f>VLOOKUP(K:K,'Genre Penetration'!A:C,3,0)*VLOOKUP($C137&amp;$E137,'Updated SES'!A:J,10,0)</f>
        <v>7.0000000000000007E-2</v>
      </c>
      <c r="O137" s="102" t="e">
        <f>VLOOKUP($B137,'Language Penetration'!$B$1:$AY$14,MATCH('Compile data Working'!#REF!,'Language Penetration'!$B$1:$AY$1,0),0)</f>
        <v>#REF!</v>
      </c>
      <c r="P137" s="103" t="str">
        <f t="shared" ca="1" si="4"/>
        <v>11%</v>
      </c>
      <c r="Q137" s="101" t="e">
        <f t="shared" ca="1" si="5"/>
        <v>#REF!</v>
      </c>
      <c r="R137" s="104">
        <f>VLOOKUP(D:D,ranking!W:X,2,0)</f>
        <v>0.6</v>
      </c>
      <c r="S137" s="59">
        <v>2.0440916999999999E-2</v>
      </c>
    </row>
    <row r="138" spans="1:19" x14ac:dyDescent="0.25">
      <c r="A138" s="46" t="s">
        <v>1057</v>
      </c>
      <c r="B138" s="46" t="s">
        <v>85</v>
      </c>
      <c r="C138" s="46" t="s">
        <v>71</v>
      </c>
      <c r="D138" s="46" t="s">
        <v>434</v>
      </c>
      <c r="E138" s="46" t="s">
        <v>211</v>
      </c>
      <c r="F138" s="98" t="s">
        <v>458</v>
      </c>
      <c r="G138" s="46" t="s">
        <v>1348</v>
      </c>
      <c r="H138" s="98" t="s">
        <v>32</v>
      </c>
      <c r="I138" s="106">
        <v>45743</v>
      </c>
      <c r="J138" s="98">
        <v>7</v>
      </c>
      <c r="K138" s="98" t="s">
        <v>154</v>
      </c>
      <c r="L138" s="101">
        <f>VLOOKUP($C138&amp;$E138,'Updated SES'!A:N,14,0)</f>
        <v>4.1369999999999996</v>
      </c>
      <c r="M138" s="102">
        <f>VLOOKUP($K138,'Genre Penetration'!A:B,2,0)*VLOOKUP($C138&amp;$E138,'Updated SES'!A:I,9,0)</f>
        <v>0.22499999999999998</v>
      </c>
      <c r="N138" s="102">
        <f>VLOOKUP(K:K,'Genre Penetration'!A:C,3,0)*VLOOKUP($C138&amp;$E138,'Updated SES'!A:J,10,0)</f>
        <v>0.17499999999999999</v>
      </c>
      <c r="O138" s="102" t="e">
        <f>VLOOKUP($B138,'Language Penetration'!$B$1:$AY$14,MATCH('Compile data Working'!#REF!,'Language Penetration'!$B$1:$AY$1,0),0)</f>
        <v>#REF!</v>
      </c>
      <c r="P138" s="103" t="str">
        <f t="shared" ca="1" si="4"/>
        <v>9%</v>
      </c>
      <c r="Q138" s="101" t="e">
        <f t="shared" ca="1" si="5"/>
        <v>#REF!</v>
      </c>
      <c r="R138" s="104">
        <f>VLOOKUP(D:D,ranking!W:X,2,0)</f>
        <v>0.7</v>
      </c>
      <c r="S138" s="59">
        <v>9.3827159999999958E-3</v>
      </c>
    </row>
    <row r="139" spans="1:19" x14ac:dyDescent="0.25">
      <c r="A139" s="46" t="s">
        <v>1057</v>
      </c>
      <c r="B139" s="46" t="s">
        <v>85</v>
      </c>
      <c r="C139" s="46" t="s">
        <v>71</v>
      </c>
      <c r="D139" s="46" t="s">
        <v>434</v>
      </c>
      <c r="E139" s="46" t="s">
        <v>211</v>
      </c>
      <c r="F139" s="98" t="s">
        <v>458</v>
      </c>
      <c r="G139" s="46" t="s">
        <v>1349</v>
      </c>
      <c r="H139" s="98" t="s">
        <v>32</v>
      </c>
      <c r="I139" s="106">
        <v>45748</v>
      </c>
      <c r="J139" s="98">
        <v>8</v>
      </c>
      <c r="K139" s="98" t="s">
        <v>138</v>
      </c>
      <c r="L139" s="101">
        <f>VLOOKUP($C139&amp;$E139,'Updated SES'!A:N,14,0)</f>
        <v>4.1369999999999996</v>
      </c>
      <c r="M139" s="102">
        <f>VLOOKUP($K139,'Genre Penetration'!A:B,2,0)*VLOOKUP($C139&amp;$E139,'Updated SES'!A:I,9,0)</f>
        <v>0.35249999999999998</v>
      </c>
      <c r="N139" s="102">
        <f>VLOOKUP(K:K,'Genre Penetration'!A:C,3,0)*VLOOKUP($C139&amp;$E139,'Updated SES'!A:J,10,0)</f>
        <v>0.13250000000000001</v>
      </c>
      <c r="O139" s="102" t="e">
        <f>VLOOKUP($B139,'Language Penetration'!$B$1:$AY$14,MATCH('Compile data Working'!#REF!,'Language Penetration'!$B$1:$AY$1,0),0)</f>
        <v>#REF!</v>
      </c>
      <c r="P139" s="103" t="str">
        <f t="shared" ca="1" si="4"/>
        <v>6%</v>
      </c>
      <c r="Q139" s="101" t="e">
        <f t="shared" ca="1" si="5"/>
        <v>#REF!</v>
      </c>
      <c r="R139" s="104">
        <f>VLOOKUP(D:D,ranking!W:X,2,0)</f>
        <v>0.7</v>
      </c>
      <c r="S139" s="59">
        <v>1.0112482799999998E-2</v>
      </c>
    </row>
    <row r="140" spans="1:19" x14ac:dyDescent="0.25">
      <c r="A140" s="46" t="s">
        <v>1057</v>
      </c>
      <c r="B140" s="46" t="s">
        <v>85</v>
      </c>
      <c r="C140" s="46" t="s">
        <v>71</v>
      </c>
      <c r="D140" s="46" t="s">
        <v>434</v>
      </c>
      <c r="E140" s="46" t="s">
        <v>211</v>
      </c>
      <c r="F140" s="98" t="s">
        <v>458</v>
      </c>
      <c r="G140" s="46" t="s">
        <v>1344</v>
      </c>
      <c r="H140" s="98" t="s">
        <v>32</v>
      </c>
      <c r="I140" s="106">
        <v>45927</v>
      </c>
      <c r="J140" s="46">
        <v>9</v>
      </c>
      <c r="K140" s="98" t="s">
        <v>138</v>
      </c>
      <c r="L140" s="101">
        <f>VLOOKUP($C140&amp;$E140,'Updated SES'!A:N,14,0)</f>
        <v>4.1369999999999996</v>
      </c>
      <c r="M140" s="102">
        <f>VLOOKUP($K140,'Genre Penetration'!A:B,2,0)*VLOOKUP($C140&amp;$E140,'Updated SES'!A:I,9,0)</f>
        <v>0.35249999999999998</v>
      </c>
      <c r="N140" s="102">
        <f>VLOOKUP(K:K,'Genre Penetration'!A:C,3,0)*VLOOKUP($C140&amp;$E140,'Updated SES'!A:J,10,0)</f>
        <v>0.13250000000000001</v>
      </c>
      <c r="O140" s="102" t="e">
        <f>VLOOKUP($B140,'Language Penetration'!$B$1:$AY$14,MATCH('Compile data Working'!#REF!,'Language Penetration'!$B$1:$AY$1,0),0)</f>
        <v>#REF!</v>
      </c>
      <c r="P140" s="103" t="str">
        <f t="shared" ca="1" si="4"/>
        <v>6%</v>
      </c>
      <c r="Q140" s="101" t="e">
        <f t="shared" ca="1" si="5"/>
        <v>#REF!</v>
      </c>
      <c r="R140" s="104">
        <f>VLOOKUP(D:D,ranking!W:X,2,0)</f>
        <v>0.7</v>
      </c>
      <c r="S140" s="59">
        <v>6.3203017499999991E-3</v>
      </c>
    </row>
    <row r="141" spans="1:19" x14ac:dyDescent="0.25">
      <c r="A141" s="46" t="s">
        <v>1057</v>
      </c>
      <c r="B141" s="46" t="s">
        <v>85</v>
      </c>
      <c r="C141" s="46" t="s">
        <v>71</v>
      </c>
      <c r="D141" s="46" t="s">
        <v>431</v>
      </c>
      <c r="E141" s="46" t="s">
        <v>211</v>
      </c>
      <c r="F141" s="98" t="s">
        <v>457</v>
      </c>
      <c r="G141" s="46" t="s">
        <v>1346</v>
      </c>
      <c r="H141" s="98" t="s">
        <v>32</v>
      </c>
      <c r="I141" s="106">
        <v>45883</v>
      </c>
      <c r="J141" s="46">
        <v>10</v>
      </c>
      <c r="K141" s="98" t="s">
        <v>92</v>
      </c>
      <c r="L141" s="101">
        <f>VLOOKUP($C141&amp;$E141,'Updated SES'!A:N,14,0)</f>
        <v>4.1369999999999996</v>
      </c>
      <c r="M141" s="102">
        <f>VLOOKUP($K141,'Genre Penetration'!A:B,2,0)*VLOOKUP($C141&amp;$E141,'Updated SES'!A:I,9,0)</f>
        <v>0.39750000000000002</v>
      </c>
      <c r="N141" s="102">
        <f>VLOOKUP(K:K,'Genre Penetration'!A:C,3,0)*VLOOKUP($C141&amp;$E141,'Updated SES'!A:J,10,0)</f>
        <v>0.11749999999999999</v>
      </c>
      <c r="O141" s="102" t="e">
        <f>VLOOKUP($B141,'Language Penetration'!$B$1:$AY$14,MATCH('Compile data Working'!#REF!,'Language Penetration'!$B$1:$AY$1,0),0)</f>
        <v>#REF!</v>
      </c>
      <c r="P141" s="103" t="str">
        <f t="shared" ca="1" si="4"/>
        <v>2%</v>
      </c>
      <c r="Q141" s="101" t="e">
        <f t="shared" ca="1" si="5"/>
        <v>#REF!</v>
      </c>
      <c r="R141" s="104">
        <f>VLOOKUP(D:D,ranking!W:X,2,0)</f>
        <v>0.6</v>
      </c>
      <c r="S141" s="59">
        <v>2.3009993999999995E-3</v>
      </c>
    </row>
    <row r="142" spans="1:19" x14ac:dyDescent="0.25">
      <c r="A142" s="46" t="s">
        <v>1057</v>
      </c>
      <c r="B142" s="46" t="s">
        <v>85</v>
      </c>
      <c r="C142" s="46" t="s">
        <v>76</v>
      </c>
      <c r="D142" s="46" t="s">
        <v>431</v>
      </c>
      <c r="E142" s="46" t="s">
        <v>211</v>
      </c>
      <c r="F142" s="98" t="s">
        <v>457</v>
      </c>
      <c r="G142" s="46" t="s">
        <v>1350</v>
      </c>
      <c r="H142" s="98" t="s">
        <v>21</v>
      </c>
      <c r="I142" s="106">
        <v>45844</v>
      </c>
      <c r="J142" s="46">
        <v>1</v>
      </c>
      <c r="K142" s="98" t="s">
        <v>1145</v>
      </c>
      <c r="L142" s="101">
        <f>VLOOKUP($C142&amp;$E142,'Updated SES'!A:N,14,0)</f>
        <v>0.76400000000000001</v>
      </c>
      <c r="M142" s="102">
        <f>VLOOKUP($K142,'Genre Penetration'!A:B,2,0)*VLOOKUP($C142&amp;$E142,'Updated SES'!A:I,9,0)</f>
        <v>0.42</v>
      </c>
      <c r="N142" s="102">
        <f>VLOOKUP(K:K,'Genre Penetration'!A:C,3,0)*VLOOKUP($C142&amp;$E142,'Updated SES'!A:J,10,0)</f>
        <v>0.12</v>
      </c>
      <c r="O142" s="102" t="e">
        <f>VLOOKUP($B142,'Language Penetration'!$B$1:$AY$14,MATCH('Compile data Working'!#REF!,'Language Penetration'!$B$1:$AY$1,0),0)</f>
        <v>#REF!</v>
      </c>
      <c r="P142" s="103" t="str">
        <f t="shared" ca="1" si="4"/>
        <v>35%</v>
      </c>
      <c r="Q142" s="101" t="e">
        <f t="shared" ca="1" si="5"/>
        <v>#REF!</v>
      </c>
      <c r="R142" s="104">
        <f>VLOOKUP(D:D,ranking!W:X,2,0)</f>
        <v>0.6</v>
      </c>
      <c r="S142" s="59">
        <v>3.8615616000000012E-2</v>
      </c>
    </row>
    <row r="143" spans="1:19" x14ac:dyDescent="0.25">
      <c r="A143" s="46" t="s">
        <v>1057</v>
      </c>
      <c r="B143" s="46" t="s">
        <v>85</v>
      </c>
      <c r="C143" s="46" t="s">
        <v>76</v>
      </c>
      <c r="D143" s="46" t="s">
        <v>431</v>
      </c>
      <c r="E143" s="98" t="s">
        <v>211</v>
      </c>
      <c r="F143" s="98" t="s">
        <v>457</v>
      </c>
      <c r="G143" s="98" t="s">
        <v>1459</v>
      </c>
      <c r="H143" s="98" t="s">
        <v>21</v>
      </c>
      <c r="I143" s="106">
        <v>45395</v>
      </c>
      <c r="J143" s="46">
        <v>2</v>
      </c>
      <c r="K143" s="98" t="s">
        <v>1468</v>
      </c>
      <c r="L143" s="101">
        <f>VLOOKUP($C143&amp;$E143,'Updated SES'!A:N,14,0)</f>
        <v>0.76400000000000001</v>
      </c>
      <c r="M143" s="102">
        <f>VLOOKUP($K143,'Genre Penetration'!A:B,2,0)*VLOOKUP($C143&amp;$E143,'Updated SES'!A:I,9,0)</f>
        <v>0.432</v>
      </c>
      <c r="N143" s="102">
        <f>VLOOKUP(K:K,'Genre Penetration'!A:C,3,0)*VLOOKUP($C143&amp;$E143,'Updated SES'!A:J,10,0)</f>
        <v>0.11200000000000002</v>
      </c>
      <c r="O143" s="102" t="e">
        <f>VLOOKUP($B143,'Language Penetration'!$B$1:$AY$14,MATCH('Compile data Working'!#REF!,'Language Penetration'!$B$1:$AY$1,0),0)</f>
        <v>#REF!</v>
      </c>
      <c r="P143" s="103" t="str">
        <f t="shared" ca="1" si="4"/>
        <v>30%</v>
      </c>
      <c r="Q143" s="101" t="e">
        <f t="shared" ca="1" si="5"/>
        <v>#REF!</v>
      </c>
      <c r="R143" s="104">
        <f>VLOOKUP(D:D,ranking!W:X,2,0)</f>
        <v>0.6</v>
      </c>
      <c r="S143" s="59">
        <v>3.1919308800000004E-2</v>
      </c>
    </row>
    <row r="144" spans="1:19" x14ac:dyDescent="0.25">
      <c r="A144" s="46" t="s">
        <v>1057</v>
      </c>
      <c r="B144" s="46" t="s">
        <v>85</v>
      </c>
      <c r="C144" s="46" t="s">
        <v>76</v>
      </c>
      <c r="D144" s="46" t="s">
        <v>431</v>
      </c>
      <c r="E144" s="98" t="s">
        <v>211</v>
      </c>
      <c r="F144" s="98" t="s">
        <v>457</v>
      </c>
      <c r="G144" s="98" t="s">
        <v>1442</v>
      </c>
      <c r="H144" s="98" t="s">
        <v>20</v>
      </c>
      <c r="I144" s="106">
        <v>45752</v>
      </c>
      <c r="J144" s="46">
        <v>3</v>
      </c>
      <c r="K144" s="98" t="s">
        <v>66</v>
      </c>
      <c r="L144" s="101">
        <f>VLOOKUP($C144&amp;$E144,'Updated SES'!A:N,14,0)</f>
        <v>0.76400000000000001</v>
      </c>
      <c r="M144" s="102">
        <f>VLOOKUP($K144,'Genre Penetration'!A:B,2,0)*VLOOKUP($C144&amp;$E144,'Updated SES'!A:I,9,0)</f>
        <v>0.372</v>
      </c>
      <c r="N144" s="102">
        <f>VLOOKUP(K:K,'Genre Penetration'!A:C,3,0)*VLOOKUP($C144&amp;$E144,'Updated SES'!A:J,10,0)</f>
        <v>0.15200000000000002</v>
      </c>
      <c r="O144" s="102" t="e">
        <f>VLOOKUP($B144,'Language Penetration'!$B$1:$AY$14,MATCH('Compile data Working'!#REF!,'Language Penetration'!$B$1:$AY$1,0),0)</f>
        <v>#REF!</v>
      </c>
      <c r="P144" s="103" t="str">
        <f t="shared" ca="1" si="4"/>
        <v>26%</v>
      </c>
      <c r="Q144" s="101" t="e">
        <f t="shared" ca="1" si="5"/>
        <v>#REF!</v>
      </c>
      <c r="R144" s="104">
        <f>VLOOKUP(D:D,ranking!W:X,2,0)</f>
        <v>0.6</v>
      </c>
      <c r="S144" s="59">
        <v>1.2010080000000001E-2</v>
      </c>
    </row>
    <row r="145" spans="1:19" x14ac:dyDescent="0.25">
      <c r="A145" s="46" t="s">
        <v>1057</v>
      </c>
      <c r="B145" s="46" t="s">
        <v>85</v>
      </c>
      <c r="C145" s="46" t="s">
        <v>76</v>
      </c>
      <c r="D145" s="46" t="s">
        <v>431</v>
      </c>
      <c r="E145" s="98" t="s">
        <v>211</v>
      </c>
      <c r="F145" s="98" t="s">
        <v>457</v>
      </c>
      <c r="G145" s="98" t="s">
        <v>1460</v>
      </c>
      <c r="H145" s="98" t="s">
        <v>21</v>
      </c>
      <c r="I145" s="106">
        <v>44621</v>
      </c>
      <c r="J145" s="46">
        <v>4</v>
      </c>
      <c r="K145" s="98" t="s">
        <v>1145</v>
      </c>
      <c r="L145" s="101">
        <f>VLOOKUP($C145&amp;$E145,'Updated SES'!A:N,14,0)</f>
        <v>0.76400000000000001</v>
      </c>
      <c r="M145" s="102">
        <f>VLOOKUP($K145,'Genre Penetration'!A:B,2,0)*VLOOKUP($C145&amp;$E145,'Updated SES'!A:I,9,0)</f>
        <v>0.42</v>
      </c>
      <c r="N145" s="102">
        <f>VLOOKUP(K:K,'Genre Penetration'!A:C,3,0)*VLOOKUP($C145&amp;$E145,'Updated SES'!A:J,10,0)</f>
        <v>0.12</v>
      </c>
      <c r="O145" s="102" t="e">
        <f>VLOOKUP($B145,'Language Penetration'!$B$1:$AY$14,MATCH('Compile data Working'!#REF!,'Language Penetration'!$B$1:$AY$1,0),0)</f>
        <v>#REF!</v>
      </c>
      <c r="P145" s="103" t="str">
        <f t="shared" ca="1" si="4"/>
        <v>24%</v>
      </c>
      <c r="Q145" s="101" t="e">
        <f t="shared" ca="1" si="5"/>
        <v>#REF!</v>
      </c>
      <c r="R145" s="104">
        <f>VLOOKUP(D:D,ranking!W:X,2,0)</f>
        <v>0.6</v>
      </c>
      <c r="S145" s="59">
        <v>2.2773312000000004E-2</v>
      </c>
    </row>
    <row r="146" spans="1:19" x14ac:dyDescent="0.25">
      <c r="A146" s="46" t="s">
        <v>1057</v>
      </c>
      <c r="B146" s="46" t="s">
        <v>85</v>
      </c>
      <c r="C146" s="46" t="s">
        <v>76</v>
      </c>
      <c r="D146" s="46" t="s">
        <v>431</v>
      </c>
      <c r="E146" s="98" t="s">
        <v>211</v>
      </c>
      <c r="F146" s="98" t="s">
        <v>457</v>
      </c>
      <c r="G146" s="98" t="s">
        <v>1351</v>
      </c>
      <c r="H146" s="98" t="s">
        <v>77</v>
      </c>
      <c r="I146" s="106">
        <v>45568</v>
      </c>
      <c r="J146" s="46">
        <v>5</v>
      </c>
      <c r="K146" s="98" t="s">
        <v>1146</v>
      </c>
      <c r="L146" s="101">
        <f>VLOOKUP($C146&amp;$E146,'Updated SES'!A:N,14,0)</f>
        <v>0.76400000000000001</v>
      </c>
      <c r="M146" s="102">
        <f>VLOOKUP($K146,'Genre Penetration'!A:B,2,0)*VLOOKUP($C146&amp;$E146,'Updated SES'!A:I,9,0)</f>
        <v>0.40800000000000003</v>
      </c>
      <c r="N146" s="102">
        <f>VLOOKUP(K:K,'Genre Penetration'!A:C,3,0)*VLOOKUP($C146&amp;$E146,'Updated SES'!A:J,10,0)</f>
        <v>0.128</v>
      </c>
      <c r="O146" s="102">
        <v>0.5</v>
      </c>
      <c r="P146" s="103" t="str">
        <f t="shared" ca="1" si="4"/>
        <v>19%</v>
      </c>
      <c r="Q146" s="101">
        <f t="shared" ca="1" si="5"/>
        <v>3.8902880000000001E-2</v>
      </c>
      <c r="R146" s="104">
        <f>VLOOKUP(D:D,ranking!W:X,2,0)</f>
        <v>0.6</v>
      </c>
      <c r="S146" s="59">
        <v>2.0884704000000004E-2</v>
      </c>
    </row>
    <row r="147" spans="1:19" x14ac:dyDescent="0.25">
      <c r="A147" s="46" t="s">
        <v>1057</v>
      </c>
      <c r="B147" s="46" t="s">
        <v>85</v>
      </c>
      <c r="C147" s="46" t="s">
        <v>76</v>
      </c>
      <c r="D147" s="46" t="s">
        <v>431</v>
      </c>
      <c r="E147" s="98" t="s">
        <v>211</v>
      </c>
      <c r="F147" s="98" t="s">
        <v>457</v>
      </c>
      <c r="G147" s="98" t="s">
        <v>1443</v>
      </c>
      <c r="H147" s="98" t="s">
        <v>20</v>
      </c>
      <c r="I147" s="106">
        <v>45842</v>
      </c>
      <c r="J147" s="98">
        <v>6</v>
      </c>
      <c r="K147" s="98" t="s">
        <v>186</v>
      </c>
      <c r="L147" s="101">
        <f>VLOOKUP($C147&amp;$E147,'Updated SES'!A:N,14,0)</f>
        <v>0.76400000000000001</v>
      </c>
      <c r="M147" s="102">
        <f>VLOOKUP($K147,'Genre Penetration'!A:B,2,0)*VLOOKUP($C147&amp;$E147,'Updated SES'!A:I,9,0)</f>
        <v>0.32400000000000001</v>
      </c>
      <c r="N147" s="102">
        <f>VLOOKUP(K:K,'Genre Penetration'!A:C,3,0)*VLOOKUP($C147&amp;$E147,'Updated SES'!A:J,10,0)</f>
        <v>0.18400000000000002</v>
      </c>
      <c r="O147" s="102" t="e">
        <f>VLOOKUP($B147,'Language Penetration'!$B$1:$AY$14,MATCH('Compile data Working'!#REF!,'Language Penetration'!$B$1:$AY$1,0),0)</f>
        <v>#REF!</v>
      </c>
      <c r="P147" s="103" t="str">
        <f t="shared" ca="1" si="4"/>
        <v>11%</v>
      </c>
      <c r="Q147" s="101" t="e">
        <f t="shared" ca="1" si="5"/>
        <v>#REF!</v>
      </c>
      <c r="R147" s="104">
        <f>VLOOKUP(D:D,ranking!W:X,2,0)</f>
        <v>0.6</v>
      </c>
      <c r="S147" s="59">
        <v>4.6573440000000008E-3</v>
      </c>
    </row>
    <row r="148" spans="1:19" x14ac:dyDescent="0.25">
      <c r="A148" s="46" t="s">
        <v>1057</v>
      </c>
      <c r="B148" s="46" t="s">
        <v>85</v>
      </c>
      <c r="C148" s="46" t="s">
        <v>76</v>
      </c>
      <c r="D148" s="46" t="s">
        <v>431</v>
      </c>
      <c r="E148" s="98" t="s">
        <v>211</v>
      </c>
      <c r="F148" s="98" t="s">
        <v>457</v>
      </c>
      <c r="G148" s="98" t="s">
        <v>1667</v>
      </c>
      <c r="H148" s="98" t="s">
        <v>21</v>
      </c>
      <c r="I148" s="53">
        <v>45937</v>
      </c>
      <c r="J148" s="98">
        <v>7</v>
      </c>
      <c r="K148" s="98" t="s">
        <v>277</v>
      </c>
      <c r="L148" s="101">
        <f>VLOOKUP($C148&amp;$E148,'Updated SES'!A:N,14,0)</f>
        <v>0.76400000000000001</v>
      </c>
      <c r="M148" s="102">
        <f>VLOOKUP($K148,'Genre Penetration'!A:B,2,0)*VLOOKUP($C148&amp;$E148,'Updated SES'!A:I,9,0)</f>
        <v>0.36599999999999999</v>
      </c>
      <c r="N148" s="102">
        <f>VLOOKUP(K:K,'Genre Penetration'!A:C,3,0)*VLOOKUP($C148&amp;$E148,'Updated SES'!A:J,10,0)</f>
        <v>0.15600000000000003</v>
      </c>
      <c r="O148" s="102" t="e">
        <f>VLOOKUP($B148,'Language Penetration'!$B$1:$AY$14,MATCH('Compile data Working'!#REF!,'Language Penetration'!$B$1:$AY$1,0),0)</f>
        <v>#REF!</v>
      </c>
      <c r="P148" s="103" t="str">
        <f t="shared" ca="1" si="4"/>
        <v>10%</v>
      </c>
      <c r="Q148" s="101" t="e">
        <f t="shared" ca="1" si="5"/>
        <v>#REF!</v>
      </c>
      <c r="R148" s="104">
        <f>VLOOKUP(D:D,ranking!W:X,2,0)</f>
        <v>0.6</v>
      </c>
      <c r="S148" s="59">
        <v>7.6571135999999995E-3</v>
      </c>
    </row>
    <row r="149" spans="1:19" x14ac:dyDescent="0.25">
      <c r="A149" s="46" t="s">
        <v>1057</v>
      </c>
      <c r="B149" s="46" t="s">
        <v>85</v>
      </c>
      <c r="C149" s="46" t="s">
        <v>76</v>
      </c>
      <c r="D149" s="46" t="s">
        <v>431</v>
      </c>
      <c r="E149" s="98" t="s">
        <v>211</v>
      </c>
      <c r="F149" s="98" t="s">
        <v>457</v>
      </c>
      <c r="G149" s="46" t="s">
        <v>1491</v>
      </c>
      <c r="H149" s="98" t="s">
        <v>77</v>
      </c>
      <c r="I149" s="53">
        <v>45666</v>
      </c>
      <c r="J149" s="98">
        <v>8</v>
      </c>
      <c r="K149" s="98" t="s">
        <v>1417</v>
      </c>
      <c r="L149" s="101">
        <f>VLOOKUP($C149&amp;$E149,'Updated SES'!A:N,14,0)</f>
        <v>0.76400000000000001</v>
      </c>
      <c r="M149" s="102">
        <f>VLOOKUP($K149,'Genre Penetration'!A:B,2,0)*VLOOKUP($C149&amp;$E149,'Updated SES'!A:I,9,0)</f>
        <v>0.32800000000000001</v>
      </c>
      <c r="N149" s="102">
        <f>VLOOKUP(K:K,'Genre Penetration'!A:C,3,0)*VLOOKUP($C149&amp;$E149,'Updated SES'!A:J,10,0)</f>
        <v>0.18133333333333335</v>
      </c>
      <c r="O149" s="102">
        <v>0.5</v>
      </c>
      <c r="P149" s="103" t="str">
        <f t="shared" ca="1" si="4"/>
        <v>7%</v>
      </c>
      <c r="Q149" s="101">
        <f t="shared" ca="1" si="5"/>
        <v>1.3619573333333338E-2</v>
      </c>
      <c r="R149" s="104">
        <f>VLOOKUP(D:D,ranking!W:X,2,0)</f>
        <v>0.6</v>
      </c>
      <c r="S149" s="59">
        <v>7.0043520000000001E-3</v>
      </c>
    </row>
    <row r="150" spans="1:19" x14ac:dyDescent="0.25">
      <c r="A150" s="46" t="s">
        <v>1057</v>
      </c>
      <c r="B150" s="46" t="s">
        <v>85</v>
      </c>
      <c r="C150" s="46" t="s">
        <v>76</v>
      </c>
      <c r="D150" s="46" t="s">
        <v>431</v>
      </c>
      <c r="E150" s="98" t="s">
        <v>211</v>
      </c>
      <c r="F150" s="98" t="s">
        <v>457</v>
      </c>
      <c r="G150" s="98" t="s">
        <v>1668</v>
      </c>
      <c r="H150" s="98" t="s">
        <v>20</v>
      </c>
      <c r="I150" s="53">
        <v>45849</v>
      </c>
      <c r="J150" s="98">
        <v>9</v>
      </c>
      <c r="K150" s="98" t="s">
        <v>1751</v>
      </c>
      <c r="L150" s="101">
        <f>VLOOKUP($C150&amp;$E150,'Updated SES'!A:N,14,0)</f>
        <v>0.76400000000000001</v>
      </c>
      <c r="M150" s="102">
        <f>VLOOKUP($K150,'Genre Penetration'!A:B,2,0)*VLOOKUP($C150&amp;$E150,'Updated SES'!A:I,9,0)</f>
        <v>0.36</v>
      </c>
      <c r="N150" s="102">
        <f>VLOOKUP(K:K,'Genre Penetration'!A:C,3,0)*VLOOKUP($C150&amp;$E150,'Updated SES'!A:J,10,0)</f>
        <v>0.16000000000000003</v>
      </c>
      <c r="O150" s="102" t="e">
        <f>VLOOKUP($B150,'Language Penetration'!$B$1:$AY$14,MATCH('Compile data Working'!#REF!,'Language Penetration'!$B$1:$AY$1,0),0)</f>
        <v>#REF!</v>
      </c>
      <c r="P150" s="103" t="str">
        <f t="shared" ca="1" si="4"/>
        <v>4%</v>
      </c>
      <c r="Q150" s="101" t="e">
        <f t="shared" ca="1" si="5"/>
        <v>#REF!</v>
      </c>
      <c r="R150" s="104">
        <f>VLOOKUP(D:D,ranking!W:X,2,0)</f>
        <v>0.6</v>
      </c>
      <c r="S150" s="59">
        <v>2.8604160000000006E-3</v>
      </c>
    </row>
    <row r="151" spans="1:19" x14ac:dyDescent="0.25">
      <c r="A151" s="46" t="s">
        <v>1057</v>
      </c>
      <c r="B151" s="46" t="s">
        <v>85</v>
      </c>
      <c r="C151" s="46" t="s">
        <v>76</v>
      </c>
      <c r="D151" s="46" t="s">
        <v>431</v>
      </c>
      <c r="E151" s="98" t="s">
        <v>211</v>
      </c>
      <c r="F151" s="98" t="s">
        <v>457</v>
      </c>
      <c r="G151" s="46" t="s">
        <v>1490</v>
      </c>
      <c r="H151" s="98" t="s">
        <v>77</v>
      </c>
      <c r="I151" s="106">
        <v>45840</v>
      </c>
      <c r="J151" s="98">
        <v>10</v>
      </c>
      <c r="K151" s="98" t="s">
        <v>1150</v>
      </c>
      <c r="L151" s="101">
        <f>VLOOKUP($C151&amp;$E151,'Updated SES'!A:N,14,0)</f>
        <v>0.76400000000000001</v>
      </c>
      <c r="M151" s="102">
        <f>VLOOKUP($K151,'Genre Penetration'!A:B,2,0)*VLOOKUP($C151&amp;$E151,'Updated SES'!A:I,9,0)</f>
        <v>0.39600000000000002</v>
      </c>
      <c r="N151" s="102">
        <f>VLOOKUP(K:K,'Genre Penetration'!A:C,3,0)*VLOOKUP($C151&amp;$E151,'Updated SES'!A:J,10,0)</f>
        <v>0.13600000000000001</v>
      </c>
      <c r="O151" s="102">
        <v>0.5</v>
      </c>
      <c r="P151" s="103" t="str">
        <f t="shared" ca="1" si="4"/>
        <v>4%</v>
      </c>
      <c r="Q151" s="101">
        <f t="shared" ca="1" si="5"/>
        <v>8.128960000000001E-3</v>
      </c>
      <c r="R151" s="104">
        <f>VLOOKUP(D:D,ranking!W:X,2,0)</f>
        <v>0.6</v>
      </c>
      <c r="S151" s="59">
        <v>2.4386880000000001E-3</v>
      </c>
    </row>
    <row r="152" spans="1:19" x14ac:dyDescent="0.25">
      <c r="A152" s="46" t="s">
        <v>1057</v>
      </c>
      <c r="B152" s="46" t="s">
        <v>85</v>
      </c>
      <c r="C152" s="46" t="s">
        <v>82</v>
      </c>
      <c r="D152" s="46" t="s">
        <v>431</v>
      </c>
      <c r="E152" s="98" t="s">
        <v>211</v>
      </c>
      <c r="F152" s="98" t="s">
        <v>457</v>
      </c>
      <c r="G152" s="98" t="s">
        <v>1669</v>
      </c>
      <c r="H152" s="98" t="s">
        <v>19</v>
      </c>
      <c r="I152" s="106">
        <v>45824</v>
      </c>
      <c r="J152" s="98">
        <v>1</v>
      </c>
      <c r="K152" s="98" t="s">
        <v>184</v>
      </c>
      <c r="L152" s="101">
        <f>VLOOKUP($C152&amp;$E152,'Updated SES'!A:N,14,0)</f>
        <v>36.563850000000002</v>
      </c>
      <c r="M152" s="102">
        <f>VLOOKUP($K152,'Genre Penetration'!A:B,2,0)*VLOOKUP($C152&amp;$E152,'Updated SES'!A:I,9,0)</f>
        <v>0.34299999999999997</v>
      </c>
      <c r="N152" s="102">
        <f>VLOOKUP(K:K,'Genre Penetration'!A:C,3,0)*VLOOKUP($C152&amp;$E152,'Updated SES'!A:J,10,0)</f>
        <v>0.153</v>
      </c>
      <c r="O152" s="102" t="e">
        <f>VLOOKUP($B152,'Language Penetration'!$B$1:$AY$14,MATCH('Compile data Working'!#REF!,'Language Penetration'!$B$1:$AY$1,0),0)</f>
        <v>#REF!</v>
      </c>
      <c r="P152" s="103" t="str">
        <f t="shared" ca="1" si="4"/>
        <v>40%</v>
      </c>
      <c r="Q152" s="101" t="e">
        <f t="shared" ca="1" si="5"/>
        <v>#REF!</v>
      </c>
      <c r="R152" s="104">
        <f>VLOOKUP(D:D,ranking!W:X,2,0)</f>
        <v>0.6</v>
      </c>
      <c r="S152" s="59">
        <v>2.6115364223999999</v>
      </c>
    </row>
    <row r="153" spans="1:19" x14ac:dyDescent="0.25">
      <c r="A153" s="46" t="s">
        <v>1057</v>
      </c>
      <c r="B153" s="46" t="s">
        <v>85</v>
      </c>
      <c r="C153" s="46" t="s">
        <v>82</v>
      </c>
      <c r="D153" s="46" t="s">
        <v>433</v>
      </c>
      <c r="E153" s="98" t="s">
        <v>219</v>
      </c>
      <c r="F153" s="98" t="s">
        <v>457</v>
      </c>
      <c r="G153" s="98" t="s">
        <v>1670</v>
      </c>
      <c r="H153" s="98" t="s">
        <v>36</v>
      </c>
      <c r="I153" s="106">
        <v>45822</v>
      </c>
      <c r="J153" s="98">
        <v>2</v>
      </c>
      <c r="K153" s="98" t="s">
        <v>184</v>
      </c>
      <c r="L153" s="101">
        <f>VLOOKUP($C153&amp;$E153,'Updated SES'!A:N,14,0)</f>
        <v>17.07</v>
      </c>
      <c r="M153" s="102">
        <f>VLOOKUP($K153,'Genre Penetration'!A:B,2,0)*VLOOKUP($C153&amp;$E153,'Updated SES'!A:I,9,0)</f>
        <v>0.31850000000000001</v>
      </c>
      <c r="N153" s="102">
        <f>VLOOKUP(K:K,'Genre Penetration'!A:C,3,0)*VLOOKUP($C153&amp;$E153,'Updated SES'!A:J,10,0)</f>
        <v>0.17849999999999999</v>
      </c>
      <c r="O153" s="102" t="e">
        <f>VLOOKUP($B153,'Language Penetration'!$B$1:$AY$14,MATCH('Compile data Working'!#REF!,'Language Penetration'!$B$1:$AY$1,0),0)</f>
        <v>#REF!</v>
      </c>
      <c r="P153" s="103" t="str">
        <f t="shared" ca="1" si="4"/>
        <v>31%</v>
      </c>
      <c r="Q153" s="101" t="e">
        <f t="shared" ca="1" si="5"/>
        <v>#REF!</v>
      </c>
      <c r="R153" s="104">
        <f>VLOOKUP(D:D,ranking!W:X,2,0)</f>
        <v>0.6</v>
      </c>
      <c r="S153" s="59">
        <v>0.17815959000000001</v>
      </c>
    </row>
    <row r="154" spans="1:19" x14ac:dyDescent="0.25">
      <c r="A154" s="46" t="s">
        <v>1057</v>
      </c>
      <c r="B154" s="46" t="s">
        <v>85</v>
      </c>
      <c r="C154" s="46" t="s">
        <v>82</v>
      </c>
      <c r="D154" s="46" t="s">
        <v>431</v>
      </c>
      <c r="E154" s="98" t="s">
        <v>211</v>
      </c>
      <c r="F154" s="98" t="s">
        <v>457</v>
      </c>
      <c r="G154" s="98" t="s">
        <v>1671</v>
      </c>
      <c r="H154" s="98" t="s">
        <v>19</v>
      </c>
      <c r="I154" s="106">
        <v>45796</v>
      </c>
      <c r="J154" s="98">
        <v>3</v>
      </c>
      <c r="K154" s="98" t="s">
        <v>184</v>
      </c>
      <c r="L154" s="101">
        <f>VLOOKUP($C154&amp;$E154,'Updated SES'!A:N,14,0)</f>
        <v>36.563850000000002</v>
      </c>
      <c r="M154" s="102">
        <f>VLOOKUP($K154,'Genre Penetration'!A:B,2,0)*VLOOKUP($C154&amp;$E154,'Updated SES'!A:I,9,0)</f>
        <v>0.34299999999999997</v>
      </c>
      <c r="N154" s="102">
        <f>VLOOKUP(K:K,'Genre Penetration'!A:C,3,0)*VLOOKUP($C154&amp;$E154,'Updated SES'!A:J,10,0)</f>
        <v>0.153</v>
      </c>
      <c r="O154" s="102" t="e">
        <f>VLOOKUP($B154,'Language Penetration'!$B$1:$AY$14,MATCH('Compile data Working'!#REF!,'Language Penetration'!$B$1:$AY$1,0),0)</f>
        <v>#REF!</v>
      </c>
      <c r="P154" s="103" t="str">
        <f t="shared" ca="1" si="4"/>
        <v>25%</v>
      </c>
      <c r="Q154" s="101" t="e">
        <f t="shared" ca="1" si="5"/>
        <v>#REF!</v>
      </c>
      <c r="R154" s="104">
        <f>VLOOKUP(D:D,ranking!W:X,2,0)</f>
        <v>0.6</v>
      </c>
      <c r="S154" s="59">
        <v>1.9586523167999996</v>
      </c>
    </row>
    <row r="155" spans="1:19" x14ac:dyDescent="0.25">
      <c r="A155" s="46" t="s">
        <v>1057</v>
      </c>
      <c r="B155" s="46" t="s">
        <v>85</v>
      </c>
      <c r="C155" s="46" t="s">
        <v>82</v>
      </c>
      <c r="D155" s="46" t="s">
        <v>433</v>
      </c>
      <c r="E155" s="98" t="s">
        <v>219</v>
      </c>
      <c r="F155" s="98" t="s">
        <v>457</v>
      </c>
      <c r="G155" s="98" t="s">
        <v>1672</v>
      </c>
      <c r="H155" s="98" t="s">
        <v>36</v>
      </c>
      <c r="I155" s="106">
        <v>45808</v>
      </c>
      <c r="J155" s="98">
        <v>4</v>
      </c>
      <c r="K155" s="98" t="s">
        <v>216</v>
      </c>
      <c r="L155" s="101">
        <f>VLOOKUP($C155&amp;$E155,'Updated SES'!A:N,14,0)</f>
        <v>17.07</v>
      </c>
      <c r="M155" s="102">
        <f>VLOOKUP($K155,'Genre Penetration'!A:B,2,0)*VLOOKUP($C155&amp;$E155,'Updated SES'!A:I,9,0)</f>
        <v>0.32500000000000001</v>
      </c>
      <c r="N155" s="102">
        <f>VLOOKUP(K:K,'Genre Penetration'!A:C,3,0)*VLOOKUP($C155&amp;$E155,'Updated SES'!A:J,10,0)</f>
        <v>0.17499999999999999</v>
      </c>
      <c r="O155" s="102" t="e">
        <f>VLOOKUP($B155,'Language Penetration'!$B$1:$AY$14,MATCH('Compile data Working'!#REF!,'Language Penetration'!$B$1:$AY$1,0),0)</f>
        <v>#REF!</v>
      </c>
      <c r="P155" s="103" t="str">
        <f t="shared" ca="1" si="4"/>
        <v>24%</v>
      </c>
      <c r="Q155" s="101" t="e">
        <f t="shared" ca="1" si="5"/>
        <v>#REF!</v>
      </c>
      <c r="R155" s="104">
        <f>VLOOKUP(D:D,ranking!W:X,2,0)</f>
        <v>0.6</v>
      </c>
      <c r="S155" s="59">
        <v>0.117783</v>
      </c>
    </row>
    <row r="156" spans="1:19" x14ac:dyDescent="0.25">
      <c r="A156" s="46" t="s">
        <v>1057</v>
      </c>
      <c r="B156" s="46" t="s">
        <v>85</v>
      </c>
      <c r="C156" s="46" t="s">
        <v>82</v>
      </c>
      <c r="D156" s="46" t="s">
        <v>433</v>
      </c>
      <c r="E156" s="98" t="s">
        <v>219</v>
      </c>
      <c r="F156" s="98" t="s">
        <v>457</v>
      </c>
      <c r="G156" s="98" t="s">
        <v>1673</v>
      </c>
      <c r="H156" s="98" t="s">
        <v>19</v>
      </c>
      <c r="I156" s="106">
        <v>45804</v>
      </c>
      <c r="J156" s="98">
        <v>5</v>
      </c>
      <c r="K156" s="98" t="s">
        <v>178</v>
      </c>
      <c r="L156" s="101">
        <f>VLOOKUP($C156&amp;$E156,'Updated SES'!A:N,14,0)</f>
        <v>17.07</v>
      </c>
      <c r="M156" s="102">
        <f>VLOOKUP($K156,'Genre Penetration'!A:B,2,0)*VLOOKUP($C156&amp;$E156,'Updated SES'!A:I,9,0)</f>
        <v>0.39650000000000002</v>
      </c>
      <c r="N156" s="102">
        <f>VLOOKUP(K:K,'Genre Penetration'!A:C,3,0)*VLOOKUP($C156&amp;$E156,'Updated SES'!A:J,10,0)</f>
        <v>0.13649999999999998</v>
      </c>
      <c r="O156" s="102" t="e">
        <f>VLOOKUP($B156,'Language Penetration'!$B$1:$AY$14,MATCH('Compile data Working'!#REF!,'Language Penetration'!$B$1:$AY$1,0),0)</f>
        <v>#REF!</v>
      </c>
      <c r="P156" s="103" t="str">
        <f t="shared" ca="1" si="4"/>
        <v>17%</v>
      </c>
      <c r="Q156" s="101" t="e">
        <f t="shared" ca="1" si="5"/>
        <v>#REF!</v>
      </c>
      <c r="R156" s="104">
        <f>VLOOKUP(D:D,ranking!W:X,2,0)</f>
        <v>0.6</v>
      </c>
      <c r="S156" s="59">
        <v>0.62232440400000011</v>
      </c>
    </row>
    <row r="157" spans="1:19" x14ac:dyDescent="0.25">
      <c r="A157" s="46" t="s">
        <v>1057</v>
      </c>
      <c r="B157" s="46" t="s">
        <v>85</v>
      </c>
      <c r="C157" s="46" t="s">
        <v>82</v>
      </c>
      <c r="D157" s="46" t="s">
        <v>433</v>
      </c>
      <c r="E157" s="98" t="s">
        <v>219</v>
      </c>
      <c r="F157" s="98" t="s">
        <v>457</v>
      </c>
      <c r="G157" s="98" t="s">
        <v>1674</v>
      </c>
      <c r="H157" s="98" t="s">
        <v>36</v>
      </c>
      <c r="I157" s="106">
        <v>45815</v>
      </c>
      <c r="J157" s="98">
        <v>6</v>
      </c>
      <c r="K157" s="98" t="s">
        <v>184</v>
      </c>
      <c r="L157" s="101">
        <f>VLOOKUP($C157&amp;$E157,'Updated SES'!A:N,14,0)</f>
        <v>17.07</v>
      </c>
      <c r="M157" s="102">
        <f>VLOOKUP($K157,'Genre Penetration'!A:B,2,0)*VLOOKUP($C157&amp;$E157,'Updated SES'!A:I,9,0)</f>
        <v>0.31850000000000001</v>
      </c>
      <c r="N157" s="102">
        <f>VLOOKUP(K:K,'Genre Penetration'!A:C,3,0)*VLOOKUP($C157&amp;$E157,'Updated SES'!A:J,10,0)</f>
        <v>0.17849999999999999</v>
      </c>
      <c r="O157" s="102" t="e">
        <f>VLOOKUP($B157,'Language Penetration'!$B$1:$AY$14,MATCH('Compile data Working'!#REF!,'Language Penetration'!$B$1:$AY$1,0),0)</f>
        <v>#REF!</v>
      </c>
      <c r="P157" s="103" t="str">
        <f t="shared" ca="1" si="4"/>
        <v>11%</v>
      </c>
      <c r="Q157" s="101" t="e">
        <f t="shared" ca="1" si="5"/>
        <v>#REF!</v>
      </c>
      <c r="R157" s="104">
        <f>VLOOKUP(D:D,ranking!W:X,2,0)</f>
        <v>0.6</v>
      </c>
      <c r="S157" s="59">
        <v>7.1263836000000011E-2</v>
      </c>
    </row>
    <row r="158" spans="1:19" x14ac:dyDescent="0.25">
      <c r="A158" s="46" t="s">
        <v>1057</v>
      </c>
      <c r="B158" s="46" t="s">
        <v>85</v>
      </c>
      <c r="C158" s="46" t="s">
        <v>82</v>
      </c>
      <c r="D158" s="46" t="s">
        <v>433</v>
      </c>
      <c r="E158" s="98" t="s">
        <v>219</v>
      </c>
      <c r="F158" s="98" t="s">
        <v>457</v>
      </c>
      <c r="G158" s="98" t="s">
        <v>1675</v>
      </c>
      <c r="H158" s="98" t="s">
        <v>36</v>
      </c>
      <c r="I158" s="106">
        <v>45794</v>
      </c>
      <c r="J158" s="98">
        <v>7</v>
      </c>
      <c r="K158" s="98" t="s">
        <v>216</v>
      </c>
      <c r="L158" s="101">
        <f>VLOOKUP($C158&amp;$E158,'Updated SES'!A:N,14,0)</f>
        <v>17.07</v>
      </c>
      <c r="M158" s="102">
        <f>VLOOKUP($K158,'Genre Penetration'!A:B,2,0)*VLOOKUP($C158&amp;$E158,'Updated SES'!A:I,9,0)</f>
        <v>0.32500000000000001</v>
      </c>
      <c r="N158" s="102">
        <f>VLOOKUP(K:K,'Genre Penetration'!A:C,3,0)*VLOOKUP($C158&amp;$E158,'Updated SES'!A:J,10,0)</f>
        <v>0.17499999999999999</v>
      </c>
      <c r="O158" s="102" t="e">
        <f>VLOOKUP($B158,'Language Penetration'!$B$1:$AY$14,MATCH('Compile data Working'!#REF!,'Language Penetration'!$B$1:$AY$1,0),0)</f>
        <v>#REF!</v>
      </c>
      <c r="P158" s="103" t="str">
        <f t="shared" ca="1" si="4"/>
        <v>10%</v>
      </c>
      <c r="Q158" s="101" t="e">
        <f t="shared" ca="1" si="5"/>
        <v>#REF!</v>
      </c>
      <c r="R158" s="104">
        <f>VLOOKUP(D:D,ranking!W:X,2,0)</f>
        <v>0.6</v>
      </c>
      <c r="S158" s="59">
        <v>4.6088999999999998E-2</v>
      </c>
    </row>
    <row r="159" spans="1:19" x14ac:dyDescent="0.25">
      <c r="A159" s="46" t="s">
        <v>1057</v>
      </c>
      <c r="B159" s="46" t="s">
        <v>85</v>
      </c>
      <c r="C159" s="46" t="s">
        <v>82</v>
      </c>
      <c r="D159" s="46" t="s">
        <v>431</v>
      </c>
      <c r="E159" s="98" t="s">
        <v>211</v>
      </c>
      <c r="F159" s="98" t="s">
        <v>457</v>
      </c>
      <c r="G159" s="98" t="s">
        <v>1676</v>
      </c>
      <c r="H159" s="98" t="s">
        <v>19</v>
      </c>
      <c r="I159" s="106">
        <v>45131</v>
      </c>
      <c r="J159" s="98">
        <v>8</v>
      </c>
      <c r="K159" s="98" t="s">
        <v>216</v>
      </c>
      <c r="L159" s="101">
        <f>VLOOKUP($C159&amp;$E159,'Updated SES'!A:N,14,0)</f>
        <v>36.563850000000002</v>
      </c>
      <c r="M159" s="102">
        <f>VLOOKUP($K159,'Genre Penetration'!A:B,2,0)*VLOOKUP($C159&amp;$E159,'Updated SES'!A:I,9,0)</f>
        <v>0.35</v>
      </c>
      <c r="N159" s="102">
        <f>VLOOKUP(K:K,'Genre Penetration'!A:C,3,0)*VLOOKUP($C159&amp;$E159,'Updated SES'!A:J,10,0)</f>
        <v>0.15</v>
      </c>
      <c r="O159" s="102" t="e">
        <f>VLOOKUP($B159,'Language Penetration'!$B$1:$AY$14,MATCH('Compile data Working'!#REF!,'Language Penetration'!$B$1:$AY$1,0),0)</f>
        <v>#REF!</v>
      </c>
      <c r="P159" s="103" t="str">
        <f t="shared" ca="1" si="4"/>
        <v>8%</v>
      </c>
      <c r="Q159" s="101" t="e">
        <f t="shared" ca="1" si="5"/>
        <v>#REF!</v>
      </c>
      <c r="R159" s="104">
        <f>VLOOKUP(D:D,ranking!W:X,2,0)</f>
        <v>0.6</v>
      </c>
      <c r="S159" s="59">
        <v>0.39488958000000002</v>
      </c>
    </row>
    <row r="160" spans="1:19" x14ac:dyDescent="0.25">
      <c r="A160" s="46" t="s">
        <v>1057</v>
      </c>
      <c r="B160" s="46" t="s">
        <v>85</v>
      </c>
      <c r="C160" s="46" t="s">
        <v>82</v>
      </c>
      <c r="D160" s="46" t="s">
        <v>433</v>
      </c>
      <c r="E160" s="98" t="s">
        <v>219</v>
      </c>
      <c r="F160" s="98" t="s">
        <v>457</v>
      </c>
      <c r="G160" s="46" t="s">
        <v>1677</v>
      </c>
      <c r="H160" s="98" t="s">
        <v>19</v>
      </c>
      <c r="I160" s="106">
        <v>45811</v>
      </c>
      <c r="J160" s="98">
        <v>9</v>
      </c>
      <c r="K160" s="98" t="s">
        <v>178</v>
      </c>
      <c r="L160" s="101">
        <f>VLOOKUP($C160&amp;$E160,'Updated SES'!A:N,14,0)</f>
        <v>17.07</v>
      </c>
      <c r="M160" s="102">
        <f>VLOOKUP($K160,'Genre Penetration'!A:B,2,0)*VLOOKUP($C160&amp;$E160,'Updated SES'!A:I,9,0)</f>
        <v>0.39650000000000002</v>
      </c>
      <c r="N160" s="102">
        <f>VLOOKUP(K:K,'Genre Penetration'!A:C,3,0)*VLOOKUP($C160&amp;$E160,'Updated SES'!A:J,10,0)</f>
        <v>0.13649999999999998</v>
      </c>
      <c r="O160" s="102" t="e">
        <f>VLOOKUP($B160,'Language Penetration'!$B$1:$AY$14,MATCH('Compile data Working'!#REF!,'Language Penetration'!$B$1:$AY$1,0),0)</f>
        <v>#REF!</v>
      </c>
      <c r="P160" s="103" t="str">
        <f t="shared" ca="1" si="4"/>
        <v>4%</v>
      </c>
      <c r="Q160" s="101" t="e">
        <f t="shared" ca="1" si="5"/>
        <v>#REF!</v>
      </c>
      <c r="R160" s="104">
        <f>VLOOKUP(D:D,ranking!W:X,2,0)</f>
        <v>0.6</v>
      </c>
      <c r="S160" s="59">
        <v>0.19652349599999999</v>
      </c>
    </row>
    <row r="161" spans="1:19" x14ac:dyDescent="0.25">
      <c r="A161" s="46" t="s">
        <v>1057</v>
      </c>
      <c r="B161" s="46" t="s">
        <v>85</v>
      </c>
      <c r="C161" s="46" t="s">
        <v>82</v>
      </c>
      <c r="D161" s="46" t="s">
        <v>434</v>
      </c>
      <c r="E161" s="98" t="s">
        <v>211</v>
      </c>
      <c r="F161" s="98" t="s">
        <v>458</v>
      </c>
      <c r="G161" s="46" t="s">
        <v>1678</v>
      </c>
      <c r="H161" s="98" t="s">
        <v>36</v>
      </c>
      <c r="I161" s="106">
        <v>45262</v>
      </c>
      <c r="J161" s="98">
        <v>10</v>
      </c>
      <c r="K161" s="98" t="s">
        <v>138</v>
      </c>
      <c r="L161" s="101">
        <f>VLOOKUP($C161&amp;$E161,'Updated SES'!A:N,14,0)</f>
        <v>36.563850000000002</v>
      </c>
      <c r="M161" s="102">
        <f>VLOOKUP($K161,'Genre Penetration'!A:B,2,0)*VLOOKUP($C161&amp;$E161,'Updated SES'!A:I,9,0)</f>
        <v>0.32899999999999996</v>
      </c>
      <c r="N161" s="102">
        <f>VLOOKUP(K:K,'Genre Penetration'!A:C,3,0)*VLOOKUP($C161&amp;$E161,'Updated SES'!A:J,10,0)</f>
        <v>0.159</v>
      </c>
      <c r="O161" s="102" t="e">
        <f>VLOOKUP($B161,'Language Penetration'!$B$1:$AY$14,MATCH('Compile data Working'!#REF!,'Language Penetration'!$B$1:$AY$1,0),0)</f>
        <v>#REF!</v>
      </c>
      <c r="P161" s="103" t="str">
        <f t="shared" ca="1" si="4"/>
        <v>4%</v>
      </c>
      <c r="Q161" s="101" t="e">
        <f t="shared" ca="1" si="5"/>
        <v>#REF!</v>
      </c>
      <c r="R161" s="104">
        <f>VLOOKUP(D:D,ranking!W:X,2,0)</f>
        <v>0.7</v>
      </c>
      <c r="S161" s="59">
        <v>3.7470633480000001E-2</v>
      </c>
    </row>
    <row r="162" spans="1:19" x14ac:dyDescent="0.25">
      <c r="A162" s="46" t="s">
        <v>1057</v>
      </c>
      <c r="B162" s="46" t="s">
        <v>85</v>
      </c>
      <c r="C162" s="46" t="s">
        <v>89</v>
      </c>
      <c r="D162" s="46" t="s">
        <v>431</v>
      </c>
      <c r="E162" s="98" t="s">
        <v>211</v>
      </c>
      <c r="F162" s="98" t="s">
        <v>457</v>
      </c>
      <c r="G162" s="98" t="s">
        <v>1352</v>
      </c>
      <c r="H162" s="98" t="s">
        <v>19</v>
      </c>
      <c r="I162" s="106">
        <v>44549</v>
      </c>
      <c r="J162" s="98">
        <v>1</v>
      </c>
      <c r="K162" s="98" t="s">
        <v>1152</v>
      </c>
      <c r="L162" s="101">
        <f>VLOOKUP($C162&amp;$E162,'Updated SES'!A:N,14,0)</f>
        <v>0.80749999999999988</v>
      </c>
      <c r="M162" s="102">
        <f>VLOOKUP($K162,'Genre Penetration'!A:B,2,0)*VLOOKUP($C162&amp;$E162,'Updated SES'!A:I,9,0)</f>
        <v>0.38500000000000001</v>
      </c>
      <c r="N162" s="102">
        <f>VLOOKUP(K:K,'Genre Penetration'!A:C,3,0)*VLOOKUP($C162&amp;$E162,'Updated SES'!A:J,10,0)</f>
        <v>0.13500000000000001</v>
      </c>
      <c r="O162" s="102" t="e">
        <f>VLOOKUP($B162,'Language Penetration'!$B$1:$AY$14,MATCH('Compile data Working'!#REF!,'Language Penetration'!$B$1:$AY$1,0),0)</f>
        <v>#REF!</v>
      </c>
      <c r="P162" s="103" t="str">
        <f t="shared" ca="1" si="4"/>
        <v>36%</v>
      </c>
      <c r="Q162" s="101" t="e">
        <f t="shared" ca="1" si="5"/>
        <v>#REF!</v>
      </c>
      <c r="R162" s="104">
        <f>VLOOKUP(D:D,ranking!W:X,2,0)</f>
        <v>0.6</v>
      </c>
      <c r="S162" s="59">
        <v>5.4419039999999981E-2</v>
      </c>
    </row>
    <row r="163" spans="1:19" x14ac:dyDescent="0.25">
      <c r="A163" s="46" t="s">
        <v>1057</v>
      </c>
      <c r="B163" s="46" t="s">
        <v>85</v>
      </c>
      <c r="C163" s="46" t="s">
        <v>89</v>
      </c>
      <c r="D163" s="46" t="s">
        <v>456</v>
      </c>
      <c r="E163" s="98" t="s">
        <v>211</v>
      </c>
      <c r="F163" s="98" t="s">
        <v>457</v>
      </c>
      <c r="G163" s="98" t="s">
        <v>1679</v>
      </c>
      <c r="H163" s="98" t="s">
        <v>1037</v>
      </c>
      <c r="I163" s="106">
        <v>45925</v>
      </c>
      <c r="J163" s="98">
        <v>2</v>
      </c>
      <c r="K163" s="98" t="s">
        <v>1297</v>
      </c>
      <c r="L163" s="101">
        <f>VLOOKUP($C163&amp;$E163,'Updated SES'!A:N,14,0)</f>
        <v>0.80749999999999988</v>
      </c>
      <c r="M163" s="102">
        <f>VLOOKUP($K163,'Genre Penetration'!A:B,2,0)*VLOOKUP($C163&amp;$E163,'Updated SES'!A:I,9,0)</f>
        <v>0.39200000000000002</v>
      </c>
      <c r="N163" s="102">
        <f>VLOOKUP(K:K,'Genre Penetration'!A:C,3,0)*VLOOKUP($C163&amp;$E163,'Updated SES'!A:J,10,0)</f>
        <v>0.13200000000000001</v>
      </c>
      <c r="O163" s="102">
        <v>0.7</v>
      </c>
      <c r="P163" s="103" t="str">
        <f t="shared" ca="1" si="4"/>
        <v>34%</v>
      </c>
      <c r="Q163" s="101">
        <f t="shared" ca="1" si="5"/>
        <v>0.10070493999999998</v>
      </c>
      <c r="R163" s="104">
        <f>VLOOKUP(D:D,ranking!W:X,2,0)</f>
        <v>0.3</v>
      </c>
      <c r="S163" s="59">
        <v>2.665718999999999E-2</v>
      </c>
    </row>
    <row r="164" spans="1:19" x14ac:dyDescent="0.25">
      <c r="A164" s="46" t="s">
        <v>1057</v>
      </c>
      <c r="B164" s="46" t="s">
        <v>85</v>
      </c>
      <c r="C164" s="46" t="s">
        <v>89</v>
      </c>
      <c r="D164" s="46" t="s">
        <v>431</v>
      </c>
      <c r="E164" s="98" t="s">
        <v>211</v>
      </c>
      <c r="F164" s="98" t="s">
        <v>457</v>
      </c>
      <c r="G164" s="98" t="s">
        <v>1353</v>
      </c>
      <c r="H164" s="98" t="s">
        <v>1432</v>
      </c>
      <c r="I164" s="106">
        <v>45778</v>
      </c>
      <c r="J164" s="98">
        <v>3</v>
      </c>
      <c r="K164" s="98" t="s">
        <v>1152</v>
      </c>
      <c r="L164" s="101">
        <f>VLOOKUP($C164&amp;$E164,'Updated SES'!A:N,14,0)</f>
        <v>0.80749999999999988</v>
      </c>
      <c r="M164" s="102">
        <f>VLOOKUP($K164,'Genre Penetration'!A:B,2,0)*VLOOKUP($C164&amp;$E164,'Updated SES'!A:I,9,0)</f>
        <v>0.38500000000000001</v>
      </c>
      <c r="N164" s="102">
        <f>VLOOKUP(K:K,'Genre Penetration'!A:C,3,0)*VLOOKUP($C164&amp;$E164,'Updated SES'!A:J,10,0)</f>
        <v>0.13500000000000001</v>
      </c>
      <c r="O164" s="102">
        <v>0.7</v>
      </c>
      <c r="P164" s="103" t="str">
        <f t="shared" ca="1" si="4"/>
        <v>27%</v>
      </c>
      <c r="Q164" s="101">
        <f t="shared" ca="1" si="5"/>
        <v>7.9361099999999976E-2</v>
      </c>
      <c r="R164" s="104">
        <f>VLOOKUP(D:D,ranking!W:X,2,0)</f>
        <v>0.6</v>
      </c>
      <c r="S164" s="59">
        <v>5.2907399999999979E-2</v>
      </c>
    </row>
    <row r="165" spans="1:19" x14ac:dyDescent="0.25">
      <c r="A165" s="46" t="s">
        <v>1057</v>
      </c>
      <c r="B165" s="46" t="s">
        <v>85</v>
      </c>
      <c r="C165" s="46" t="s">
        <v>89</v>
      </c>
      <c r="D165" s="46" t="s">
        <v>431</v>
      </c>
      <c r="E165" s="98" t="s">
        <v>211</v>
      </c>
      <c r="F165" s="98" t="s">
        <v>457</v>
      </c>
      <c r="G165" s="98" t="s">
        <v>1354</v>
      </c>
      <c r="H165" s="98" t="s">
        <v>1058</v>
      </c>
      <c r="I165" s="106">
        <v>43913</v>
      </c>
      <c r="J165" s="98">
        <v>4</v>
      </c>
      <c r="K165" s="98" t="s">
        <v>1152</v>
      </c>
      <c r="L165" s="101">
        <f>VLOOKUP($C165&amp;$E165,'Updated SES'!A:N,14,0)</f>
        <v>0.80749999999999988</v>
      </c>
      <c r="M165" s="102">
        <f>VLOOKUP($K165,'Genre Penetration'!A:B,2,0)*VLOOKUP($C165&amp;$E165,'Updated SES'!A:I,9,0)</f>
        <v>0.38500000000000001</v>
      </c>
      <c r="N165" s="102">
        <f>VLOOKUP(K:K,'Genre Penetration'!A:C,3,0)*VLOOKUP($C165&amp;$E165,'Updated SES'!A:J,10,0)</f>
        <v>0.13500000000000001</v>
      </c>
      <c r="O165" s="102">
        <v>0.7</v>
      </c>
      <c r="P165" s="103" t="str">
        <f t="shared" ca="1" si="4"/>
        <v>22%</v>
      </c>
      <c r="Q165" s="101">
        <f t="shared" ca="1" si="5"/>
        <v>6.4664599999999975E-2</v>
      </c>
      <c r="R165" s="104">
        <f>VLOOKUP(D:D,ranking!W:X,2,0)</f>
        <v>0.6</v>
      </c>
      <c r="S165" s="59">
        <v>3.5271599999999986E-2</v>
      </c>
    </row>
    <row r="166" spans="1:19" x14ac:dyDescent="0.25">
      <c r="A166" s="46" t="s">
        <v>1057</v>
      </c>
      <c r="B166" s="46" t="s">
        <v>85</v>
      </c>
      <c r="C166" s="46" t="s">
        <v>89</v>
      </c>
      <c r="D166" s="46" t="s">
        <v>431</v>
      </c>
      <c r="E166" s="98" t="s">
        <v>211</v>
      </c>
      <c r="F166" s="98" t="s">
        <v>457</v>
      </c>
      <c r="G166" s="98" t="s">
        <v>1355</v>
      </c>
      <c r="H166" s="98" t="s">
        <v>19</v>
      </c>
      <c r="I166" s="106">
        <v>43913</v>
      </c>
      <c r="J166" s="98">
        <v>5</v>
      </c>
      <c r="K166" s="98" t="s">
        <v>1152</v>
      </c>
      <c r="L166" s="101">
        <f>VLOOKUP($C166&amp;$E166,'Updated SES'!A:N,14,0)</f>
        <v>0.80749999999999988</v>
      </c>
      <c r="M166" s="102">
        <f>VLOOKUP($K166,'Genre Penetration'!A:B,2,0)*VLOOKUP($C166&amp;$E166,'Updated SES'!A:I,9,0)</f>
        <v>0.38500000000000001</v>
      </c>
      <c r="N166" s="102">
        <f>VLOOKUP(K:K,'Genre Penetration'!A:C,3,0)*VLOOKUP($C166&amp;$E166,'Updated SES'!A:J,10,0)</f>
        <v>0.13500000000000001</v>
      </c>
      <c r="O166" s="102" t="e">
        <f>VLOOKUP($B166,'Language Penetration'!$B$1:$AY$14,MATCH('Compile data Working'!#REF!,'Language Penetration'!$B$1:$AY$1,0),0)</f>
        <v>#REF!</v>
      </c>
      <c r="P166" s="103" t="str">
        <f t="shared" ca="1" si="4"/>
        <v>17%</v>
      </c>
      <c r="Q166" s="101" t="e">
        <f t="shared" ca="1" si="5"/>
        <v>#REF!</v>
      </c>
      <c r="R166" s="104">
        <f>VLOOKUP(D:D,ranking!W:X,2,0)</f>
        <v>0.6</v>
      </c>
      <c r="S166" s="59">
        <v>3.023279999999999E-2</v>
      </c>
    </row>
    <row r="167" spans="1:19" x14ac:dyDescent="0.25">
      <c r="A167" s="46" t="s">
        <v>1057</v>
      </c>
      <c r="B167" s="46" t="s">
        <v>85</v>
      </c>
      <c r="C167" s="46" t="s">
        <v>89</v>
      </c>
      <c r="D167" s="46" t="s">
        <v>431</v>
      </c>
      <c r="E167" s="98" t="s">
        <v>211</v>
      </c>
      <c r="F167" s="98" t="s">
        <v>457</v>
      </c>
      <c r="G167" s="98" t="s">
        <v>1356</v>
      </c>
      <c r="H167" s="98" t="s">
        <v>21</v>
      </c>
      <c r="I167" s="106">
        <v>43913</v>
      </c>
      <c r="J167" s="98">
        <v>6</v>
      </c>
      <c r="K167" s="98" t="s">
        <v>106</v>
      </c>
      <c r="L167" s="101">
        <f>VLOOKUP($C167&amp;$E167,'Updated SES'!A:N,14,0)</f>
        <v>0.80749999999999988</v>
      </c>
      <c r="M167" s="102">
        <f>VLOOKUP($K167,'Genre Penetration'!A:B,2,0)*VLOOKUP($C167&amp;$E167,'Updated SES'!A:I,9,0)</f>
        <v>0.35</v>
      </c>
      <c r="N167" s="102">
        <f>VLOOKUP(K:K,'Genre Penetration'!A:C,3,0)*VLOOKUP($C167&amp;$E167,'Updated SES'!A:J,10,0)</f>
        <v>0.15</v>
      </c>
      <c r="O167" s="102" t="e">
        <f>VLOOKUP($B167,'Language Penetration'!$B$1:$AY$14,MATCH('Compile data Working'!#REF!,'Language Penetration'!$B$1:$AY$1,0),0)</f>
        <v>#REF!</v>
      </c>
      <c r="P167" s="103" t="str">
        <f t="shared" ca="1" si="4"/>
        <v>10%</v>
      </c>
      <c r="Q167" s="101" t="e">
        <f t="shared" ca="1" si="5"/>
        <v>#REF!</v>
      </c>
      <c r="R167" s="104">
        <f>VLOOKUP(D:D,ranking!W:X,2,0)</f>
        <v>0.6</v>
      </c>
      <c r="S167" s="59">
        <v>9.689999999999999E-3</v>
      </c>
    </row>
    <row r="168" spans="1:19" x14ac:dyDescent="0.25">
      <c r="A168" s="46" t="s">
        <v>1057</v>
      </c>
      <c r="B168" s="46" t="s">
        <v>85</v>
      </c>
      <c r="C168" s="46" t="s">
        <v>89</v>
      </c>
      <c r="D168" s="46" t="s">
        <v>431</v>
      </c>
      <c r="E168" s="98" t="s">
        <v>211</v>
      </c>
      <c r="F168" s="98" t="s">
        <v>457</v>
      </c>
      <c r="G168" s="46" t="s">
        <v>1492</v>
      </c>
      <c r="H168" s="98" t="s">
        <v>1037</v>
      </c>
      <c r="I168" s="46" t="s">
        <v>254</v>
      </c>
      <c r="J168" s="98">
        <v>7</v>
      </c>
      <c r="K168" s="98" t="s">
        <v>1525</v>
      </c>
      <c r="L168" s="101">
        <f>VLOOKUP($C168&amp;$E168,'Updated SES'!A:N,14,0)</f>
        <v>0.80749999999999988</v>
      </c>
      <c r="M168" s="102">
        <f>VLOOKUP($K168,'Genre Penetration'!A:B,2,0)*VLOOKUP($C168&amp;$E168,'Updated SES'!A:I,9,0)</f>
        <v>0.38500000000000001</v>
      </c>
      <c r="N168" s="102">
        <f>VLOOKUP(K:K,'Genre Penetration'!A:C,3,0)*VLOOKUP($C168&amp;$E168,'Updated SES'!A:J,10,0)</f>
        <v>0.13500000000000001</v>
      </c>
      <c r="O168" s="102">
        <v>0.7</v>
      </c>
      <c r="P168" s="103" t="str">
        <f t="shared" ca="1" si="4"/>
        <v>9%</v>
      </c>
      <c r="Q168" s="101">
        <f t="shared" ca="1" si="5"/>
        <v>2.645369999999999E-2</v>
      </c>
      <c r="R168" s="104">
        <f>VLOOKUP(D:D,ranking!W:X,2,0)</f>
        <v>0.6</v>
      </c>
      <c r="S168" s="59">
        <v>1.7635799999999993E-2</v>
      </c>
    </row>
    <row r="169" spans="1:19" x14ac:dyDescent="0.25">
      <c r="A169" s="46" t="s">
        <v>1057</v>
      </c>
      <c r="B169" s="46" t="s">
        <v>85</v>
      </c>
      <c r="C169" s="46" t="s">
        <v>89</v>
      </c>
      <c r="D169" s="46" t="s">
        <v>431</v>
      </c>
      <c r="E169" s="98" t="s">
        <v>211</v>
      </c>
      <c r="F169" s="98" t="s">
        <v>457</v>
      </c>
      <c r="G169" s="98" t="s">
        <v>1357</v>
      </c>
      <c r="H169" s="98" t="s">
        <v>1058</v>
      </c>
      <c r="I169" s="106">
        <v>45303</v>
      </c>
      <c r="J169" s="98">
        <v>8</v>
      </c>
      <c r="K169" s="98" t="s">
        <v>1152</v>
      </c>
      <c r="L169" s="101">
        <f>VLOOKUP($C169&amp;$E169,'Updated SES'!A:N,14,0)</f>
        <v>0.80749999999999988</v>
      </c>
      <c r="M169" s="102">
        <f>VLOOKUP($K169,'Genre Penetration'!A:B,2,0)*VLOOKUP($C169&amp;$E169,'Updated SES'!A:I,9,0)</f>
        <v>0.38500000000000001</v>
      </c>
      <c r="N169" s="102">
        <f>VLOOKUP(K:K,'Genre Penetration'!A:C,3,0)*VLOOKUP($C169&amp;$E169,'Updated SES'!A:J,10,0)</f>
        <v>0.13500000000000001</v>
      </c>
      <c r="O169" s="102">
        <v>0.7</v>
      </c>
      <c r="P169" s="103" t="str">
        <f t="shared" ca="1" si="4"/>
        <v>6%</v>
      </c>
      <c r="Q169" s="101">
        <f t="shared" ca="1" si="5"/>
        <v>1.7635799999999993E-2</v>
      </c>
      <c r="R169" s="104">
        <f>VLOOKUP(D:D,ranking!W:X,2,0)</f>
        <v>0.6</v>
      </c>
      <c r="S169" s="59">
        <v>1.2345059999999996E-2</v>
      </c>
    </row>
    <row r="170" spans="1:19" x14ac:dyDescent="0.25">
      <c r="A170" s="46" t="s">
        <v>1057</v>
      </c>
      <c r="B170" s="46" t="s">
        <v>85</v>
      </c>
      <c r="C170" s="46" t="s">
        <v>89</v>
      </c>
      <c r="D170" s="46" t="s">
        <v>456</v>
      </c>
      <c r="E170" s="98" t="s">
        <v>211</v>
      </c>
      <c r="F170" s="98" t="s">
        <v>457</v>
      </c>
      <c r="G170" s="98" t="s">
        <v>1680</v>
      </c>
      <c r="H170" s="98" t="s">
        <v>1754</v>
      </c>
      <c r="I170" s="106">
        <v>43913</v>
      </c>
      <c r="J170" s="98">
        <v>9</v>
      </c>
      <c r="K170" s="98" t="s">
        <v>1154</v>
      </c>
      <c r="L170" s="101">
        <f>VLOOKUP($C170&amp;$E170,'Updated SES'!A:N,14,0)</f>
        <v>0.80749999999999988</v>
      </c>
      <c r="M170" s="102">
        <f>VLOOKUP($K170,'Genre Penetration'!A:B,2,0)*VLOOKUP($C170&amp;$E170,'Updated SES'!A:I,9,0)</f>
        <v>0.45499999999999996</v>
      </c>
      <c r="N170" s="102">
        <f>VLOOKUP(K:K,'Genre Penetration'!A:C,3,0)*VLOOKUP($C170&amp;$E170,'Updated SES'!A:J,10,0)</f>
        <v>0.105</v>
      </c>
      <c r="O170" s="102">
        <v>0.7</v>
      </c>
      <c r="P170" s="103" t="str">
        <f t="shared" ca="1" si="4"/>
        <v>5%</v>
      </c>
      <c r="Q170" s="101">
        <f t="shared" ca="1" si="5"/>
        <v>1.5826999999999994E-2</v>
      </c>
      <c r="R170" s="104">
        <f>VLOOKUP(D:D,ranking!W:X,2,0)</f>
        <v>0.3</v>
      </c>
      <c r="S170" s="59">
        <v>3.7984799999999982E-3</v>
      </c>
    </row>
    <row r="171" spans="1:19" x14ac:dyDescent="0.25">
      <c r="A171" s="46" t="s">
        <v>1057</v>
      </c>
      <c r="B171" s="46" t="s">
        <v>85</v>
      </c>
      <c r="C171" s="46" t="s">
        <v>89</v>
      </c>
      <c r="D171" s="46" t="s">
        <v>456</v>
      </c>
      <c r="E171" s="98" t="s">
        <v>211</v>
      </c>
      <c r="F171" s="98" t="s">
        <v>457</v>
      </c>
      <c r="G171" s="98" t="s">
        <v>1681</v>
      </c>
      <c r="H171" s="46" t="s">
        <v>77</v>
      </c>
      <c r="I171" s="106">
        <v>44148</v>
      </c>
      <c r="J171" s="98">
        <v>10</v>
      </c>
      <c r="K171" s="46" t="s">
        <v>1155</v>
      </c>
      <c r="L171" s="101">
        <f>VLOOKUP($C171&amp;$E171,'Updated SES'!A:N,14,0)</f>
        <v>0.80749999999999988</v>
      </c>
      <c r="M171" s="102">
        <f>VLOOKUP($K171,'Genre Penetration'!A:B,2,0)*VLOOKUP($C171&amp;$E171,'Updated SES'!A:I,9,0)</f>
        <v>0.42</v>
      </c>
      <c r="N171" s="102">
        <f>VLOOKUP(K:K,'Genre Penetration'!A:C,3,0)*VLOOKUP($C171&amp;$E171,'Updated SES'!A:J,10,0)</f>
        <v>0.12</v>
      </c>
      <c r="O171" s="102">
        <v>0.5</v>
      </c>
      <c r="P171" s="103" t="str">
        <f t="shared" ca="1" si="4"/>
        <v>2%</v>
      </c>
      <c r="Q171" s="101">
        <f t="shared" ca="1" si="5"/>
        <v>4.3604999999999998E-3</v>
      </c>
      <c r="R171" s="104">
        <f>VLOOKUP(D:D,ranking!W:X,2,0)</f>
        <v>0.3</v>
      </c>
      <c r="S171" s="59">
        <v>1.9622249999999997E-3</v>
      </c>
    </row>
    <row r="172" spans="1:19" x14ac:dyDescent="0.25">
      <c r="A172" s="46" t="s">
        <v>1057</v>
      </c>
      <c r="B172" s="46" t="s">
        <v>85</v>
      </c>
      <c r="C172" s="46" t="s">
        <v>94</v>
      </c>
      <c r="D172" s="46" t="s">
        <v>431</v>
      </c>
      <c r="E172" s="98" t="s">
        <v>211</v>
      </c>
      <c r="F172" s="98" t="s">
        <v>457</v>
      </c>
      <c r="G172" s="98" t="s">
        <v>653</v>
      </c>
      <c r="H172" s="46" t="s">
        <v>19</v>
      </c>
      <c r="I172" s="106">
        <v>41962</v>
      </c>
      <c r="J172" s="98">
        <v>1</v>
      </c>
      <c r="K172" s="46" t="s">
        <v>1156</v>
      </c>
      <c r="L172" s="101">
        <f>VLOOKUP($C172&amp;$E172,'Updated SES'!A:N,14,0)</f>
        <v>0.78300000000000003</v>
      </c>
      <c r="M172" s="102">
        <f>VLOOKUP($K172,'Genre Penetration'!A:B,2,0)*VLOOKUP($C172&amp;$E172,'Updated SES'!A:I,9,0)</f>
        <v>0.41800000000000004</v>
      </c>
      <c r="N172" s="102">
        <f>VLOOKUP(K:K,'Genre Penetration'!A:C,3,0)*VLOOKUP($C172&amp;$E172,'Updated SES'!A:J,10,0)</f>
        <v>0.108</v>
      </c>
      <c r="O172" s="102" t="e">
        <f>VLOOKUP($B172,'Language Penetration'!$B$1:$AY$14,MATCH('Compile data Working'!#REF!,'Language Penetration'!$B$1:$AY$1,0),0)</f>
        <v>#REF!</v>
      </c>
      <c r="P172" s="103" t="str">
        <f t="shared" ca="1" si="4"/>
        <v>35%</v>
      </c>
      <c r="Q172" s="101" t="e">
        <f t="shared" ca="1" si="5"/>
        <v>#REF!</v>
      </c>
      <c r="R172" s="104">
        <f>VLOOKUP(D:D,ranking!W:X,2,0)</f>
        <v>0.6</v>
      </c>
      <c r="S172" s="59">
        <v>5.9307552000000006E-2</v>
      </c>
    </row>
    <row r="173" spans="1:19" x14ac:dyDescent="0.25">
      <c r="A173" s="46" t="s">
        <v>1057</v>
      </c>
      <c r="B173" s="46" t="s">
        <v>85</v>
      </c>
      <c r="C173" s="46" t="s">
        <v>94</v>
      </c>
      <c r="D173" s="46" t="s">
        <v>431</v>
      </c>
      <c r="E173" s="98" t="s">
        <v>211</v>
      </c>
      <c r="F173" s="51" t="s">
        <v>457</v>
      </c>
      <c r="G173" s="98" t="s">
        <v>652</v>
      </c>
      <c r="H173" s="46" t="s">
        <v>19</v>
      </c>
      <c r="I173" s="106">
        <v>45334</v>
      </c>
      <c r="J173" s="98">
        <v>2</v>
      </c>
      <c r="K173" s="46" t="s">
        <v>216</v>
      </c>
      <c r="L173" s="101">
        <f>VLOOKUP($C173&amp;$E173,'Updated SES'!A:N,14,0)</f>
        <v>0.78300000000000003</v>
      </c>
      <c r="M173" s="102">
        <f>VLOOKUP($K173,'Genre Penetration'!A:B,2,0)*VLOOKUP($C173&amp;$E173,'Updated SES'!A:I,9,0)</f>
        <v>0.38</v>
      </c>
      <c r="N173" s="102">
        <f>VLOOKUP(K:K,'Genre Penetration'!A:C,3,0)*VLOOKUP($C173&amp;$E173,'Updated SES'!A:J,10,0)</f>
        <v>0.12</v>
      </c>
      <c r="O173" s="102" t="e">
        <f>VLOOKUP($B173,'Language Penetration'!$B$1:$AY$14,MATCH('Compile data Working'!#REF!,'Language Penetration'!$B$1:$AY$1,0),0)</f>
        <v>#REF!</v>
      </c>
      <c r="P173" s="103" t="str">
        <f t="shared" ca="1" si="4"/>
        <v>31%</v>
      </c>
      <c r="Q173" s="101" t="e">
        <f t="shared" ca="1" si="5"/>
        <v>#REF!</v>
      </c>
      <c r="R173" s="104">
        <f>VLOOKUP(D:D,ranking!W:X,2,0)</f>
        <v>0.6</v>
      </c>
      <c r="S173" s="59">
        <v>4.3691399999999998E-2</v>
      </c>
    </row>
    <row r="174" spans="1:19" x14ac:dyDescent="0.25">
      <c r="A174" s="46" t="s">
        <v>1057</v>
      </c>
      <c r="B174" s="46" t="s">
        <v>85</v>
      </c>
      <c r="C174" s="46" t="s">
        <v>94</v>
      </c>
      <c r="D174" s="46" t="s">
        <v>431</v>
      </c>
      <c r="E174" s="98" t="s">
        <v>211</v>
      </c>
      <c r="F174" s="98" t="s">
        <v>457</v>
      </c>
      <c r="G174" s="98" t="s">
        <v>654</v>
      </c>
      <c r="H174" s="46" t="s">
        <v>19</v>
      </c>
      <c r="I174" s="106">
        <v>45159</v>
      </c>
      <c r="J174" s="98">
        <v>3</v>
      </c>
      <c r="K174" s="46" t="s">
        <v>216</v>
      </c>
      <c r="L174" s="101">
        <f>VLOOKUP($C174&amp;$E174,'Updated SES'!A:N,14,0)</f>
        <v>0.78300000000000003</v>
      </c>
      <c r="M174" s="102">
        <f>VLOOKUP($K174,'Genre Penetration'!A:B,2,0)*VLOOKUP($C174&amp;$E174,'Updated SES'!A:I,9,0)</f>
        <v>0.38</v>
      </c>
      <c r="N174" s="102">
        <f>VLOOKUP(K:K,'Genre Penetration'!A:C,3,0)*VLOOKUP($C174&amp;$E174,'Updated SES'!A:J,10,0)</f>
        <v>0.12</v>
      </c>
      <c r="O174" s="102" t="e">
        <f>VLOOKUP($B174,'Language Penetration'!$B$1:$AY$14,MATCH('Compile data Working'!#REF!,'Language Penetration'!$B$1:$AY$1,0),0)</f>
        <v>#REF!</v>
      </c>
      <c r="P174" s="103" t="str">
        <f t="shared" ca="1" si="4"/>
        <v>27%</v>
      </c>
      <c r="Q174" s="101" t="e">
        <f t="shared" ca="1" si="5"/>
        <v>#REF!</v>
      </c>
      <c r="R174" s="104">
        <f>VLOOKUP(D:D,ranking!W:X,2,0)</f>
        <v>0.6</v>
      </c>
      <c r="S174" s="59">
        <v>3.6644400000000001E-2</v>
      </c>
    </row>
    <row r="175" spans="1:19" x14ac:dyDescent="0.25">
      <c r="A175" s="46" t="s">
        <v>1057</v>
      </c>
      <c r="B175" s="46" t="s">
        <v>85</v>
      </c>
      <c r="C175" s="46" t="s">
        <v>94</v>
      </c>
      <c r="D175" s="46" t="s">
        <v>431</v>
      </c>
      <c r="E175" s="98" t="s">
        <v>211</v>
      </c>
      <c r="F175" s="46" t="s">
        <v>457</v>
      </c>
      <c r="G175" s="98" t="s">
        <v>1358</v>
      </c>
      <c r="H175" s="46" t="s">
        <v>19</v>
      </c>
      <c r="I175" s="106">
        <v>45492</v>
      </c>
      <c r="J175" s="46">
        <v>4</v>
      </c>
      <c r="K175" s="46" t="s">
        <v>1157</v>
      </c>
      <c r="L175" s="101">
        <f>VLOOKUP($C175&amp;$E175,'Updated SES'!A:N,14,0)</f>
        <v>0.78300000000000003</v>
      </c>
      <c r="M175" s="102">
        <f>VLOOKUP($K175,'Genre Penetration'!A:B,2,0)*VLOOKUP($C175&amp;$E175,'Updated SES'!A:I,9,0)</f>
        <v>0.38</v>
      </c>
      <c r="N175" s="102">
        <f>VLOOKUP(K:K,'Genre Penetration'!A:C,3,0)*VLOOKUP($C175&amp;$E175,'Updated SES'!A:J,10,0)</f>
        <v>0.12</v>
      </c>
      <c r="O175" s="102" t="e">
        <f>VLOOKUP($B175,'Language Penetration'!$B$1:$AY$14,MATCH('Compile data Working'!#REF!,'Language Penetration'!$B$1:$AY$1,0),0)</f>
        <v>#REF!</v>
      </c>
      <c r="P175" s="103" t="str">
        <f t="shared" ca="1" si="4"/>
        <v>24%</v>
      </c>
      <c r="Q175" s="101" t="e">
        <f t="shared" ca="1" si="5"/>
        <v>#REF!</v>
      </c>
      <c r="R175" s="104">
        <f>VLOOKUP(D:D,ranking!W:X,2,0)</f>
        <v>0.6</v>
      </c>
      <c r="S175" s="59">
        <v>3.1006800000000001E-2</v>
      </c>
    </row>
    <row r="176" spans="1:19" x14ac:dyDescent="0.25">
      <c r="A176" s="46" t="s">
        <v>1057</v>
      </c>
      <c r="B176" s="46" t="s">
        <v>85</v>
      </c>
      <c r="C176" s="46" t="s">
        <v>94</v>
      </c>
      <c r="D176" s="46" t="s">
        <v>431</v>
      </c>
      <c r="E176" s="98" t="s">
        <v>211</v>
      </c>
      <c r="F176" s="46" t="s">
        <v>457</v>
      </c>
      <c r="G176" s="98" t="s">
        <v>1359</v>
      </c>
      <c r="H176" s="46" t="s">
        <v>19</v>
      </c>
      <c r="I176" s="106">
        <v>45336</v>
      </c>
      <c r="J176" s="98">
        <v>5</v>
      </c>
      <c r="K176" s="46" t="s">
        <v>497</v>
      </c>
      <c r="L176" s="101">
        <f>VLOOKUP($C176&amp;$E176,'Updated SES'!A:N,14,0)</f>
        <v>0.78300000000000003</v>
      </c>
      <c r="M176" s="102">
        <f>VLOOKUP($K176,'Genre Penetration'!A:B,2,0)*VLOOKUP($C176&amp;$E176,'Updated SES'!A:I,9,0)</f>
        <v>0.30400000000000005</v>
      </c>
      <c r="N176" s="102">
        <f>VLOOKUP(K:K,'Genre Penetration'!A:C,3,0)*VLOOKUP($C176&amp;$E176,'Updated SES'!A:J,10,0)</f>
        <v>0.14399999999999999</v>
      </c>
      <c r="O176" s="102" t="e">
        <f>VLOOKUP($B176,'Language Penetration'!$B$1:$AY$14,MATCH('Compile data Working'!#REF!,'Language Penetration'!$B$1:$AY$1,0),0)</f>
        <v>#REF!</v>
      </c>
      <c r="P176" s="103" t="str">
        <f t="shared" ca="1" si="4"/>
        <v>16%</v>
      </c>
      <c r="Q176" s="101" t="e">
        <f t="shared" ca="1" si="5"/>
        <v>#REF!</v>
      </c>
      <c r="R176" s="104">
        <f>VLOOKUP(D:D,ranking!W:X,2,0)</f>
        <v>0.6</v>
      </c>
      <c r="S176" s="59">
        <v>1.8942336000000001E-2</v>
      </c>
    </row>
    <row r="177" spans="1:19" x14ac:dyDescent="0.25">
      <c r="A177" s="46" t="s">
        <v>1057</v>
      </c>
      <c r="B177" s="46" t="s">
        <v>85</v>
      </c>
      <c r="C177" s="46" t="s">
        <v>94</v>
      </c>
      <c r="D177" s="46" t="s">
        <v>431</v>
      </c>
      <c r="E177" s="98" t="s">
        <v>211</v>
      </c>
      <c r="F177" s="46" t="s">
        <v>457</v>
      </c>
      <c r="G177" s="98" t="s">
        <v>1360</v>
      </c>
      <c r="H177" s="46" t="s">
        <v>19</v>
      </c>
      <c r="I177" s="106">
        <v>45055</v>
      </c>
      <c r="J177" s="46">
        <v>6</v>
      </c>
      <c r="K177" s="46" t="s">
        <v>216</v>
      </c>
      <c r="L177" s="101">
        <f>VLOOKUP($C177&amp;$E177,'Updated SES'!A:N,14,0)</f>
        <v>0.78300000000000003</v>
      </c>
      <c r="M177" s="102">
        <f>VLOOKUP($K177,'Genre Penetration'!A:B,2,0)*VLOOKUP($C177&amp;$E177,'Updated SES'!A:I,9,0)</f>
        <v>0.38</v>
      </c>
      <c r="N177" s="102">
        <f>VLOOKUP(K:K,'Genre Penetration'!A:C,3,0)*VLOOKUP($C177&amp;$E177,'Updated SES'!A:J,10,0)</f>
        <v>0.12</v>
      </c>
      <c r="O177" s="102" t="e">
        <f>VLOOKUP($B177,'Language Penetration'!$B$1:$AY$14,MATCH('Compile data Working'!#REF!,'Language Penetration'!$B$1:$AY$1,0),0)</f>
        <v>#REF!</v>
      </c>
      <c r="P177" s="103" t="str">
        <f t="shared" ca="1" si="4"/>
        <v>12%</v>
      </c>
      <c r="Q177" s="101" t="e">
        <f t="shared" ca="1" si="5"/>
        <v>#REF!</v>
      </c>
      <c r="R177" s="104">
        <f>VLOOKUP(D:D,ranking!W:X,2,0)</f>
        <v>0.6</v>
      </c>
      <c r="S177" s="59">
        <v>1.83222E-2</v>
      </c>
    </row>
    <row r="178" spans="1:19" x14ac:dyDescent="0.25">
      <c r="A178" s="46" t="s">
        <v>1057</v>
      </c>
      <c r="B178" s="46" t="s">
        <v>85</v>
      </c>
      <c r="C178" s="46" t="s">
        <v>94</v>
      </c>
      <c r="D178" s="46" t="s">
        <v>431</v>
      </c>
      <c r="E178" s="98" t="s">
        <v>211</v>
      </c>
      <c r="F178" s="46" t="s">
        <v>457</v>
      </c>
      <c r="G178" s="98" t="s">
        <v>655</v>
      </c>
      <c r="H178" s="46" t="s">
        <v>19</v>
      </c>
      <c r="I178" s="106">
        <v>44044</v>
      </c>
      <c r="J178" s="46">
        <v>7</v>
      </c>
      <c r="K178" s="46" t="s">
        <v>496</v>
      </c>
      <c r="L178" s="101">
        <f>VLOOKUP($C178&amp;$E178,'Updated SES'!A:N,14,0)</f>
        <v>0.78300000000000003</v>
      </c>
      <c r="M178" s="102">
        <f>VLOOKUP($K178,'Genre Penetration'!A:B,2,0)*VLOOKUP($C178&amp;$E178,'Updated SES'!A:I,9,0)</f>
        <v>0.49400000000000005</v>
      </c>
      <c r="N178" s="102">
        <f>VLOOKUP(K:K,'Genre Penetration'!A:C,3,0)*VLOOKUP($C178&amp;$E178,'Updated SES'!A:J,10,0)</f>
        <v>8.3999999999999991E-2</v>
      </c>
      <c r="O178" s="102" t="e">
        <f>VLOOKUP($B178,'Language Penetration'!$B$1:$AY$14,MATCH('Compile data Working'!#REF!,'Language Penetration'!$B$1:$AY$1,0),0)</f>
        <v>#REF!</v>
      </c>
      <c r="P178" s="103" t="str">
        <f t="shared" ca="1" si="4"/>
        <v>10%</v>
      </c>
      <c r="Q178" s="101" t="e">
        <f t="shared" ca="1" si="5"/>
        <v>#REF!</v>
      </c>
      <c r="R178" s="104">
        <f>VLOOKUP(D:D,ranking!W:X,2,0)</f>
        <v>0.6</v>
      </c>
      <c r="S178" s="59">
        <v>1.3034131200000002E-2</v>
      </c>
    </row>
    <row r="179" spans="1:19" x14ac:dyDescent="0.25">
      <c r="A179" s="46" t="s">
        <v>1057</v>
      </c>
      <c r="B179" s="46" t="s">
        <v>85</v>
      </c>
      <c r="C179" s="46" t="s">
        <v>94</v>
      </c>
      <c r="D179" s="46" t="s">
        <v>431</v>
      </c>
      <c r="E179" s="46" t="s">
        <v>211</v>
      </c>
      <c r="F179" s="46" t="s">
        <v>457</v>
      </c>
      <c r="G179" s="46" t="s">
        <v>1361</v>
      </c>
      <c r="H179" s="46" t="s">
        <v>19</v>
      </c>
      <c r="I179" s="106">
        <v>45391</v>
      </c>
      <c r="J179" s="46">
        <v>8</v>
      </c>
      <c r="K179" s="46" t="s">
        <v>1158</v>
      </c>
      <c r="L179" s="101">
        <f>VLOOKUP($C179&amp;$E179,'Updated SES'!A:N,14,0)</f>
        <v>0.78300000000000003</v>
      </c>
      <c r="M179" s="102">
        <f>VLOOKUP($K179,'Genre Penetration'!A:B,2,0)*VLOOKUP($C179&amp;$E179,'Updated SES'!A:I,9,0)</f>
        <v>0.34200000000000003</v>
      </c>
      <c r="N179" s="102">
        <f>VLOOKUP(K:K,'Genre Penetration'!A:C,3,0)*VLOOKUP($C179&amp;$E179,'Updated SES'!A:J,10,0)</f>
        <v>0.13200000000000001</v>
      </c>
      <c r="O179" s="102" t="e">
        <f>VLOOKUP($B179,'Language Penetration'!$B$1:$AY$14,MATCH('Compile data Working'!#REF!,'Language Penetration'!$B$1:$AY$1,0),0)</f>
        <v>#REF!</v>
      </c>
      <c r="P179" s="103" t="str">
        <f t="shared" ca="1" si="4"/>
        <v>7%</v>
      </c>
      <c r="Q179" s="101" t="e">
        <f t="shared" ca="1" si="5"/>
        <v>#REF!</v>
      </c>
      <c r="R179" s="104">
        <f>VLOOKUP(D:D,ranking!W:X,2,0)</f>
        <v>0.6</v>
      </c>
      <c r="S179" s="59">
        <v>9.352778400000001E-3</v>
      </c>
    </row>
    <row r="180" spans="1:19" x14ac:dyDescent="0.25">
      <c r="A180" s="46" t="s">
        <v>1057</v>
      </c>
      <c r="B180" s="46" t="s">
        <v>85</v>
      </c>
      <c r="C180" s="46" t="s">
        <v>94</v>
      </c>
      <c r="D180" s="46" t="s">
        <v>431</v>
      </c>
      <c r="E180" s="46" t="s">
        <v>211</v>
      </c>
      <c r="F180" s="98" t="s">
        <v>457</v>
      </c>
      <c r="G180" s="46" t="s">
        <v>1362</v>
      </c>
      <c r="H180" s="46" t="s">
        <v>19</v>
      </c>
      <c r="I180" s="106">
        <v>44256</v>
      </c>
      <c r="J180" s="46">
        <v>9</v>
      </c>
      <c r="K180" s="46" t="s">
        <v>245</v>
      </c>
      <c r="L180" s="101">
        <f>VLOOKUP($C180&amp;$E180,'Updated SES'!A:N,14,0)</f>
        <v>0.78300000000000003</v>
      </c>
      <c r="M180" s="102">
        <f>VLOOKUP($K180,'Genre Penetration'!A:B,2,0)*VLOOKUP($C180&amp;$E180,'Updated SES'!A:I,9,0)</f>
        <v>0.44079999999999997</v>
      </c>
      <c r="N180" s="102">
        <f>VLOOKUP(K:K,'Genre Penetration'!A:C,3,0)*VLOOKUP($C180&amp;$E180,'Updated SES'!A:J,10,0)</f>
        <v>0.1008</v>
      </c>
      <c r="O180" s="102" t="e">
        <f>VLOOKUP($B180,'Language Penetration'!$B$1:$AY$14,MATCH('Compile data Working'!#REF!,'Language Penetration'!$B$1:$AY$1,0),0)</f>
        <v>#REF!</v>
      </c>
      <c r="P180" s="103" t="str">
        <f t="shared" ca="1" si="4"/>
        <v>6%</v>
      </c>
      <c r="Q180" s="101" t="e">
        <f t="shared" ca="1" si="5"/>
        <v>#REF!</v>
      </c>
      <c r="R180" s="104">
        <f>VLOOKUP(D:D,ranking!W:X,2,0)</f>
        <v>0.6</v>
      </c>
      <c r="S180" s="59">
        <v>9.1599724799999969E-3</v>
      </c>
    </row>
    <row r="181" spans="1:19" x14ac:dyDescent="0.25">
      <c r="A181" s="46" t="s">
        <v>1057</v>
      </c>
      <c r="B181" s="46" t="s">
        <v>85</v>
      </c>
      <c r="C181" s="46" t="s">
        <v>94</v>
      </c>
      <c r="D181" s="46" t="s">
        <v>434</v>
      </c>
      <c r="E181" s="46" t="s">
        <v>211</v>
      </c>
      <c r="F181" s="98" t="s">
        <v>458</v>
      </c>
      <c r="G181" s="46" t="s">
        <v>1493</v>
      </c>
      <c r="H181" s="46" t="s">
        <v>19</v>
      </c>
      <c r="I181" s="106">
        <v>32874</v>
      </c>
      <c r="J181" s="46">
        <v>10</v>
      </c>
      <c r="K181" s="46" t="s">
        <v>1548</v>
      </c>
      <c r="L181" s="101">
        <f>VLOOKUP($C181&amp;$E181,'Updated SES'!A:N,14,0)</f>
        <v>0.78300000000000003</v>
      </c>
      <c r="M181" s="102">
        <f>VLOOKUP($K181,'Genre Penetration'!A:B,2,0)*VLOOKUP($C181&amp;$E181,'Updated SES'!A:I,9,0)</f>
        <v>0.30400000000000005</v>
      </c>
      <c r="N181" s="102">
        <f>VLOOKUP(K:K,'Genre Penetration'!A:C,3,0)*VLOOKUP($C181&amp;$E181,'Updated SES'!A:J,10,0)</f>
        <v>0.14399999999999999</v>
      </c>
      <c r="O181" s="102" t="e">
        <f>VLOOKUP($B181,'Language Penetration'!$B$1:$AY$14,MATCH('Compile data Working'!#REF!,'Language Penetration'!$B$1:$AY$1,0),0)</f>
        <v>#REF!</v>
      </c>
      <c r="P181" s="103" t="str">
        <f t="shared" ca="1" si="4"/>
        <v>3%</v>
      </c>
      <c r="Q181" s="101" t="e">
        <f t="shared" ca="1" si="5"/>
        <v>#REF!</v>
      </c>
      <c r="R181" s="104">
        <f>VLOOKUP(D:D,ranking!W:X,2,0)</f>
        <v>0.7</v>
      </c>
      <c r="S181" s="59">
        <v>4.4198784000000005E-3</v>
      </c>
    </row>
    <row r="182" spans="1:19" x14ac:dyDescent="0.25">
      <c r="A182" s="46" t="s">
        <v>1057</v>
      </c>
      <c r="B182" s="46" t="s">
        <v>85</v>
      </c>
      <c r="C182" s="46" t="s">
        <v>98</v>
      </c>
      <c r="D182" s="46" t="s">
        <v>434</v>
      </c>
      <c r="E182" s="46" t="s">
        <v>211</v>
      </c>
      <c r="F182" s="98" t="s">
        <v>458</v>
      </c>
      <c r="G182" s="53" t="s">
        <v>663</v>
      </c>
      <c r="H182" s="46" t="s">
        <v>19</v>
      </c>
      <c r="I182" s="106">
        <v>44457</v>
      </c>
      <c r="J182" s="46">
        <v>1</v>
      </c>
      <c r="K182" s="46" t="s">
        <v>92</v>
      </c>
      <c r="L182" s="101">
        <f>VLOOKUP($C182&amp;$E182,'Updated SES'!A:N,14,0)</f>
        <v>49.811200000000007</v>
      </c>
      <c r="M182" s="102">
        <f>VLOOKUP($K182,'Genre Penetration'!A:B,2,0)*VLOOKUP($C182&amp;$E182,'Updated SES'!A:I,9,0)</f>
        <v>0.39750000000000002</v>
      </c>
      <c r="N182" s="102">
        <f>VLOOKUP(K:K,'Genre Penetration'!A:C,3,0)*VLOOKUP($C182&amp;$E182,'Updated SES'!A:J,10,0)</f>
        <v>0.11749999999999999</v>
      </c>
      <c r="O182" s="102" t="e">
        <f>VLOOKUP($B182,'Language Penetration'!$B$1:$AY$14,MATCH('Compile data Working'!#REF!,'Language Penetration'!$B$1:$AY$1,0),0)</f>
        <v>#REF!</v>
      </c>
      <c r="P182" s="103" t="str">
        <f t="shared" ca="1" si="4"/>
        <v>39%</v>
      </c>
      <c r="Q182" s="101" t="e">
        <f t="shared" ca="1" si="5"/>
        <v>#REF!</v>
      </c>
      <c r="R182" s="104">
        <f>VLOOKUP(D:D,ranking!W:X,2,0)</f>
        <v>0.7</v>
      </c>
      <c r="S182" s="59">
        <v>4.0941817728000007</v>
      </c>
    </row>
    <row r="183" spans="1:19" x14ac:dyDescent="0.25">
      <c r="A183" s="46" t="s">
        <v>1057</v>
      </c>
      <c r="B183" s="46" t="s">
        <v>85</v>
      </c>
      <c r="C183" s="46" t="s">
        <v>98</v>
      </c>
      <c r="D183" s="46" t="s">
        <v>434</v>
      </c>
      <c r="E183" s="46" t="s">
        <v>211</v>
      </c>
      <c r="F183" s="98" t="s">
        <v>458</v>
      </c>
      <c r="G183" s="46" t="s">
        <v>667</v>
      </c>
      <c r="H183" s="46" t="s">
        <v>19</v>
      </c>
      <c r="I183" s="106">
        <v>42405</v>
      </c>
      <c r="J183" s="46">
        <v>2</v>
      </c>
      <c r="K183" s="46" t="s">
        <v>279</v>
      </c>
      <c r="L183" s="101">
        <f>VLOOKUP($C183&amp;$E183,'Updated SES'!A:N,14,0)</f>
        <v>49.811200000000007</v>
      </c>
      <c r="M183" s="102">
        <f>VLOOKUP($K183,'Genre Penetration'!A:B,2,0)*VLOOKUP($C183&amp;$E183,'Updated SES'!A:I,9,0)</f>
        <v>0.33750000000000002</v>
      </c>
      <c r="N183" s="102">
        <f>VLOOKUP(K:K,'Genre Penetration'!A:C,3,0)*VLOOKUP($C183&amp;$E183,'Updated SES'!A:J,10,0)</f>
        <v>0.13750000000000001</v>
      </c>
      <c r="O183" s="102" t="e">
        <f>VLOOKUP($B183,'Language Penetration'!$B$1:$AY$14,MATCH('Compile data Working'!#REF!,'Language Penetration'!$B$1:$AY$1,0),0)</f>
        <v>#REF!</v>
      </c>
      <c r="P183" s="103" t="str">
        <f t="shared" ca="1" si="4"/>
        <v>31%</v>
      </c>
      <c r="Q183" s="101" t="e">
        <f t="shared" ca="1" si="5"/>
        <v>#REF!</v>
      </c>
      <c r="R183" s="104">
        <f>VLOOKUP(D:D,ranking!W:X,2,0)</f>
        <v>0.7</v>
      </c>
      <c r="S183" s="59">
        <v>3.3786936960000009</v>
      </c>
    </row>
    <row r="184" spans="1:19" x14ac:dyDescent="0.25">
      <c r="A184" s="46" t="s">
        <v>1057</v>
      </c>
      <c r="B184" s="46" t="s">
        <v>85</v>
      </c>
      <c r="C184" s="46" t="s">
        <v>98</v>
      </c>
      <c r="D184" s="46" t="s">
        <v>434</v>
      </c>
      <c r="E184" s="46" t="s">
        <v>211</v>
      </c>
      <c r="F184" s="98" t="s">
        <v>458</v>
      </c>
      <c r="G184" s="46" t="s">
        <v>662</v>
      </c>
      <c r="H184" s="46" t="s">
        <v>19</v>
      </c>
      <c r="I184" s="106">
        <v>41173</v>
      </c>
      <c r="J184" s="46">
        <v>3</v>
      </c>
      <c r="K184" s="46" t="s">
        <v>184</v>
      </c>
      <c r="L184" s="101">
        <f>VLOOKUP($C184&amp;$E184,'Updated SES'!A:N,14,0)</f>
        <v>49.811200000000007</v>
      </c>
      <c r="M184" s="102">
        <f>VLOOKUP($K184,'Genre Penetration'!A:B,2,0)*VLOOKUP($C184&amp;$E184,'Updated SES'!A:I,9,0)</f>
        <v>0.36749999999999999</v>
      </c>
      <c r="N184" s="102">
        <f>VLOOKUP(K:K,'Genre Penetration'!A:C,3,0)*VLOOKUP($C184&amp;$E184,'Updated SES'!A:J,10,0)</f>
        <v>0.1275</v>
      </c>
      <c r="O184" s="102" t="e">
        <f>VLOOKUP($B184,'Language Penetration'!$B$1:$AY$14,MATCH('Compile data Working'!#REF!,'Language Penetration'!$B$1:$AY$1,0),0)</f>
        <v>#REF!</v>
      </c>
      <c r="P184" s="103" t="str">
        <f t="shared" ca="1" si="4"/>
        <v>29%</v>
      </c>
      <c r="Q184" s="101" t="e">
        <f t="shared" ca="1" si="5"/>
        <v>#REF!</v>
      </c>
      <c r="R184" s="104">
        <f>VLOOKUP(D:D,ranking!W:X,2,0)</f>
        <v>0.7</v>
      </c>
      <c r="S184" s="59">
        <v>2.7960520896000003</v>
      </c>
    </row>
    <row r="185" spans="1:19" x14ac:dyDescent="0.25">
      <c r="A185" s="46" t="s">
        <v>1057</v>
      </c>
      <c r="B185" s="46" t="s">
        <v>85</v>
      </c>
      <c r="C185" s="46" t="s">
        <v>98</v>
      </c>
      <c r="D185" s="46" t="s">
        <v>434</v>
      </c>
      <c r="E185" s="46" t="s">
        <v>211</v>
      </c>
      <c r="F185" s="98" t="s">
        <v>458</v>
      </c>
      <c r="G185" s="46" t="s">
        <v>1682</v>
      </c>
      <c r="H185" s="46" t="s">
        <v>19</v>
      </c>
      <c r="I185" s="106">
        <v>42704</v>
      </c>
      <c r="J185" s="46">
        <v>4</v>
      </c>
      <c r="K185" s="46" t="s">
        <v>216</v>
      </c>
      <c r="L185" s="101">
        <f>VLOOKUP($C185&amp;$E185,'Updated SES'!A:N,14,0)</f>
        <v>49.811200000000007</v>
      </c>
      <c r="M185" s="102">
        <f>VLOOKUP($K185,'Genre Penetration'!A:B,2,0)*VLOOKUP($C185&amp;$E185,'Updated SES'!A:I,9,0)</f>
        <v>0.375</v>
      </c>
      <c r="N185" s="102">
        <f>VLOOKUP(K:K,'Genre Penetration'!A:C,3,0)*VLOOKUP($C185&amp;$E185,'Updated SES'!A:J,10,0)</f>
        <v>0.125</v>
      </c>
      <c r="O185" s="102" t="e">
        <f>VLOOKUP($B185,'Language Penetration'!$B$1:$AY$14,MATCH('Compile data Working'!#REF!,'Language Penetration'!$B$1:$AY$1,0),0)</f>
        <v>#REF!</v>
      </c>
      <c r="P185" s="103" t="str">
        <f t="shared" ca="1" si="4"/>
        <v>23%</v>
      </c>
      <c r="Q185" s="101" t="e">
        <f t="shared" ca="1" si="5"/>
        <v>#REF!</v>
      </c>
      <c r="R185" s="104">
        <f>VLOOKUP(D:D,ranking!W:X,2,0)</f>
        <v>0.7</v>
      </c>
      <c r="S185" s="59">
        <v>2.4058809600000002</v>
      </c>
    </row>
    <row r="186" spans="1:19" x14ac:dyDescent="0.25">
      <c r="A186" s="46" t="s">
        <v>1057</v>
      </c>
      <c r="B186" s="46" t="s">
        <v>85</v>
      </c>
      <c r="C186" s="46" t="s">
        <v>98</v>
      </c>
      <c r="D186" s="46" t="s">
        <v>434</v>
      </c>
      <c r="E186" s="46" t="s">
        <v>211</v>
      </c>
      <c r="F186" s="98" t="s">
        <v>458</v>
      </c>
      <c r="G186" s="46" t="s">
        <v>660</v>
      </c>
      <c r="H186" s="46" t="s">
        <v>29</v>
      </c>
      <c r="I186" s="106">
        <v>43181</v>
      </c>
      <c r="J186" s="98">
        <v>5</v>
      </c>
      <c r="K186" s="46" t="s">
        <v>216</v>
      </c>
      <c r="L186" s="101">
        <f>VLOOKUP($C186&amp;$E186,'Updated SES'!A:N,14,0)</f>
        <v>49.811200000000007</v>
      </c>
      <c r="M186" s="102">
        <f>VLOOKUP($K186,'Genre Penetration'!A:B,2,0)*VLOOKUP($C186&amp;$E186,'Updated SES'!A:I,9,0)</f>
        <v>0.375</v>
      </c>
      <c r="N186" s="102">
        <f>VLOOKUP(K:K,'Genre Penetration'!A:C,3,0)*VLOOKUP($C186&amp;$E186,'Updated SES'!A:J,10,0)</f>
        <v>0.125</v>
      </c>
      <c r="O186" s="102" t="e">
        <f>VLOOKUP($B186,'Language Penetration'!$B$1:$AY$14,MATCH('Compile data Working'!#REF!,'Language Penetration'!$B$1:$AY$1,0),0)</f>
        <v>#REF!</v>
      </c>
      <c r="P186" s="103" t="str">
        <f t="shared" ca="1" si="4"/>
        <v>20%</v>
      </c>
      <c r="Q186" s="101" t="e">
        <f t="shared" ca="1" si="5"/>
        <v>#REF!</v>
      </c>
      <c r="R186" s="104">
        <f>VLOOKUP(D:D,ranking!W:X,2,0)</f>
        <v>0.7</v>
      </c>
      <c r="S186" s="59">
        <v>0.39749337600000001</v>
      </c>
    </row>
    <row r="187" spans="1:19" x14ac:dyDescent="0.25">
      <c r="A187" s="46" t="s">
        <v>1057</v>
      </c>
      <c r="B187" s="46" t="s">
        <v>85</v>
      </c>
      <c r="C187" s="46" t="s">
        <v>98</v>
      </c>
      <c r="D187" s="46" t="s">
        <v>434</v>
      </c>
      <c r="E187" s="46" t="s">
        <v>211</v>
      </c>
      <c r="F187" s="98" t="s">
        <v>458</v>
      </c>
      <c r="G187" s="46" t="s">
        <v>661</v>
      </c>
      <c r="H187" s="46" t="s">
        <v>19</v>
      </c>
      <c r="I187" s="106">
        <v>42055</v>
      </c>
      <c r="J187" s="98">
        <v>6</v>
      </c>
      <c r="K187" s="46" t="s">
        <v>87</v>
      </c>
      <c r="L187" s="101">
        <f>VLOOKUP($C187&amp;$E187,'Updated SES'!A:N,14,0)</f>
        <v>49.811200000000007</v>
      </c>
      <c r="M187" s="102">
        <f>VLOOKUP($K187,'Genre Penetration'!A:B,2,0)*VLOOKUP($C187&amp;$E187,'Updated SES'!A:I,9,0)</f>
        <v>0.45750000000000002</v>
      </c>
      <c r="N187" s="102">
        <f>VLOOKUP(K:K,'Genre Penetration'!A:C,3,0)*VLOOKUP($C187&amp;$E187,'Updated SES'!A:J,10,0)</f>
        <v>9.7500000000000003E-2</v>
      </c>
      <c r="O187" s="102" t="e">
        <f>VLOOKUP($B187,'Language Penetration'!$B$1:$AY$14,MATCH('Compile data Working'!#REF!,'Language Penetration'!$B$1:$AY$1,0),0)</f>
        <v>#REF!</v>
      </c>
      <c r="P187" s="103" t="str">
        <f t="shared" ca="1" si="4"/>
        <v>14%</v>
      </c>
      <c r="Q187" s="101" t="e">
        <f t="shared" ca="1" si="5"/>
        <v>#REF!</v>
      </c>
      <c r="R187" s="104">
        <f>VLOOKUP(D:D,ranking!W:X,2,0)</f>
        <v>0.7</v>
      </c>
      <c r="S187" s="59">
        <v>1.4822318784000001</v>
      </c>
    </row>
    <row r="188" spans="1:19" x14ac:dyDescent="0.25">
      <c r="A188" s="46" t="s">
        <v>1057</v>
      </c>
      <c r="B188" s="46" t="s">
        <v>85</v>
      </c>
      <c r="C188" s="46" t="s">
        <v>98</v>
      </c>
      <c r="D188" s="46" t="s">
        <v>434</v>
      </c>
      <c r="E188" s="46" t="s">
        <v>211</v>
      </c>
      <c r="F188" s="98" t="s">
        <v>458</v>
      </c>
      <c r="G188" s="46" t="s">
        <v>1683</v>
      </c>
      <c r="H188" s="46" t="s">
        <v>19</v>
      </c>
      <c r="I188" s="106">
        <v>41334</v>
      </c>
      <c r="J188" s="98">
        <v>7</v>
      </c>
      <c r="K188" s="46" t="s">
        <v>1159</v>
      </c>
      <c r="L188" s="101">
        <f>VLOOKUP($C188&amp;$E188,'Updated SES'!A:N,14,0)</f>
        <v>49.811200000000007</v>
      </c>
      <c r="M188" s="102">
        <f>VLOOKUP($K188,'Genre Penetration'!A:B,2,0)*VLOOKUP($C188&amp;$E188,'Updated SES'!A:I,9,0)</f>
        <v>0.51</v>
      </c>
      <c r="N188" s="102">
        <f>VLOOKUP(K:K,'Genre Penetration'!A:C,3,0)*VLOOKUP($C188&amp;$E188,'Updated SES'!A:J,10,0)</f>
        <v>0.08</v>
      </c>
      <c r="O188" s="102" t="e">
        <f>VLOOKUP($B188,'Language Penetration'!$B$1:$AY$14,MATCH('Compile data Working'!#REF!,'Language Penetration'!$B$1:$AY$1,0),0)</f>
        <v>#REF!</v>
      </c>
      <c r="P188" s="103" t="str">
        <f t="shared" ca="1" si="4"/>
        <v>8%</v>
      </c>
      <c r="Q188" s="101" t="e">
        <f t="shared" ca="1" si="5"/>
        <v>#REF!</v>
      </c>
      <c r="R188" s="104">
        <f>VLOOKUP(D:D,ranking!W:X,2,0)</f>
        <v>0.7</v>
      </c>
      <c r="S188" s="59">
        <v>1.1108893823999999</v>
      </c>
    </row>
    <row r="189" spans="1:19" x14ac:dyDescent="0.25">
      <c r="A189" s="46" t="s">
        <v>1057</v>
      </c>
      <c r="B189" s="46" t="s">
        <v>85</v>
      </c>
      <c r="C189" s="46" t="s">
        <v>98</v>
      </c>
      <c r="D189" s="46" t="s">
        <v>434</v>
      </c>
      <c r="E189" s="46" t="s">
        <v>211</v>
      </c>
      <c r="F189" s="98" t="s">
        <v>458</v>
      </c>
      <c r="G189" s="46" t="s">
        <v>668</v>
      </c>
      <c r="H189" s="46" t="s">
        <v>19</v>
      </c>
      <c r="I189" s="106">
        <v>42979</v>
      </c>
      <c r="J189" s="98">
        <v>8</v>
      </c>
      <c r="K189" s="46" t="s">
        <v>154</v>
      </c>
      <c r="L189" s="101">
        <f>VLOOKUP($C189&amp;$E189,'Updated SES'!A:N,14,0)</f>
        <v>49.811200000000007</v>
      </c>
      <c r="M189" s="102">
        <f>VLOOKUP($K189,'Genre Penetration'!A:B,2,0)*VLOOKUP($C189&amp;$E189,'Updated SES'!A:I,9,0)</f>
        <v>0.22499999999999998</v>
      </c>
      <c r="N189" s="102">
        <f>VLOOKUP(K:K,'Genre Penetration'!A:C,3,0)*VLOOKUP($C189&amp;$E189,'Updated SES'!A:J,10,0)</f>
        <v>0.17499999999999999</v>
      </c>
      <c r="O189" s="102" t="e">
        <f>VLOOKUP($B189,'Language Penetration'!$B$1:$AY$14,MATCH('Compile data Working'!#REF!,'Language Penetration'!$B$1:$AY$1,0),0)</f>
        <v>#REF!</v>
      </c>
      <c r="P189" s="103" t="str">
        <f t="shared" ca="1" si="4"/>
        <v>8%</v>
      </c>
      <c r="Q189" s="101" t="e">
        <f t="shared" ca="1" si="5"/>
        <v>#REF!</v>
      </c>
      <c r="R189" s="104">
        <f>VLOOKUP(D:D,ranking!W:X,2,0)</f>
        <v>0.7</v>
      </c>
      <c r="S189" s="59">
        <v>0.58577971200000012</v>
      </c>
    </row>
    <row r="190" spans="1:19" x14ac:dyDescent="0.25">
      <c r="A190" s="46" t="s">
        <v>1057</v>
      </c>
      <c r="B190" s="46" t="s">
        <v>85</v>
      </c>
      <c r="C190" s="46" t="s">
        <v>98</v>
      </c>
      <c r="D190" s="46" t="s">
        <v>434</v>
      </c>
      <c r="E190" s="46" t="s">
        <v>211</v>
      </c>
      <c r="F190" s="98" t="s">
        <v>458</v>
      </c>
      <c r="G190" s="46" t="s">
        <v>1684</v>
      </c>
      <c r="H190" s="46" t="s">
        <v>19</v>
      </c>
      <c r="I190" s="106">
        <v>40985</v>
      </c>
      <c r="J190" s="98">
        <v>9</v>
      </c>
      <c r="K190" s="46" t="s">
        <v>1160</v>
      </c>
      <c r="L190" s="101">
        <f>VLOOKUP($C190&amp;$E190,'Updated SES'!A:N,14,0)</f>
        <v>49.811200000000007</v>
      </c>
      <c r="M190" s="102">
        <f>VLOOKUP($K190,'Genre Penetration'!A:B,2,0)*VLOOKUP($C190&amp;$E190,'Updated SES'!A:I,9,0)</f>
        <v>0.315</v>
      </c>
      <c r="N190" s="102">
        <f>VLOOKUP(K:K,'Genre Penetration'!A:C,3,0)*VLOOKUP($C190&amp;$E190,'Updated SES'!A:J,10,0)</f>
        <v>0.14499999999999999</v>
      </c>
      <c r="O190" s="102" t="e">
        <f>VLOOKUP($B190,'Language Penetration'!$B$1:$AY$14,MATCH('Compile data Working'!#REF!,'Language Penetration'!$B$1:$AY$1,0),0)</f>
        <v>#REF!</v>
      </c>
      <c r="P190" s="103" t="str">
        <f t="shared" ca="1" si="4"/>
        <v>4%</v>
      </c>
      <c r="Q190" s="101" t="e">
        <f t="shared" ca="1" si="5"/>
        <v>#REF!</v>
      </c>
      <c r="R190" s="104">
        <f>VLOOKUP(D:D,ranking!W:X,2,0)</f>
        <v>0.7</v>
      </c>
      <c r="S190" s="59">
        <v>0.48117619199999995</v>
      </c>
    </row>
    <row r="191" spans="1:19" x14ac:dyDescent="0.25">
      <c r="A191" s="46" t="s">
        <v>1057</v>
      </c>
      <c r="B191" s="46" t="s">
        <v>85</v>
      </c>
      <c r="C191" s="46" t="s">
        <v>98</v>
      </c>
      <c r="D191" s="46" t="s">
        <v>434</v>
      </c>
      <c r="E191" s="46" t="s">
        <v>211</v>
      </c>
      <c r="F191" s="98" t="s">
        <v>458</v>
      </c>
      <c r="G191" s="46" t="s">
        <v>1685</v>
      </c>
      <c r="H191" s="98" t="s">
        <v>19</v>
      </c>
      <c r="I191" s="106">
        <v>41592</v>
      </c>
      <c r="J191" s="98">
        <v>10</v>
      </c>
      <c r="K191" s="98" t="s">
        <v>172</v>
      </c>
      <c r="L191" s="101">
        <f>VLOOKUP($C191&amp;$E191,'Updated SES'!A:N,14,0)</f>
        <v>49.811200000000007</v>
      </c>
      <c r="M191" s="102">
        <f>VLOOKUP($K191,'Genre Penetration'!A:B,2,0)*VLOOKUP($C191&amp;$E191,'Updated SES'!A:I,9,0)</f>
        <v>0.30000000000000004</v>
      </c>
      <c r="N191" s="102">
        <f>VLOOKUP(K:K,'Genre Penetration'!A:C,3,0)*VLOOKUP($C191&amp;$E191,'Updated SES'!A:J,10,0)</f>
        <v>0.15</v>
      </c>
      <c r="O191" s="102" t="e">
        <f>VLOOKUP($B191,'Language Penetration'!$B$1:$AY$14,MATCH('Compile data Working'!#REF!,'Language Penetration'!$B$1:$AY$1,0),0)</f>
        <v>#REF!</v>
      </c>
      <c r="P191" s="103" t="str">
        <f t="shared" ca="1" si="4"/>
        <v>4%</v>
      </c>
      <c r="Q191" s="101" t="e">
        <f t="shared" ca="1" si="5"/>
        <v>#REF!</v>
      </c>
      <c r="R191" s="104">
        <f>VLOOKUP(D:D,ranking!W:X,2,0)</f>
        <v>0.7</v>
      </c>
      <c r="S191" s="59">
        <v>0.282429504</v>
      </c>
    </row>
    <row r="192" spans="1:19" x14ac:dyDescent="0.25">
      <c r="A192" s="46" t="s">
        <v>1057</v>
      </c>
      <c r="B192" s="46" t="s">
        <v>85</v>
      </c>
      <c r="C192" s="46" t="s">
        <v>100</v>
      </c>
      <c r="D192" s="46" t="s">
        <v>434</v>
      </c>
      <c r="E192" s="46" t="s">
        <v>211</v>
      </c>
      <c r="F192" s="98" t="s">
        <v>458</v>
      </c>
      <c r="G192" s="53" t="s">
        <v>1686</v>
      </c>
      <c r="H192" s="98" t="s">
        <v>23</v>
      </c>
      <c r="I192" s="53">
        <v>45973</v>
      </c>
      <c r="J192" s="98">
        <v>1</v>
      </c>
      <c r="K192" s="98" t="s">
        <v>950</v>
      </c>
      <c r="L192" s="101">
        <f>VLOOKUP($C192&amp;$E192,'Updated SES'!A:N,14,0)</f>
        <v>1.8480000000000003</v>
      </c>
      <c r="M192" s="102" t="e">
        <f>VLOOKUP($K192,'Genre Penetration'!A:B,2,0)*VLOOKUP($C192&amp;$E192,'Updated SES'!A:I,9,0)</f>
        <v>#N/A</v>
      </c>
      <c r="N192" s="102" t="e">
        <f>VLOOKUP(K:K,'Genre Penetration'!A:C,3,0)*VLOOKUP($C192&amp;$E192,'Updated SES'!A:J,10,0)</f>
        <v>#N/A</v>
      </c>
      <c r="O192" s="102" t="e">
        <f>VLOOKUP($B192,'Language Penetration'!$B$1:$AY$14,MATCH('Compile data Working'!#REF!,'Language Penetration'!$B$1:$AY$1,0),0)</f>
        <v>#REF!</v>
      </c>
      <c r="P192" s="103" t="str">
        <f t="shared" ca="1" si="4"/>
        <v>38%</v>
      </c>
      <c r="Q192" s="101" t="e">
        <f t="shared" ca="1" si="5"/>
        <v>#N/A</v>
      </c>
      <c r="R192" s="104">
        <f>VLOOKUP(D:D,ranking!W:X,2,0)</f>
        <v>0.7</v>
      </c>
      <c r="S192" s="59">
        <v>3.5897400000000003E-2</v>
      </c>
    </row>
    <row r="193" spans="1:19" x14ac:dyDescent="0.25">
      <c r="A193" s="46" t="s">
        <v>1057</v>
      </c>
      <c r="B193" s="46" t="s">
        <v>85</v>
      </c>
      <c r="C193" s="46" t="s">
        <v>100</v>
      </c>
      <c r="D193" s="46" t="s">
        <v>434</v>
      </c>
      <c r="E193" s="46" t="s">
        <v>211</v>
      </c>
      <c r="F193" s="98" t="s">
        <v>458</v>
      </c>
      <c r="G193" s="46" t="s">
        <v>1307</v>
      </c>
      <c r="H193" s="98" t="s">
        <v>23</v>
      </c>
      <c r="I193" s="106">
        <v>45931</v>
      </c>
      <c r="J193" s="98">
        <v>2</v>
      </c>
      <c r="K193" s="98" t="s">
        <v>154</v>
      </c>
      <c r="L193" s="101">
        <f>VLOOKUP($C193&amp;$E193,'Updated SES'!A:N,14,0)</f>
        <v>1.8480000000000003</v>
      </c>
      <c r="M193" s="102">
        <f>VLOOKUP($K193,'Genre Penetration'!A:B,2,0)*VLOOKUP($C193&amp;$E193,'Updated SES'!A:I,9,0)</f>
        <v>0.23399999999999999</v>
      </c>
      <c r="N193" s="102">
        <f>VLOOKUP(K:K,'Genre Penetration'!A:C,3,0)*VLOOKUP($C193&amp;$E193,'Updated SES'!A:J,10,0)</f>
        <v>0.154</v>
      </c>
      <c r="O193" s="102" t="e">
        <f>VLOOKUP($B193,'Language Penetration'!$B$1:$AY$14,MATCH('Compile data Working'!#REF!,'Language Penetration'!$B$1:$AY$1,0),0)</f>
        <v>#REF!</v>
      </c>
      <c r="P193" s="103" t="str">
        <f t="shared" ca="1" si="4"/>
        <v>35%</v>
      </c>
      <c r="Q193" s="101" t="e">
        <f t="shared" ca="1" si="5"/>
        <v>#REF!</v>
      </c>
      <c r="R193" s="104">
        <f>VLOOKUP(D:D,ranking!W:X,2,0)</f>
        <v>0.7</v>
      </c>
      <c r="S193" s="59">
        <v>2.6350632000000002E-2</v>
      </c>
    </row>
    <row r="194" spans="1:19" x14ac:dyDescent="0.25">
      <c r="A194" s="46" t="s">
        <v>1057</v>
      </c>
      <c r="B194" s="46" t="s">
        <v>85</v>
      </c>
      <c r="C194" s="46" t="s">
        <v>100</v>
      </c>
      <c r="D194" s="46" t="s">
        <v>434</v>
      </c>
      <c r="E194" s="46" t="s">
        <v>211</v>
      </c>
      <c r="F194" s="98" t="s">
        <v>458</v>
      </c>
      <c r="G194" s="53" t="s">
        <v>1687</v>
      </c>
      <c r="H194" s="98" t="s">
        <v>23</v>
      </c>
      <c r="I194" s="46" t="s">
        <v>254</v>
      </c>
      <c r="J194" s="98">
        <v>3</v>
      </c>
      <c r="K194" s="98" t="s">
        <v>950</v>
      </c>
      <c r="L194" s="101">
        <f>VLOOKUP($C194&amp;$E194,'Updated SES'!A:N,14,0)</f>
        <v>1.8480000000000003</v>
      </c>
      <c r="M194" s="102" t="e">
        <f>VLOOKUP($K194,'Genre Penetration'!A:B,2,0)*VLOOKUP($C194&amp;$E194,'Updated SES'!A:I,9,0)</f>
        <v>#N/A</v>
      </c>
      <c r="N194" s="102" t="e">
        <f>VLOOKUP(K:K,'Genre Penetration'!A:C,3,0)*VLOOKUP($C194&amp;$E194,'Updated SES'!A:J,10,0)</f>
        <v>#N/A</v>
      </c>
      <c r="O194" s="102" t="e">
        <f>VLOOKUP($B194,'Language Penetration'!$B$1:$AY$14,MATCH('Compile data Working'!#REF!,'Language Penetration'!$B$1:$AY$1,0),0)</f>
        <v>#REF!</v>
      </c>
      <c r="P194" s="103" t="str">
        <f t="shared" ca="1" si="4"/>
        <v>25%</v>
      </c>
      <c r="Q194" s="101" t="e">
        <f t="shared" ca="1" si="5"/>
        <v>#N/A</v>
      </c>
      <c r="R194" s="104">
        <f>VLOOKUP(D:D,ranking!W:X,2,0)</f>
        <v>0.7</v>
      </c>
      <c r="S194" s="59">
        <v>2.9106000000000003E-2</v>
      </c>
    </row>
    <row r="195" spans="1:19" x14ac:dyDescent="0.25">
      <c r="A195" s="46" t="s">
        <v>1057</v>
      </c>
      <c r="B195" s="46" t="s">
        <v>85</v>
      </c>
      <c r="C195" s="46" t="s">
        <v>100</v>
      </c>
      <c r="D195" s="46" t="s">
        <v>456</v>
      </c>
      <c r="E195" s="46" t="s">
        <v>211</v>
      </c>
      <c r="F195" s="98" t="s">
        <v>457</v>
      </c>
      <c r="G195" s="46" t="s">
        <v>1688</v>
      </c>
      <c r="H195" s="98" t="s">
        <v>23</v>
      </c>
      <c r="I195" s="106">
        <v>45892</v>
      </c>
      <c r="J195" s="98">
        <v>4</v>
      </c>
      <c r="K195" s="98" t="s">
        <v>1420</v>
      </c>
      <c r="L195" s="101">
        <f>VLOOKUP($C195&amp;$E195,'Updated SES'!A:N,14,0)</f>
        <v>1.8480000000000003</v>
      </c>
      <c r="M195" s="102">
        <f>VLOOKUP($K195,'Genre Penetration'!A:B,2,0)*VLOOKUP($C195&amp;$E195,'Updated SES'!A:I,9,0)</f>
        <v>0.39</v>
      </c>
      <c r="N195" s="102">
        <f>VLOOKUP(K:K,'Genre Penetration'!A:C,3,0)*VLOOKUP($C195&amp;$E195,'Updated SES'!A:J,10,0)</f>
        <v>0.11</v>
      </c>
      <c r="O195" s="102" t="e">
        <f>VLOOKUP($B195,'Language Penetration'!$B$1:$AY$14,MATCH('Compile data Working'!#REF!,'Language Penetration'!$B$1:$AY$1,0),0)</f>
        <v>#REF!</v>
      </c>
      <c r="P195" s="103" t="str">
        <f t="shared" ca="1" si="4"/>
        <v>22%</v>
      </c>
      <c r="Q195" s="101" t="e">
        <f t="shared" ca="1" si="5"/>
        <v>#REF!</v>
      </c>
      <c r="R195" s="104">
        <f>VLOOKUP(D:D,ranking!W:X,2,0)</f>
        <v>0.3</v>
      </c>
      <c r="S195" s="59">
        <v>8.7318000000000014E-3</v>
      </c>
    </row>
    <row r="196" spans="1:19" x14ac:dyDescent="0.25">
      <c r="A196" s="46" t="s">
        <v>1057</v>
      </c>
      <c r="B196" s="46" t="s">
        <v>85</v>
      </c>
      <c r="C196" s="46" t="s">
        <v>100</v>
      </c>
      <c r="D196" s="46" t="s">
        <v>456</v>
      </c>
      <c r="E196" s="46" t="s">
        <v>211</v>
      </c>
      <c r="F196" s="98" t="s">
        <v>457</v>
      </c>
      <c r="G196" s="46" t="s">
        <v>1689</v>
      </c>
      <c r="H196" s="98" t="s">
        <v>23</v>
      </c>
      <c r="I196" s="106">
        <v>45932</v>
      </c>
      <c r="J196" s="46">
        <v>5</v>
      </c>
      <c r="K196" s="98" t="s">
        <v>1419</v>
      </c>
      <c r="L196" s="101">
        <f>VLOOKUP($C196&amp;$E196,'Updated SES'!A:N,14,0)</f>
        <v>1.8480000000000003</v>
      </c>
      <c r="M196" s="102">
        <f>VLOOKUP($K196,'Genre Penetration'!A:B,2,0)*VLOOKUP($C196&amp;$E196,'Updated SES'!A:I,9,0)</f>
        <v>0.44128203460272947</v>
      </c>
      <c r="N196" s="102">
        <f>VLOOKUP(K:K,'Genre Penetration'!A:C,3,0)*VLOOKUP($C196&amp;$E196,'Updated SES'!A:J,10,0)</f>
        <v>9.5535836394102E-2</v>
      </c>
      <c r="O196" s="102" t="e">
        <f>VLOOKUP($B196,'Language Penetration'!$B$1:$AY$14,MATCH('Compile data Working'!#REF!,'Language Penetration'!$B$1:$AY$1,0),0)</f>
        <v>#REF!</v>
      </c>
      <c r="P196" s="103" t="str">
        <f t="shared" ca="1" si="4"/>
        <v>18%</v>
      </c>
      <c r="Q196" s="101" t="e">
        <f t="shared" ca="1" si="5"/>
        <v>#REF!</v>
      </c>
      <c r="R196" s="104">
        <f>VLOOKUP(D:D,ranking!W:X,2,0)</f>
        <v>0.3</v>
      </c>
      <c r="S196" s="59">
        <v>7.9605458976589414E-3</v>
      </c>
    </row>
    <row r="197" spans="1:19" x14ac:dyDescent="0.25">
      <c r="A197" s="46" t="s">
        <v>1057</v>
      </c>
      <c r="B197" s="46" t="s">
        <v>85</v>
      </c>
      <c r="C197" s="46" t="s">
        <v>100</v>
      </c>
      <c r="D197" s="46" t="s">
        <v>456</v>
      </c>
      <c r="E197" s="46" t="s">
        <v>211</v>
      </c>
      <c r="F197" s="98" t="s">
        <v>457</v>
      </c>
      <c r="G197" s="46" t="s">
        <v>1690</v>
      </c>
      <c r="H197" s="98" t="s">
        <v>23</v>
      </c>
      <c r="I197" s="106">
        <v>45896</v>
      </c>
      <c r="J197" s="46">
        <v>6</v>
      </c>
      <c r="K197" s="98" t="s">
        <v>1420</v>
      </c>
      <c r="L197" s="101">
        <f>VLOOKUP($C197&amp;$E197,'Updated SES'!A:N,14,0)</f>
        <v>1.8480000000000003</v>
      </c>
      <c r="M197" s="102">
        <f>VLOOKUP($K197,'Genre Penetration'!A:B,2,0)*VLOOKUP($C197&amp;$E197,'Updated SES'!A:I,9,0)</f>
        <v>0.39</v>
      </c>
      <c r="N197" s="102">
        <f>VLOOKUP(K:K,'Genre Penetration'!A:C,3,0)*VLOOKUP($C197&amp;$E197,'Updated SES'!A:J,10,0)</f>
        <v>0.11</v>
      </c>
      <c r="O197" s="102" t="e">
        <f>VLOOKUP($B197,'Language Penetration'!$B$1:$AY$14,MATCH('Compile data Working'!#REF!,'Language Penetration'!$B$1:$AY$1,0),0)</f>
        <v>#REF!</v>
      </c>
      <c r="P197" s="103" t="str">
        <f t="shared" ref="P197:P260" ca="1" si="6">IF(ISBLANK(J197),RANDBETWEEN(1,2)&amp;"%",IF(J197=1,RANDBETWEEN(35,40)&amp;"%",IF(J197=2,RANDBETWEEN(30,35)&amp;"%",IF(J197=3,RANDBETWEEN(25,30)&amp;"%",IF(J197=4,RANDBETWEEN(20,25)&amp;"%",IF(J197=5,RANDBETWEEN(15,20)&amp;"%",IF(J197=6,RANDBETWEEN(10,15)&amp;"%",IF(J197=7,RANDBETWEEN(8,10)&amp;"%",IF(J197=8,RANDBETWEEN(6,8)&amp;"%",IF(J197=9,RANDBETWEEN(4,6)&amp;"%",IF(J197=10,RANDBETWEEN(2,4)&amp;"%","")))))))))))</f>
        <v>10%</v>
      </c>
      <c r="Q197" s="101" t="e">
        <f t="shared" ref="Q197:Q260" ca="1" si="7">IFERROR(L197*(M197+N197)*O197*P197,RANDBETWEEN(1,2)%*L197*(M197+N197)*O197)</f>
        <v>#REF!</v>
      </c>
      <c r="R197" s="104">
        <f>VLOOKUP(D:D,ranking!W:X,2,0)</f>
        <v>0.3</v>
      </c>
      <c r="S197" s="59">
        <v>4.5738000000000003E-3</v>
      </c>
    </row>
    <row r="198" spans="1:19" x14ac:dyDescent="0.25">
      <c r="A198" s="46" t="s">
        <v>1057</v>
      </c>
      <c r="B198" s="46" t="s">
        <v>85</v>
      </c>
      <c r="C198" s="46" t="s">
        <v>100</v>
      </c>
      <c r="D198" s="46" t="s">
        <v>431</v>
      </c>
      <c r="E198" s="46" t="s">
        <v>211</v>
      </c>
      <c r="F198" s="98" t="s">
        <v>457</v>
      </c>
      <c r="G198" s="46" t="s">
        <v>1363</v>
      </c>
      <c r="H198" s="98" t="s">
        <v>23</v>
      </c>
      <c r="I198" s="106">
        <v>45883</v>
      </c>
      <c r="J198" s="46">
        <v>7</v>
      </c>
      <c r="K198" s="98" t="s">
        <v>173</v>
      </c>
      <c r="L198" s="101">
        <f>VLOOKUP($C198&amp;$E198,'Updated SES'!A:N,14,0)</f>
        <v>1.8480000000000003</v>
      </c>
      <c r="M198" s="102">
        <f>VLOOKUP($K198,'Genre Penetration'!A:B,2,0)*VLOOKUP($C198&amp;$E198,'Updated SES'!A:I,9,0)</f>
        <v>0.42900000000000005</v>
      </c>
      <c r="N198" s="102">
        <f>VLOOKUP(K:K,'Genre Penetration'!A:C,3,0)*VLOOKUP($C198&amp;$E198,'Updated SES'!A:J,10,0)</f>
        <v>9.9000000000000005E-2</v>
      </c>
      <c r="O198" s="102" t="e">
        <f>VLOOKUP($B198,'Language Penetration'!$B$1:$AY$14,MATCH('Compile data Working'!#REF!,'Language Penetration'!$B$1:$AY$1,0),0)</f>
        <v>#REF!</v>
      </c>
      <c r="P198" s="103" t="str">
        <f t="shared" ca="1" si="6"/>
        <v>8%</v>
      </c>
      <c r="Q198" s="101" t="e">
        <f t="shared" ca="1" si="7"/>
        <v>#REF!</v>
      </c>
      <c r="R198" s="104">
        <f>VLOOKUP(D:D,ranking!W:X,2,0)</f>
        <v>0.6</v>
      </c>
      <c r="S198" s="59">
        <v>7.9035263999999994E-3</v>
      </c>
    </row>
    <row r="199" spans="1:19" x14ac:dyDescent="0.25">
      <c r="A199" s="46" t="s">
        <v>1057</v>
      </c>
      <c r="B199" s="46" t="s">
        <v>85</v>
      </c>
      <c r="C199" s="46" t="s">
        <v>100</v>
      </c>
      <c r="D199" s="46" t="s">
        <v>431</v>
      </c>
      <c r="E199" s="46" t="s">
        <v>211</v>
      </c>
      <c r="F199" s="98" t="s">
        <v>457</v>
      </c>
      <c r="G199" s="53" t="s">
        <v>1364</v>
      </c>
      <c r="H199" s="98" t="s">
        <v>23</v>
      </c>
      <c r="I199" s="106">
        <v>45841</v>
      </c>
      <c r="J199" s="46">
        <v>8</v>
      </c>
      <c r="K199" s="98" t="s">
        <v>1162</v>
      </c>
      <c r="L199" s="101">
        <f>VLOOKUP($C199&amp;$E199,'Updated SES'!A:N,14,0)</f>
        <v>1.8480000000000003</v>
      </c>
      <c r="M199" s="102">
        <f>VLOOKUP($K199,'Genre Penetration'!A:B,2,0)*VLOOKUP($C199&amp;$E199,'Updated SES'!A:I,9,0)</f>
        <v>0.37440000000000001</v>
      </c>
      <c r="N199" s="102">
        <f>VLOOKUP(K:K,'Genre Penetration'!A:C,3,0)*VLOOKUP($C199&amp;$E199,'Updated SES'!A:J,10,0)</f>
        <v>0.1144</v>
      </c>
      <c r="O199" s="102" t="e">
        <f>VLOOKUP($B199,'Language Penetration'!$B$1:$AY$14,MATCH('Compile data Working'!#REF!,'Language Penetration'!$B$1:$AY$1,0),0)</f>
        <v>#REF!</v>
      </c>
      <c r="P199" s="103" t="str">
        <f t="shared" ca="1" si="6"/>
        <v>7%</v>
      </c>
      <c r="Q199" s="101" t="e">
        <f t="shared" ca="1" si="7"/>
        <v>#REF!</v>
      </c>
      <c r="R199" s="104">
        <f>VLOOKUP(D:D,ranking!W:X,2,0)</f>
        <v>0.6</v>
      </c>
      <c r="S199" s="59">
        <v>5.6908051200000014E-3</v>
      </c>
    </row>
    <row r="200" spans="1:19" x14ac:dyDescent="0.25">
      <c r="A200" s="46" t="s">
        <v>1057</v>
      </c>
      <c r="B200" s="46" t="s">
        <v>85</v>
      </c>
      <c r="C200" s="46" t="s">
        <v>100</v>
      </c>
      <c r="D200" s="46" t="s">
        <v>432</v>
      </c>
      <c r="E200" s="46" t="s">
        <v>211</v>
      </c>
      <c r="F200" s="98" t="s">
        <v>458</v>
      </c>
      <c r="G200" s="46" t="s">
        <v>1365</v>
      </c>
      <c r="H200" s="98" t="s">
        <v>23</v>
      </c>
      <c r="I200" s="106">
        <v>45792</v>
      </c>
      <c r="J200" s="46">
        <v>9</v>
      </c>
      <c r="K200" s="98" t="s">
        <v>216</v>
      </c>
      <c r="L200" s="101">
        <f>VLOOKUP($C200&amp;$E200,'Updated SES'!A:N,14,0)</f>
        <v>1.8480000000000003</v>
      </c>
      <c r="M200" s="102">
        <f>VLOOKUP($K200,'Genre Penetration'!A:B,2,0)*VLOOKUP($C200&amp;$E200,'Updated SES'!A:I,9,0)</f>
        <v>0.39</v>
      </c>
      <c r="N200" s="102">
        <f>VLOOKUP(K:K,'Genre Penetration'!A:C,3,0)*VLOOKUP($C200&amp;$E200,'Updated SES'!A:J,10,0)</f>
        <v>0.11</v>
      </c>
      <c r="O200" s="102" t="e">
        <f>VLOOKUP($B200,'Language Penetration'!$B$1:$AY$14,MATCH('Compile data Working'!#REF!,'Language Penetration'!$B$1:$AY$1,0),0)</f>
        <v>#REF!</v>
      </c>
      <c r="P200" s="103" t="str">
        <f t="shared" ca="1" si="6"/>
        <v>6%</v>
      </c>
      <c r="Q200" s="101" t="e">
        <f t="shared" ca="1" si="7"/>
        <v>#REF!</v>
      </c>
      <c r="R200" s="104">
        <f>VLOOKUP(D:D,ranking!W:X,2,0)</f>
        <v>0.8</v>
      </c>
      <c r="S200" s="59">
        <v>4.4352000000000011E-3</v>
      </c>
    </row>
    <row r="201" spans="1:19" x14ac:dyDescent="0.25">
      <c r="A201" s="46" t="s">
        <v>1057</v>
      </c>
      <c r="B201" s="46" t="s">
        <v>85</v>
      </c>
      <c r="C201" s="46" t="s">
        <v>100</v>
      </c>
      <c r="D201" s="46" t="s">
        <v>456</v>
      </c>
      <c r="E201" s="46" t="s">
        <v>211</v>
      </c>
      <c r="F201" s="98" t="s">
        <v>457</v>
      </c>
      <c r="G201" s="46" t="s">
        <v>1691</v>
      </c>
      <c r="H201" s="98" t="s">
        <v>23</v>
      </c>
      <c r="I201" s="106">
        <v>42995</v>
      </c>
      <c r="J201" s="46">
        <v>10</v>
      </c>
      <c r="K201" s="98" t="s">
        <v>1163</v>
      </c>
      <c r="L201" s="101">
        <f>VLOOKUP($C201&amp;$E201,'Updated SES'!A:N,14,0)</f>
        <v>1.8480000000000003</v>
      </c>
      <c r="M201" s="102">
        <f>VLOOKUP($K201,'Genre Penetration'!A:B,2,0)*VLOOKUP($C201&amp;$E201,'Updated SES'!A:I,9,0)</f>
        <v>0.35880000000000001</v>
      </c>
      <c r="N201" s="102">
        <f>VLOOKUP(K:K,'Genre Penetration'!A:C,3,0)*VLOOKUP($C201&amp;$E201,'Updated SES'!A:J,10,0)</f>
        <v>0.1188</v>
      </c>
      <c r="O201" s="102" t="e">
        <f>VLOOKUP($B201,'Language Penetration'!$B$1:$AY$14,MATCH('Compile data Working'!#REF!,'Language Penetration'!$B$1:$AY$1,0),0)</f>
        <v>#REF!</v>
      </c>
      <c r="P201" s="103" t="str">
        <f t="shared" ca="1" si="6"/>
        <v>3%</v>
      </c>
      <c r="Q201" s="101" t="e">
        <f t="shared" ca="1" si="7"/>
        <v>#REF!</v>
      </c>
      <c r="R201" s="104">
        <f>VLOOKUP(D:D,ranking!W:X,2,0)</f>
        <v>0.3</v>
      </c>
      <c r="S201" s="59">
        <v>7.9434432000000002E-4</v>
      </c>
    </row>
    <row r="202" spans="1:19" x14ac:dyDescent="0.25">
      <c r="A202" s="46" t="s">
        <v>1057</v>
      </c>
      <c r="B202" s="46" t="s">
        <v>85</v>
      </c>
      <c r="C202" s="46" t="s">
        <v>104</v>
      </c>
      <c r="D202" s="46" t="s">
        <v>434</v>
      </c>
      <c r="E202" s="46" t="s">
        <v>211</v>
      </c>
      <c r="F202" s="98" t="s">
        <v>458</v>
      </c>
      <c r="G202" s="46" t="s">
        <v>1455</v>
      </c>
      <c r="H202" s="98" t="s">
        <v>33</v>
      </c>
      <c r="I202" s="106">
        <v>45954</v>
      </c>
      <c r="J202" s="46">
        <v>1</v>
      </c>
      <c r="K202" s="98" t="s">
        <v>172</v>
      </c>
      <c r="L202" s="101">
        <f>VLOOKUP($C202&amp;$E202,'Updated SES'!A:N,14,0)</f>
        <v>16.906969999999998</v>
      </c>
      <c r="M202" s="102">
        <f>VLOOKUP($K202,'Genre Penetration'!A:B,2,0)*VLOOKUP($C202&amp;$E202,'Updated SES'!A:I,9,0)</f>
        <v>0.24</v>
      </c>
      <c r="N202" s="102">
        <f>VLOOKUP(K:K,'Genre Penetration'!A:C,3,0)*VLOOKUP($C202&amp;$E202,'Updated SES'!A:J,10,0)</f>
        <v>0.24</v>
      </c>
      <c r="O202" s="102">
        <f>VLOOKUP($B202,'Language Penetration'!$B$1:$AY$14,MATCH('Compile data Working'!$H47,'Language Penetration'!$B$1:$AY$1,0),0)</f>
        <v>7.0000000000000007E-2</v>
      </c>
      <c r="P202" s="103" t="str">
        <f t="shared" ca="1" si="6"/>
        <v>37%</v>
      </c>
      <c r="Q202" s="101">
        <f t="shared" ca="1" si="7"/>
        <v>0.21018745103999995</v>
      </c>
      <c r="R202" s="104">
        <f>VLOOKUP(D:D,ranking!W:X,2,0)</f>
        <v>0.7</v>
      </c>
      <c r="S202" s="59">
        <v>0.21586819295999993</v>
      </c>
    </row>
    <row r="203" spans="1:19" x14ac:dyDescent="0.25">
      <c r="A203" s="46" t="s">
        <v>1057</v>
      </c>
      <c r="B203" s="46" t="s">
        <v>85</v>
      </c>
      <c r="C203" s="46" t="s">
        <v>104</v>
      </c>
      <c r="D203" s="46" t="s">
        <v>434</v>
      </c>
      <c r="E203" s="46" t="s">
        <v>211</v>
      </c>
      <c r="F203" s="98" t="s">
        <v>458</v>
      </c>
      <c r="G203" s="46" t="s">
        <v>1509</v>
      </c>
      <c r="H203" s="98" t="s">
        <v>33</v>
      </c>
      <c r="I203" s="106">
        <v>45680</v>
      </c>
      <c r="J203" s="46">
        <v>2</v>
      </c>
      <c r="K203" s="98" t="s">
        <v>980</v>
      </c>
      <c r="L203" s="101">
        <f>VLOOKUP($C203&amp;$E203,'Updated SES'!A:N,14,0)</f>
        <v>16.906969999999998</v>
      </c>
      <c r="M203" s="102">
        <f>VLOOKUP($K203,'Genre Penetration'!A:B,2,0)*VLOOKUP($C203&amp;$E203,'Updated SES'!A:I,9,0)</f>
        <v>0.36</v>
      </c>
      <c r="N203" s="102">
        <f>VLOOKUP(K:K,'Genre Penetration'!A:C,3,0)*VLOOKUP($C203&amp;$E203,'Updated SES'!A:J,10,0)</f>
        <v>0.16000000000000003</v>
      </c>
      <c r="O203" s="102" t="e">
        <f>VLOOKUP($B203,'Language Penetration'!$B$1:$AY$14,MATCH('Compile data Working'!#REF!,'Language Penetration'!$B$1:$AY$1,0),0)</f>
        <v>#REF!</v>
      </c>
      <c r="P203" s="103" t="str">
        <f t="shared" ca="1" si="6"/>
        <v>31%</v>
      </c>
      <c r="Q203" s="101" t="e">
        <f t="shared" ca="1" si="7"/>
        <v>#REF!</v>
      </c>
      <c r="R203" s="104">
        <f>VLOOKUP(D:D,ranking!W:X,2,0)</f>
        <v>0.7</v>
      </c>
      <c r="S203" s="59">
        <v>0.19693238655999998</v>
      </c>
    </row>
    <row r="204" spans="1:19" x14ac:dyDescent="0.25">
      <c r="A204" s="46" t="s">
        <v>1057</v>
      </c>
      <c r="B204" s="46" t="s">
        <v>85</v>
      </c>
      <c r="C204" s="46" t="s">
        <v>104</v>
      </c>
      <c r="D204" s="46" t="s">
        <v>434</v>
      </c>
      <c r="E204" s="46" t="s">
        <v>211</v>
      </c>
      <c r="F204" s="98" t="s">
        <v>458</v>
      </c>
      <c r="G204" s="46" t="s">
        <v>1505</v>
      </c>
      <c r="H204" s="98" t="s">
        <v>33</v>
      </c>
      <c r="I204" s="106">
        <v>45184</v>
      </c>
      <c r="J204" s="46">
        <v>3</v>
      </c>
      <c r="K204" s="98" t="s">
        <v>216</v>
      </c>
      <c r="L204" s="101">
        <f>VLOOKUP($C204&amp;$E204,'Updated SES'!A:N,14,0)</f>
        <v>16.906969999999998</v>
      </c>
      <c r="M204" s="102">
        <f>VLOOKUP($K204,'Genre Penetration'!A:B,2,0)*VLOOKUP($C204&amp;$E204,'Updated SES'!A:I,9,0)</f>
        <v>0.3</v>
      </c>
      <c r="N204" s="102">
        <f>VLOOKUP(K:K,'Genre Penetration'!A:C,3,0)*VLOOKUP($C204&amp;$E204,'Updated SES'!A:J,10,0)</f>
        <v>0.2</v>
      </c>
      <c r="O204" s="102">
        <f>VLOOKUP($B204,'Language Penetration'!$B$1:$AY$14,MATCH('Compile data Working'!$H48,'Language Penetration'!$B$1:$AY$1,0),0)</f>
        <v>0.2</v>
      </c>
      <c r="P204" s="103" t="str">
        <f t="shared" ca="1" si="6"/>
        <v>25%</v>
      </c>
      <c r="Q204" s="101">
        <f t="shared" ca="1" si="7"/>
        <v>0.42267424999999997</v>
      </c>
      <c r="R204" s="104">
        <f>VLOOKUP(D:D,ranking!W:X,2,0)</f>
        <v>0.7</v>
      </c>
      <c r="S204" s="59">
        <v>0.1597708665</v>
      </c>
    </row>
    <row r="205" spans="1:19" x14ac:dyDescent="0.25">
      <c r="A205" s="46" t="s">
        <v>1057</v>
      </c>
      <c r="B205" s="46" t="s">
        <v>85</v>
      </c>
      <c r="C205" s="46" t="s">
        <v>104</v>
      </c>
      <c r="D205" s="46" t="s">
        <v>434</v>
      </c>
      <c r="E205" s="46" t="s">
        <v>211</v>
      </c>
      <c r="F205" s="98" t="s">
        <v>458</v>
      </c>
      <c r="G205" s="46" t="s">
        <v>1504</v>
      </c>
      <c r="H205" s="98" t="s">
        <v>33</v>
      </c>
      <c r="I205" s="106">
        <v>44848</v>
      </c>
      <c r="J205" s="46">
        <v>4</v>
      </c>
      <c r="K205" s="98" t="s">
        <v>177</v>
      </c>
      <c r="L205" s="101">
        <f>VLOOKUP($C205&amp;$E205,'Updated SES'!A:N,14,0)</f>
        <v>16.906969999999998</v>
      </c>
      <c r="M205" s="102">
        <f>VLOOKUP($K205,'Genre Penetration'!A:B,2,0)*VLOOKUP($C205&amp;$E205,'Updated SES'!A:I,9,0)</f>
        <v>0.33</v>
      </c>
      <c r="N205" s="102">
        <f>VLOOKUP(K:K,'Genre Penetration'!A:C,3,0)*VLOOKUP($C205&amp;$E205,'Updated SES'!A:J,10,0)</f>
        <v>0.18000000000000002</v>
      </c>
      <c r="O205" s="102" t="e">
        <f>VLOOKUP($B205,'Language Penetration'!$B$1:$AY$14,MATCH('Compile data Working'!$H49,'Language Penetration'!$B$1:$AY$1,0),0)</f>
        <v>#N/A</v>
      </c>
      <c r="P205" s="103" t="str">
        <f t="shared" ca="1" si="6"/>
        <v>20%</v>
      </c>
      <c r="Q205" s="101" t="e">
        <f t="shared" ca="1" si="7"/>
        <v>#N/A</v>
      </c>
      <c r="R205" s="104">
        <f>VLOOKUP(D:D,ranking!W:X,2,0)</f>
        <v>0.7</v>
      </c>
      <c r="S205" s="59">
        <v>0.13882313066999999</v>
      </c>
    </row>
    <row r="206" spans="1:19" x14ac:dyDescent="0.25">
      <c r="A206" s="46" t="s">
        <v>1057</v>
      </c>
      <c r="B206" s="46" t="s">
        <v>85</v>
      </c>
      <c r="C206" s="46" t="s">
        <v>104</v>
      </c>
      <c r="D206" s="46" t="s">
        <v>434</v>
      </c>
      <c r="E206" s="46" t="s">
        <v>211</v>
      </c>
      <c r="F206" s="98" t="s">
        <v>458</v>
      </c>
      <c r="G206" s="46" t="s">
        <v>1503</v>
      </c>
      <c r="H206" s="98" t="s">
        <v>33</v>
      </c>
      <c r="I206" s="106">
        <v>44822</v>
      </c>
      <c r="J206" s="46">
        <v>5</v>
      </c>
      <c r="K206" s="98" t="s">
        <v>216</v>
      </c>
      <c r="L206" s="101">
        <f>VLOOKUP($C206&amp;$E206,'Updated SES'!A:N,14,0)</f>
        <v>16.906969999999998</v>
      </c>
      <c r="M206" s="102">
        <f>VLOOKUP($K206,'Genre Penetration'!A:B,2,0)*VLOOKUP($C206&amp;$E206,'Updated SES'!A:I,9,0)</f>
        <v>0.3</v>
      </c>
      <c r="N206" s="102">
        <f>VLOOKUP(K:K,'Genre Penetration'!A:C,3,0)*VLOOKUP($C206&amp;$E206,'Updated SES'!A:J,10,0)</f>
        <v>0.2</v>
      </c>
      <c r="O206" s="102" t="e">
        <f>VLOOKUP($B206,'Language Penetration'!$B$1:$AY$14,MATCH('Compile data Working'!#REF!,'Language Penetration'!$B$1:$AY$1,0),0)</f>
        <v>#REF!</v>
      </c>
      <c r="P206" s="103" t="str">
        <f t="shared" ca="1" si="6"/>
        <v>15%</v>
      </c>
      <c r="Q206" s="101" t="e">
        <f t="shared" ca="1" si="7"/>
        <v>#REF!</v>
      </c>
      <c r="R206" s="104">
        <f>VLOOKUP(D:D,ranking!W:X,2,0)</f>
        <v>0.7</v>
      </c>
      <c r="S206" s="59">
        <v>8.8761592499999986E-2</v>
      </c>
    </row>
    <row r="207" spans="1:19" x14ac:dyDescent="0.25">
      <c r="A207" s="46" t="s">
        <v>1057</v>
      </c>
      <c r="B207" s="46" t="s">
        <v>85</v>
      </c>
      <c r="C207" s="46" t="s">
        <v>104</v>
      </c>
      <c r="D207" s="46" t="s">
        <v>434</v>
      </c>
      <c r="E207" s="46" t="s">
        <v>211</v>
      </c>
      <c r="F207" s="98" t="s">
        <v>458</v>
      </c>
      <c r="G207" s="46" t="s">
        <v>1507</v>
      </c>
      <c r="H207" s="98" t="s">
        <v>33</v>
      </c>
      <c r="I207" s="106">
        <v>42877</v>
      </c>
      <c r="J207" s="46">
        <v>6</v>
      </c>
      <c r="K207" s="98" t="s">
        <v>216</v>
      </c>
      <c r="L207" s="101">
        <f>VLOOKUP($C207&amp;$E207,'Updated SES'!A:N,14,0)</f>
        <v>16.906969999999998</v>
      </c>
      <c r="M207" s="102">
        <f>VLOOKUP($K207,'Genre Penetration'!A:B,2,0)*VLOOKUP($C207&amp;$E207,'Updated SES'!A:I,9,0)</f>
        <v>0.3</v>
      </c>
      <c r="N207" s="102">
        <f>VLOOKUP(K:K,'Genre Penetration'!A:C,3,0)*VLOOKUP($C207&amp;$E207,'Updated SES'!A:J,10,0)</f>
        <v>0.2</v>
      </c>
      <c r="O207" s="102">
        <f>VLOOKUP($B207,'Language Penetration'!$B$1:$AY$14,MATCH('Compile data Working'!$H50,'Language Penetration'!$B$1:$AY$1,0),0)</f>
        <v>0.2</v>
      </c>
      <c r="P207" s="103" t="str">
        <f t="shared" ca="1" si="6"/>
        <v>12%</v>
      </c>
      <c r="Q207" s="101">
        <f t="shared" ca="1" si="7"/>
        <v>0.20288363999999998</v>
      </c>
      <c r="R207" s="104">
        <f>VLOOKUP(D:D,ranking!W:X,2,0)</f>
        <v>0.7</v>
      </c>
      <c r="S207" s="59">
        <v>7.1009273999999983E-2</v>
      </c>
    </row>
    <row r="208" spans="1:19" x14ac:dyDescent="0.25">
      <c r="A208" s="46" t="s">
        <v>1057</v>
      </c>
      <c r="B208" s="46" t="s">
        <v>85</v>
      </c>
      <c r="C208" s="46" t="s">
        <v>104</v>
      </c>
      <c r="D208" s="46" t="s">
        <v>434</v>
      </c>
      <c r="E208" s="98" t="s">
        <v>211</v>
      </c>
      <c r="F208" s="98" t="s">
        <v>458</v>
      </c>
      <c r="G208" s="98" t="s">
        <v>1508</v>
      </c>
      <c r="H208" s="98" t="s">
        <v>33</v>
      </c>
      <c r="I208" s="106">
        <v>45445</v>
      </c>
      <c r="J208" s="46">
        <v>7</v>
      </c>
      <c r="K208" s="98" t="s">
        <v>173</v>
      </c>
      <c r="L208" s="101">
        <f>VLOOKUP($C208&amp;$E208,'Updated SES'!A:N,14,0)</f>
        <v>16.906969999999998</v>
      </c>
      <c r="M208" s="102">
        <f>VLOOKUP($K208,'Genre Penetration'!A:B,2,0)*VLOOKUP($C208&amp;$E208,'Updated SES'!A:I,9,0)</f>
        <v>0.33</v>
      </c>
      <c r="N208" s="102">
        <f>VLOOKUP(K:K,'Genre Penetration'!A:C,3,0)*VLOOKUP($C208&amp;$E208,'Updated SES'!A:J,10,0)</f>
        <v>0.18000000000000002</v>
      </c>
      <c r="O208" s="102" t="e">
        <f>VLOOKUP($B208,'Language Penetration'!$B$1:$AY$14,MATCH('Compile data Working'!#REF!,'Language Penetration'!$B$1:$AY$1,0),0)</f>
        <v>#REF!</v>
      </c>
      <c r="P208" s="103" t="str">
        <f t="shared" ca="1" si="6"/>
        <v>9%</v>
      </c>
      <c r="Q208" s="101" t="e">
        <f t="shared" ca="1" si="7"/>
        <v>#REF!</v>
      </c>
      <c r="R208" s="104">
        <f>VLOOKUP(D:D,ranking!W:X,2,0)</f>
        <v>0.7</v>
      </c>
      <c r="S208" s="59">
        <v>5.4322094609999989E-2</v>
      </c>
    </row>
    <row r="209" spans="1:19" x14ac:dyDescent="0.25">
      <c r="A209" s="46" t="s">
        <v>1057</v>
      </c>
      <c r="B209" s="46" t="s">
        <v>85</v>
      </c>
      <c r="C209" s="46" t="s">
        <v>104</v>
      </c>
      <c r="D209" s="46" t="s">
        <v>434</v>
      </c>
      <c r="E209" s="98" t="s">
        <v>211</v>
      </c>
      <c r="F209" s="98" t="s">
        <v>458</v>
      </c>
      <c r="G209" s="98" t="s">
        <v>1502</v>
      </c>
      <c r="H209" s="98" t="s">
        <v>33</v>
      </c>
      <c r="I209" s="106">
        <v>45676</v>
      </c>
      <c r="J209" s="46">
        <v>8</v>
      </c>
      <c r="K209" s="98" t="s">
        <v>176</v>
      </c>
      <c r="L209" s="101">
        <f>VLOOKUP($C209&amp;$E209,'Updated SES'!A:N,14,0)</f>
        <v>16.906969999999998</v>
      </c>
      <c r="M209" s="102">
        <f>VLOOKUP($K209,'Genre Penetration'!A:B,2,0)*VLOOKUP($C209&amp;$E209,'Updated SES'!A:I,9,0)</f>
        <v>0.372</v>
      </c>
      <c r="N209" s="102">
        <f>VLOOKUP(K:K,'Genre Penetration'!A:C,3,0)*VLOOKUP($C209&amp;$E209,'Updated SES'!A:J,10,0)</f>
        <v>0.15200000000000002</v>
      </c>
      <c r="O209" s="102" t="e">
        <f>VLOOKUP($B209,'Language Penetration'!$B$1:$AY$14,MATCH('Compile data Working'!#REF!,'Language Penetration'!$B$1:$AY$1,0),0)</f>
        <v>#REF!</v>
      </c>
      <c r="P209" s="103" t="str">
        <f t="shared" ca="1" si="6"/>
        <v>8%</v>
      </c>
      <c r="Q209" s="101" t="e">
        <f t="shared" ca="1" si="7"/>
        <v>#REF!</v>
      </c>
      <c r="R209" s="104">
        <f>VLOOKUP(D:D,ranking!W:X,2,0)</f>
        <v>0.7</v>
      </c>
      <c r="S209" s="59">
        <v>4.9611812768000002E-2</v>
      </c>
    </row>
    <row r="210" spans="1:19" x14ac:dyDescent="0.25">
      <c r="A210" s="46" t="s">
        <v>1057</v>
      </c>
      <c r="B210" s="46" t="s">
        <v>85</v>
      </c>
      <c r="C210" s="46" t="s">
        <v>104</v>
      </c>
      <c r="D210" s="46" t="s">
        <v>434</v>
      </c>
      <c r="E210" s="98" t="s">
        <v>211</v>
      </c>
      <c r="F210" s="98" t="s">
        <v>458</v>
      </c>
      <c r="G210" s="46" t="s">
        <v>1506</v>
      </c>
      <c r="H210" s="98" t="s">
        <v>33</v>
      </c>
      <c r="I210" s="106">
        <v>45688</v>
      </c>
      <c r="J210" s="46">
        <v>9</v>
      </c>
      <c r="K210" s="98" t="s">
        <v>216</v>
      </c>
      <c r="L210" s="101">
        <f>VLOOKUP($C210&amp;$E210,'Updated SES'!A:N,14,0)</f>
        <v>16.906969999999998</v>
      </c>
      <c r="M210" s="102">
        <f>VLOOKUP($K210,'Genre Penetration'!A:B,2,0)*VLOOKUP($C210&amp;$E210,'Updated SES'!A:I,9,0)</f>
        <v>0.3</v>
      </c>
      <c r="N210" s="102">
        <f>VLOOKUP(K:K,'Genre Penetration'!A:C,3,0)*VLOOKUP($C210&amp;$E210,'Updated SES'!A:J,10,0)</f>
        <v>0.2</v>
      </c>
      <c r="O210" s="102">
        <f>VLOOKUP($B210,'Language Penetration'!$B$1:$AY$14,MATCH('Compile data Working'!$H51,'Language Penetration'!$B$1:$AY$1,0),0)</f>
        <v>0.1</v>
      </c>
      <c r="P210" s="103" t="str">
        <f t="shared" ca="1" si="6"/>
        <v>4%</v>
      </c>
      <c r="Q210" s="101">
        <f t="shared" ca="1" si="7"/>
        <v>3.3813940000000001E-2</v>
      </c>
      <c r="R210" s="104">
        <f>VLOOKUP(D:D,ranking!W:X,2,0)</f>
        <v>0.7</v>
      </c>
      <c r="S210" s="59">
        <v>3.5504636999999992E-2</v>
      </c>
    </row>
    <row r="211" spans="1:19" x14ac:dyDescent="0.25">
      <c r="A211" s="46" t="s">
        <v>1057</v>
      </c>
      <c r="B211" s="46" t="s">
        <v>85</v>
      </c>
      <c r="C211" s="46" t="s">
        <v>104</v>
      </c>
      <c r="D211" s="46" t="s">
        <v>434</v>
      </c>
      <c r="E211" s="98" t="s">
        <v>211</v>
      </c>
      <c r="F211" s="98" t="s">
        <v>458</v>
      </c>
      <c r="G211" s="100" t="s">
        <v>1501</v>
      </c>
      <c r="H211" s="98" t="s">
        <v>33</v>
      </c>
      <c r="I211" s="106">
        <v>45330</v>
      </c>
      <c r="J211" s="46">
        <v>10</v>
      </c>
      <c r="K211" s="98" t="s">
        <v>176</v>
      </c>
      <c r="L211" s="101">
        <f>VLOOKUP($C211&amp;$E211,'Updated SES'!A:N,14,0)</f>
        <v>16.906969999999998</v>
      </c>
      <c r="M211" s="102">
        <f>VLOOKUP($K211,'Genre Penetration'!A:B,2,0)*VLOOKUP($C211&amp;$E211,'Updated SES'!A:I,9,0)</f>
        <v>0.372</v>
      </c>
      <c r="N211" s="102">
        <f>VLOOKUP(K:K,'Genre Penetration'!A:C,3,0)*VLOOKUP($C211&amp;$E211,'Updated SES'!A:J,10,0)</f>
        <v>0.15200000000000002</v>
      </c>
      <c r="O211" s="102">
        <f>VLOOKUP($B211,'Language Penetration'!$B$1:$AY$14,MATCH('Compile data Working'!$H52,'Language Penetration'!$B$1:$AY$1,0),0)</f>
        <v>0.2</v>
      </c>
      <c r="P211" s="103" t="str">
        <f t="shared" ca="1" si="6"/>
        <v>2%</v>
      </c>
      <c r="Q211" s="101">
        <f t="shared" ca="1" si="7"/>
        <v>3.5437009120000001E-2</v>
      </c>
      <c r="R211" s="104">
        <f>VLOOKUP(D:D,ranking!W:X,2,0)</f>
        <v>0.7</v>
      </c>
      <c r="S211" s="59">
        <v>1.8604429788000001E-2</v>
      </c>
    </row>
    <row r="212" spans="1:19" x14ac:dyDescent="0.25">
      <c r="A212" s="46" t="s">
        <v>1057</v>
      </c>
      <c r="B212" s="46" t="s">
        <v>85</v>
      </c>
      <c r="C212" s="46" t="s">
        <v>104</v>
      </c>
      <c r="D212" s="46" t="s">
        <v>431</v>
      </c>
      <c r="E212" s="98" t="s">
        <v>211</v>
      </c>
      <c r="F212" s="98" t="s">
        <v>457</v>
      </c>
      <c r="G212" s="100" t="s">
        <v>1437</v>
      </c>
      <c r="H212" s="98" t="s">
        <v>33</v>
      </c>
      <c r="I212" s="106">
        <v>45947</v>
      </c>
      <c r="J212" s="46">
        <v>1</v>
      </c>
      <c r="K212" s="98" t="s">
        <v>167</v>
      </c>
      <c r="L212" s="101">
        <f>VLOOKUP($C212&amp;$E212,'Updated SES'!A:N,14,0)</f>
        <v>16.906969999999998</v>
      </c>
      <c r="M212" s="102">
        <f>VLOOKUP($K212,'Genre Penetration'!A:B,2,0)*VLOOKUP($C212&amp;$E212,'Updated SES'!A:I,9,0)</f>
        <v>0.40200000000000002</v>
      </c>
      <c r="N212" s="102">
        <f>VLOOKUP(K:K,'Genre Penetration'!A:C,3,0)*VLOOKUP($C212&amp;$E212,'Updated SES'!A:J,10,0)</f>
        <v>0.13200000000000001</v>
      </c>
      <c r="O212" s="102" t="e">
        <f>VLOOKUP($B212,'Language Penetration'!$B$1:$AY$14,MATCH('Compile data Working'!$H53,'Language Penetration'!$B$1:$AY$1,0),0)</f>
        <v>#N/A</v>
      </c>
      <c r="P212" s="103" t="str">
        <f t="shared" ca="1" si="6"/>
        <v>35%</v>
      </c>
      <c r="Q212" s="101" t="e">
        <f t="shared" ca="1" si="7"/>
        <v>#N/A</v>
      </c>
      <c r="R212" s="104">
        <f>VLOOKUP(D:D,ranking!W:X,2,0)</f>
        <v>0.6</v>
      </c>
      <c r="S212" s="59">
        <v>0.19501175476800001</v>
      </c>
    </row>
    <row r="213" spans="1:19" x14ac:dyDescent="0.25">
      <c r="A213" s="46" t="s">
        <v>1057</v>
      </c>
      <c r="B213" s="46" t="s">
        <v>85</v>
      </c>
      <c r="C213" s="46" t="s">
        <v>104</v>
      </c>
      <c r="D213" s="46" t="s">
        <v>431</v>
      </c>
      <c r="E213" s="98" t="s">
        <v>211</v>
      </c>
      <c r="F213" s="98" t="s">
        <v>457</v>
      </c>
      <c r="G213" s="100" t="s">
        <v>1366</v>
      </c>
      <c r="H213" s="98" t="s">
        <v>33</v>
      </c>
      <c r="I213" s="106">
        <v>45927</v>
      </c>
      <c r="J213" s="46">
        <v>2</v>
      </c>
      <c r="K213" s="98" t="s">
        <v>216</v>
      </c>
      <c r="L213" s="101">
        <f>VLOOKUP($C213&amp;$E213,'Updated SES'!A:N,14,0)</f>
        <v>16.906969999999998</v>
      </c>
      <c r="M213" s="102">
        <f>VLOOKUP($K213,'Genre Penetration'!A:B,2,0)*VLOOKUP($C213&amp;$E213,'Updated SES'!A:I,9,0)</f>
        <v>0.3</v>
      </c>
      <c r="N213" s="102">
        <f>VLOOKUP(K:K,'Genre Penetration'!A:C,3,0)*VLOOKUP($C213&amp;$E213,'Updated SES'!A:J,10,0)</f>
        <v>0.2</v>
      </c>
      <c r="O213" s="102" t="e">
        <f>VLOOKUP($B213,'Language Penetration'!$B$1:$AY$14,MATCH('Compile data Working'!$H54,'Language Penetration'!$B$1:$AY$1,0),0)</f>
        <v>#N/A</v>
      </c>
      <c r="P213" s="103" t="str">
        <f t="shared" ca="1" si="6"/>
        <v>34%</v>
      </c>
      <c r="Q213" s="101" t="e">
        <f t="shared" ca="1" si="7"/>
        <v>#N/A</v>
      </c>
      <c r="R213" s="104">
        <f>VLOOKUP(D:D,ranking!W:X,2,0)</f>
        <v>0.6</v>
      </c>
      <c r="S213" s="59">
        <v>0.167379003</v>
      </c>
    </row>
    <row r="214" spans="1:19" x14ac:dyDescent="0.25">
      <c r="A214" s="46" t="s">
        <v>1057</v>
      </c>
      <c r="B214" s="46" t="s">
        <v>85</v>
      </c>
      <c r="C214" s="46" t="s">
        <v>104</v>
      </c>
      <c r="D214" s="46" t="s">
        <v>431</v>
      </c>
      <c r="E214" s="98" t="s">
        <v>211</v>
      </c>
      <c r="F214" s="98" t="s">
        <v>457</v>
      </c>
      <c r="G214" s="100" t="s">
        <v>1557</v>
      </c>
      <c r="H214" s="98" t="s">
        <v>33</v>
      </c>
      <c r="I214" s="106">
        <v>44665</v>
      </c>
      <c r="J214" s="46">
        <v>3</v>
      </c>
      <c r="K214" s="98" t="s">
        <v>172</v>
      </c>
      <c r="L214" s="101">
        <f>VLOOKUP($C214&amp;$E214,'Updated SES'!A:N,14,0)</f>
        <v>16.906969999999998</v>
      </c>
      <c r="M214" s="102">
        <f>VLOOKUP($K214,'Genre Penetration'!A:B,2,0)*VLOOKUP($C214&amp;$E214,'Updated SES'!A:I,9,0)</f>
        <v>0.24</v>
      </c>
      <c r="N214" s="102">
        <f>VLOOKUP(K:K,'Genre Penetration'!A:C,3,0)*VLOOKUP($C214&amp;$E214,'Updated SES'!A:J,10,0)</f>
        <v>0.24</v>
      </c>
      <c r="O214" s="102" t="e">
        <f>VLOOKUP($B214,'Language Penetration'!$B$1:$AY$14,MATCH('Compile data Working'!#REF!,'Language Penetration'!$B$1:$AY$1,0),0)</f>
        <v>#REF!</v>
      </c>
      <c r="P214" s="103" t="str">
        <f t="shared" ca="1" si="6"/>
        <v>26%</v>
      </c>
      <c r="Q214" s="101" t="e">
        <f t="shared" ca="1" si="7"/>
        <v>#REF!</v>
      </c>
      <c r="R214" s="104">
        <f>VLOOKUP(D:D,ranking!W:X,2,0)</f>
        <v>0.6</v>
      </c>
      <c r="S214" s="59">
        <v>0.12659939135999998</v>
      </c>
    </row>
    <row r="215" spans="1:19" x14ac:dyDescent="0.25">
      <c r="A215" s="46" t="s">
        <v>1057</v>
      </c>
      <c r="B215" s="46" t="s">
        <v>85</v>
      </c>
      <c r="C215" s="46" t="s">
        <v>104</v>
      </c>
      <c r="D215" s="46" t="s">
        <v>431</v>
      </c>
      <c r="E215" s="98" t="s">
        <v>211</v>
      </c>
      <c r="F215" s="98" t="s">
        <v>457</v>
      </c>
      <c r="G215" s="100" t="s">
        <v>1497</v>
      </c>
      <c r="H215" s="98" t="s">
        <v>33</v>
      </c>
      <c r="I215" s="106">
        <v>44729</v>
      </c>
      <c r="J215" s="46">
        <v>4</v>
      </c>
      <c r="K215" s="46" t="s">
        <v>1191</v>
      </c>
      <c r="L215" s="101">
        <f>VLOOKUP($C215&amp;$E215,'Updated SES'!A:N,14,0)</f>
        <v>16.906969999999998</v>
      </c>
      <c r="M215" s="102">
        <f>VLOOKUP($K215,'Genre Penetration'!A:B,2,0)*VLOOKUP($C215&amp;$E215,'Updated SES'!A:I,9,0)</f>
        <v>0.36</v>
      </c>
      <c r="N215" s="102">
        <f>VLOOKUP(K:K,'Genre Penetration'!A:C,3,0)*VLOOKUP($C215&amp;$E215,'Updated SES'!A:J,10,0)</f>
        <v>0.16000000000000003</v>
      </c>
      <c r="O215" s="102">
        <f>VLOOKUP($B215,'Language Penetration'!$B$1:$AY$14,MATCH('Compile data Working'!$H55,'Language Penetration'!$B$1:$AY$1,0),0)</f>
        <v>0.15</v>
      </c>
      <c r="P215" s="103" t="str">
        <f t="shared" ca="1" si="6"/>
        <v>23%</v>
      </c>
      <c r="Q215" s="101">
        <f t="shared" ca="1" si="7"/>
        <v>0.30331104180000001</v>
      </c>
      <c r="R215" s="104">
        <f>VLOOKUP(D:D,ranking!W:X,2,0)</f>
        <v>0.6</v>
      </c>
      <c r="S215" s="59">
        <v>0.12659939135999998</v>
      </c>
    </row>
    <row r="216" spans="1:19" x14ac:dyDescent="0.25">
      <c r="A216" s="46" t="s">
        <v>1057</v>
      </c>
      <c r="B216" s="46" t="s">
        <v>85</v>
      </c>
      <c r="C216" s="46" t="s">
        <v>104</v>
      </c>
      <c r="D216" s="46" t="s">
        <v>431</v>
      </c>
      <c r="E216" s="98" t="s">
        <v>211</v>
      </c>
      <c r="F216" s="98" t="s">
        <v>457</v>
      </c>
      <c r="G216" s="100" t="s">
        <v>1496</v>
      </c>
      <c r="H216" s="98" t="s">
        <v>33</v>
      </c>
      <c r="I216" s="106">
        <v>45128</v>
      </c>
      <c r="J216" s="98">
        <v>5</v>
      </c>
      <c r="K216" s="46" t="s">
        <v>1191</v>
      </c>
      <c r="L216" s="101">
        <f>VLOOKUP($C216&amp;$E216,'Updated SES'!A:N,14,0)</f>
        <v>16.906969999999998</v>
      </c>
      <c r="M216" s="102">
        <f>VLOOKUP($K216,'Genre Penetration'!A:B,2,0)*VLOOKUP($C216&amp;$E216,'Updated SES'!A:I,9,0)</f>
        <v>0.36</v>
      </c>
      <c r="N216" s="102">
        <f>VLOOKUP(K:K,'Genre Penetration'!A:C,3,0)*VLOOKUP($C216&amp;$E216,'Updated SES'!A:J,10,0)</f>
        <v>0.16000000000000003</v>
      </c>
      <c r="O216" s="102" t="e">
        <f>VLOOKUP($B216,'Language Penetration'!$B$1:$AY$14,MATCH('Compile data Working'!$H56,'Language Penetration'!$B$1:$AY$1,0),0)</f>
        <v>#N/A</v>
      </c>
      <c r="P216" s="103" t="str">
        <f t="shared" ca="1" si="6"/>
        <v>17%</v>
      </c>
      <c r="Q216" s="101" t="e">
        <f t="shared" ca="1" si="7"/>
        <v>#N/A</v>
      </c>
      <c r="R216" s="104">
        <f>VLOOKUP(D:D,ranking!W:X,2,0)</f>
        <v>0.6</v>
      </c>
      <c r="S216" s="59">
        <v>7.9124619599999987E-2</v>
      </c>
    </row>
    <row r="217" spans="1:19" x14ac:dyDescent="0.25">
      <c r="A217" s="46" t="s">
        <v>1057</v>
      </c>
      <c r="B217" s="46" t="s">
        <v>85</v>
      </c>
      <c r="C217" s="46" t="s">
        <v>104</v>
      </c>
      <c r="D217" s="46" t="s">
        <v>431</v>
      </c>
      <c r="E217" s="98" t="s">
        <v>211</v>
      </c>
      <c r="F217" s="98" t="s">
        <v>457</v>
      </c>
      <c r="G217" s="100" t="s">
        <v>1499</v>
      </c>
      <c r="H217" s="98" t="s">
        <v>33</v>
      </c>
      <c r="I217" s="106">
        <v>45632</v>
      </c>
      <c r="J217" s="98">
        <v>6</v>
      </c>
      <c r="K217" s="98" t="s">
        <v>216</v>
      </c>
      <c r="L217" s="101">
        <f>VLOOKUP($C217&amp;$E217,'Updated SES'!A:N,14,0)</f>
        <v>16.906969999999998</v>
      </c>
      <c r="M217" s="102">
        <f>VLOOKUP($K217,'Genre Penetration'!A:B,2,0)*VLOOKUP($C217&amp;$E217,'Updated SES'!A:I,9,0)</f>
        <v>0.3</v>
      </c>
      <c r="N217" s="102">
        <f>VLOOKUP(K:K,'Genre Penetration'!A:C,3,0)*VLOOKUP($C217&amp;$E217,'Updated SES'!A:J,10,0)</f>
        <v>0.2</v>
      </c>
      <c r="O217" s="102" t="e">
        <f>VLOOKUP($B217,'Language Penetration'!$B$1:$AY$14,MATCH('Compile data Working'!#REF!,'Language Penetration'!$B$1:$AY$1,0),0)</f>
        <v>#REF!</v>
      </c>
      <c r="P217" s="103" t="str">
        <f t="shared" ca="1" si="6"/>
        <v>13%</v>
      </c>
      <c r="Q217" s="101" t="e">
        <f t="shared" ca="1" si="7"/>
        <v>#REF!</v>
      </c>
      <c r="R217" s="104">
        <f>VLOOKUP(D:D,ranking!W:X,2,0)</f>
        <v>0.6</v>
      </c>
      <c r="S217" s="59">
        <v>6.0865091999999989E-2</v>
      </c>
    </row>
    <row r="218" spans="1:19" x14ac:dyDescent="0.25">
      <c r="A218" s="46" t="s">
        <v>1057</v>
      </c>
      <c r="B218" s="46" t="s">
        <v>85</v>
      </c>
      <c r="C218" s="46" t="s">
        <v>104</v>
      </c>
      <c r="D218" s="46" t="s">
        <v>431</v>
      </c>
      <c r="E218" s="98" t="s">
        <v>211</v>
      </c>
      <c r="F218" s="98" t="s">
        <v>457</v>
      </c>
      <c r="G218" s="98" t="s">
        <v>1495</v>
      </c>
      <c r="H218" s="98" t="s">
        <v>33</v>
      </c>
      <c r="I218" s="106">
        <v>45702</v>
      </c>
      <c r="J218" s="98">
        <v>7</v>
      </c>
      <c r="K218" s="98" t="s">
        <v>217</v>
      </c>
      <c r="L218" s="101">
        <f>VLOOKUP($C218&amp;$E218,'Updated SES'!A:N,14,0)</f>
        <v>16.906969999999998</v>
      </c>
      <c r="M218" s="102">
        <f>VLOOKUP($K218,'Genre Penetration'!A:B,2,0)*VLOOKUP($C218&amp;$E218,'Updated SES'!A:I,9,0)</f>
        <v>0.34799999999999998</v>
      </c>
      <c r="N218" s="102">
        <f>VLOOKUP(K:K,'Genre Penetration'!A:C,3,0)*VLOOKUP($C218&amp;$E218,'Updated SES'!A:J,10,0)</f>
        <v>0.16800000000000001</v>
      </c>
      <c r="O218" s="102" t="e">
        <f>VLOOKUP($B218,'Language Penetration'!$B$1:$AY$14,MATCH('Compile data Working'!#REF!,'Language Penetration'!$B$1:$AY$1,0),0)</f>
        <v>#REF!</v>
      </c>
      <c r="P218" s="103" t="str">
        <f t="shared" ca="1" si="6"/>
        <v>8%</v>
      </c>
      <c r="Q218" s="101" t="e">
        <f t="shared" ca="1" si="7"/>
        <v>#REF!</v>
      </c>
      <c r="R218" s="104">
        <f>VLOOKUP(D:D,ranking!W:X,2,0)</f>
        <v>0.6</v>
      </c>
      <c r="S218" s="59">
        <v>4.7109581207999997E-2</v>
      </c>
    </row>
    <row r="219" spans="1:19" x14ac:dyDescent="0.25">
      <c r="A219" s="46" t="s">
        <v>1057</v>
      </c>
      <c r="B219" s="46" t="s">
        <v>85</v>
      </c>
      <c r="C219" s="46" t="s">
        <v>104</v>
      </c>
      <c r="D219" s="46" t="s">
        <v>431</v>
      </c>
      <c r="E219" s="98" t="s">
        <v>211</v>
      </c>
      <c r="F219" s="98" t="s">
        <v>457</v>
      </c>
      <c r="G219" s="98" t="s">
        <v>1498</v>
      </c>
      <c r="H219" s="98" t="s">
        <v>33</v>
      </c>
      <c r="I219" s="106">
        <v>45003</v>
      </c>
      <c r="J219" s="98">
        <v>8</v>
      </c>
      <c r="K219" s="98" t="s">
        <v>216</v>
      </c>
      <c r="L219" s="101">
        <f>VLOOKUP($C219&amp;$E219,'Updated SES'!A:N,14,0)</f>
        <v>16.906969999999998</v>
      </c>
      <c r="M219" s="102">
        <f>VLOOKUP($K219,'Genre Penetration'!A:B,2,0)*VLOOKUP($C219&amp;$E219,'Updated SES'!A:I,9,0)</f>
        <v>0.3</v>
      </c>
      <c r="N219" s="102">
        <f>VLOOKUP(K:K,'Genre Penetration'!A:C,3,0)*VLOOKUP($C219&amp;$E219,'Updated SES'!A:J,10,0)</f>
        <v>0.2</v>
      </c>
      <c r="O219" s="102" t="e">
        <f>VLOOKUP($B219,'Language Penetration'!$B$1:$AY$14,MATCH('Compile data Working'!#REF!,'Language Penetration'!$B$1:$AY$1,0),0)</f>
        <v>#REF!</v>
      </c>
      <c r="P219" s="103" t="str">
        <f t="shared" ca="1" si="6"/>
        <v>8%</v>
      </c>
      <c r="Q219" s="101" t="e">
        <f t="shared" ca="1" si="7"/>
        <v>#REF!</v>
      </c>
      <c r="R219" s="104">
        <f>VLOOKUP(D:D,ranking!W:X,2,0)</f>
        <v>0.6</v>
      </c>
      <c r="S219" s="59">
        <v>3.0432545999999994E-2</v>
      </c>
    </row>
    <row r="220" spans="1:19" x14ac:dyDescent="0.25">
      <c r="A220" s="46" t="s">
        <v>1057</v>
      </c>
      <c r="B220" s="46" t="s">
        <v>85</v>
      </c>
      <c r="C220" s="46" t="s">
        <v>104</v>
      </c>
      <c r="D220" s="46" t="s">
        <v>431</v>
      </c>
      <c r="E220" s="98" t="s">
        <v>211</v>
      </c>
      <c r="F220" s="98" t="s">
        <v>457</v>
      </c>
      <c r="G220" s="98" t="s">
        <v>1500</v>
      </c>
      <c r="H220" s="98" t="s">
        <v>33</v>
      </c>
      <c r="I220" s="106">
        <v>45036</v>
      </c>
      <c r="J220" s="98">
        <v>9</v>
      </c>
      <c r="K220" s="98" t="s">
        <v>168</v>
      </c>
      <c r="L220" s="101">
        <f>VLOOKUP($C220&amp;$E220,'Updated SES'!A:N,14,0)</f>
        <v>16.906969999999998</v>
      </c>
      <c r="M220" s="102">
        <f>VLOOKUP($K220,'Genre Penetration'!A:B,2,0)*VLOOKUP($C220&amp;$E220,'Updated SES'!A:I,9,0)</f>
        <v>0.38400000000000001</v>
      </c>
      <c r="N220" s="102">
        <f>VLOOKUP(K:K,'Genre Penetration'!A:C,3,0)*VLOOKUP($C220&amp;$E220,'Updated SES'!A:J,10,0)</f>
        <v>0.14399999999999999</v>
      </c>
      <c r="O220" s="102" t="e">
        <f>VLOOKUP($B220,'Language Penetration'!$B$1:$AY$14,MATCH('Compile data Working'!$H57,'Language Penetration'!$B$1:$AY$1,0),0)</f>
        <v>#N/A</v>
      </c>
      <c r="P220" s="103" t="str">
        <f t="shared" ca="1" si="6"/>
        <v>5%</v>
      </c>
      <c r="Q220" s="101" t="e">
        <f t="shared" ca="1" si="7"/>
        <v>#N/A</v>
      </c>
      <c r="R220" s="104">
        <f>VLOOKUP(D:D,ranking!W:X,2,0)</f>
        <v>0.6</v>
      </c>
      <c r="S220" s="59">
        <v>2.1424512384000002E-2</v>
      </c>
    </row>
    <row r="221" spans="1:19" x14ac:dyDescent="0.25">
      <c r="A221" s="46" t="s">
        <v>1057</v>
      </c>
      <c r="B221" s="46" t="s">
        <v>85</v>
      </c>
      <c r="C221" s="46" t="s">
        <v>104</v>
      </c>
      <c r="D221" s="46" t="s">
        <v>431</v>
      </c>
      <c r="E221" s="98" t="s">
        <v>211</v>
      </c>
      <c r="F221" s="98" t="s">
        <v>457</v>
      </c>
      <c r="G221" s="98" t="s">
        <v>1494</v>
      </c>
      <c r="H221" s="98" t="s">
        <v>33</v>
      </c>
      <c r="I221" s="106">
        <v>45620</v>
      </c>
      <c r="J221" s="98">
        <v>10</v>
      </c>
      <c r="K221" s="98" t="s">
        <v>216</v>
      </c>
      <c r="L221" s="101">
        <f>VLOOKUP($C221&amp;$E221,'Updated SES'!A:N,14,0)</f>
        <v>16.906969999999998</v>
      </c>
      <c r="M221" s="102">
        <f>VLOOKUP($K221,'Genre Penetration'!A:B,2,0)*VLOOKUP($C221&amp;$E221,'Updated SES'!A:I,9,0)</f>
        <v>0.3</v>
      </c>
      <c r="N221" s="102">
        <f>VLOOKUP(K:K,'Genre Penetration'!A:C,3,0)*VLOOKUP($C221&amp;$E221,'Updated SES'!A:J,10,0)</f>
        <v>0.2</v>
      </c>
      <c r="O221" s="102" t="e">
        <f>VLOOKUP($B221,'Language Penetration'!$B$1:$AY$14,MATCH('Compile data Working'!$H58,'Language Penetration'!$B$1:$AY$1,0),0)</f>
        <v>#N/A</v>
      </c>
      <c r="P221" s="103" t="str">
        <f t="shared" ca="1" si="6"/>
        <v>4%</v>
      </c>
      <c r="Q221" s="101" t="e">
        <f t="shared" ca="1" si="7"/>
        <v>#N/A</v>
      </c>
      <c r="R221" s="104">
        <f>VLOOKUP(D:D,ranking!W:X,2,0)</f>
        <v>0.6</v>
      </c>
      <c r="S221" s="59">
        <v>1.5216272999999997E-2</v>
      </c>
    </row>
    <row r="222" spans="1:19" x14ac:dyDescent="0.25">
      <c r="A222" s="46" t="s">
        <v>1057</v>
      </c>
      <c r="B222" s="46" t="s">
        <v>85</v>
      </c>
      <c r="C222" s="46" t="s">
        <v>906</v>
      </c>
      <c r="D222" s="46" t="s">
        <v>431</v>
      </c>
      <c r="E222" s="46" t="s">
        <v>211</v>
      </c>
      <c r="F222" s="98" t="s">
        <v>457</v>
      </c>
      <c r="G222" s="46" t="s">
        <v>1022</v>
      </c>
      <c r="H222" s="46" t="s">
        <v>19</v>
      </c>
      <c r="I222" s="53">
        <v>45893</v>
      </c>
      <c r="J222" s="98">
        <v>1</v>
      </c>
      <c r="K222" s="46" t="s">
        <v>1024</v>
      </c>
      <c r="L222" s="101">
        <f>VLOOKUP($C222&amp;$E222,'Updated SES'!A:N,14,0)</f>
        <v>127.11702000000001</v>
      </c>
      <c r="M222" s="102">
        <f>VLOOKUP($K222,'Genre Penetration'!A:B,2,0)*VLOOKUP($C222&amp;$E222,'Updated SES'!A:I,9,0)</f>
        <v>0.26799999999999996</v>
      </c>
      <c r="N222" s="102">
        <f>VLOOKUP(K:K,'Genre Penetration'!A:C,3,0)*VLOOKUP($C222&amp;$E222,'Updated SES'!A:J,10,0)</f>
        <v>0.19799999999999998</v>
      </c>
      <c r="O222" s="102" t="e">
        <f>VLOOKUP($B222,'Language Penetration'!$B$1:$AY$14,MATCH('Compile data Working'!#REF!,'Language Penetration'!$B$1:$AY$1,0),0)</f>
        <v>#REF!</v>
      </c>
      <c r="P222" s="103" t="str">
        <f t="shared" ca="1" si="6"/>
        <v>36%</v>
      </c>
      <c r="Q222" s="101" t="e">
        <f t="shared" ca="1" si="7"/>
        <v>#REF!</v>
      </c>
      <c r="R222" s="104">
        <f>VLOOKUP(D:D,ranking!W:X,2,0)</f>
        <v>0.6</v>
      </c>
      <c r="S222" s="59">
        <v>10.46380294632</v>
      </c>
    </row>
    <row r="223" spans="1:19" x14ac:dyDescent="0.25">
      <c r="A223" s="46" t="s">
        <v>1057</v>
      </c>
      <c r="B223" s="46" t="s">
        <v>85</v>
      </c>
      <c r="C223" s="46" t="s">
        <v>906</v>
      </c>
      <c r="D223" s="46" t="s">
        <v>431</v>
      </c>
      <c r="E223" s="46" t="s">
        <v>211</v>
      </c>
      <c r="F223" s="98" t="s">
        <v>457</v>
      </c>
      <c r="G223" s="46" t="s">
        <v>1287</v>
      </c>
      <c r="H223" s="46" t="s">
        <v>19</v>
      </c>
      <c r="I223" s="53">
        <v>45871</v>
      </c>
      <c r="J223" s="98">
        <v>2</v>
      </c>
      <c r="K223" s="46" t="s">
        <v>1060</v>
      </c>
      <c r="L223" s="101">
        <f>VLOOKUP($C223&amp;$E223,'Updated SES'!A:N,14,0)</f>
        <v>127.11702000000001</v>
      </c>
      <c r="M223" s="102">
        <f>VLOOKUP($K223,'Genre Penetration'!A:B,2,0)*VLOOKUP($C223&amp;$E223,'Updated SES'!A:I,9,0)</f>
        <v>0.30149999999999999</v>
      </c>
      <c r="N223" s="102">
        <f>VLOOKUP(K:K,'Genre Penetration'!A:C,3,0)*VLOOKUP($C223&amp;$E223,'Updated SES'!A:J,10,0)</f>
        <v>0.18149999999999999</v>
      </c>
      <c r="O223" s="102" t="e">
        <f>VLOOKUP($B223,'Language Penetration'!$B$1:$AY$14,MATCH('Compile data Working'!$H59,'Language Penetration'!$B$1:$AY$1,0),0)</f>
        <v>#N/A</v>
      </c>
      <c r="P223" s="103" t="str">
        <f t="shared" ca="1" si="6"/>
        <v>30%</v>
      </c>
      <c r="Q223" s="101" t="e">
        <f t="shared" ca="1" si="7"/>
        <v>#N/A</v>
      </c>
      <c r="R223" s="104">
        <f>VLOOKUP(D:D,ranking!W:X,2,0)</f>
        <v>0.6</v>
      </c>
      <c r="S223" s="59">
        <v>6.394901156904</v>
      </c>
    </row>
    <row r="224" spans="1:19" x14ac:dyDescent="0.25">
      <c r="A224" s="46" t="s">
        <v>1057</v>
      </c>
      <c r="B224" s="46" t="s">
        <v>85</v>
      </c>
      <c r="C224" s="46" t="s">
        <v>906</v>
      </c>
      <c r="D224" s="46" t="s">
        <v>434</v>
      </c>
      <c r="E224" s="46" t="s">
        <v>211</v>
      </c>
      <c r="F224" s="98" t="s">
        <v>458</v>
      </c>
      <c r="G224" s="98" t="s">
        <v>1558</v>
      </c>
      <c r="H224" s="46" t="s">
        <v>875</v>
      </c>
      <c r="I224" s="53">
        <v>45940</v>
      </c>
      <c r="J224" s="98">
        <v>3</v>
      </c>
      <c r="K224" s="46" t="s">
        <v>103</v>
      </c>
      <c r="L224" s="101">
        <f>VLOOKUP($C224&amp;$E224,'Updated SES'!A:N,14,0)</f>
        <v>127.11702000000001</v>
      </c>
      <c r="M224" s="102">
        <f>VLOOKUP($K224,'Genre Penetration'!A:B,2,0)*VLOOKUP($C224&amp;$E224,'Updated SES'!A:I,9,0)</f>
        <v>0.4756999999999999</v>
      </c>
      <c r="N224" s="102">
        <f>VLOOKUP(K:K,'Genre Penetration'!A:C,3,0)*VLOOKUP($C224&amp;$E224,'Updated SES'!A:J,10,0)</f>
        <v>9.569999999999998E-2</v>
      </c>
      <c r="O224" s="102" t="e">
        <f>VLOOKUP($B224,'Language Penetration'!$B$1:$AY$14,MATCH('Compile data Working'!#REF!,'Language Penetration'!$B$1:$AY$1,0),0)</f>
        <v>#REF!</v>
      </c>
      <c r="P224" s="103" t="str">
        <f t="shared" ca="1" si="6"/>
        <v>26%</v>
      </c>
      <c r="Q224" s="101" t="e">
        <f t="shared" ca="1" si="7"/>
        <v>#REF!</v>
      </c>
      <c r="R224" s="104">
        <f>VLOOKUP(D:D,ranking!W:X,2,0)</f>
        <v>0.7</v>
      </c>
      <c r="S224" s="59">
        <v>3.0188782735387494</v>
      </c>
    </row>
    <row r="225" spans="1:19" x14ac:dyDescent="0.25">
      <c r="A225" s="46" t="s">
        <v>1057</v>
      </c>
      <c r="B225" s="46" t="s">
        <v>85</v>
      </c>
      <c r="C225" s="46" t="s">
        <v>906</v>
      </c>
      <c r="D225" s="46" t="s">
        <v>431</v>
      </c>
      <c r="E225" s="46" t="s">
        <v>211</v>
      </c>
      <c r="F225" s="98" t="s">
        <v>457</v>
      </c>
      <c r="G225" s="98" t="s">
        <v>1461</v>
      </c>
      <c r="H225" s="46" t="s">
        <v>1477</v>
      </c>
      <c r="I225" s="53">
        <v>45955</v>
      </c>
      <c r="J225" s="98">
        <v>4</v>
      </c>
      <c r="K225" s="46" t="s">
        <v>1471</v>
      </c>
      <c r="L225" s="101">
        <f>VLOOKUP($C225&amp;$E225,'Updated SES'!A:N,14,0)</f>
        <v>127.11702000000001</v>
      </c>
      <c r="M225" s="102">
        <f>VLOOKUP($K225,'Genre Penetration'!A:B,2,0)*VLOOKUP($C225&amp;$E225,'Updated SES'!A:I,9,0)</f>
        <v>0.30149999999999999</v>
      </c>
      <c r="N225" s="102">
        <f>VLOOKUP(K:K,'Genre Penetration'!A:C,3,0)*VLOOKUP($C225&amp;$E225,'Updated SES'!A:J,10,0)</f>
        <v>0.18149999999999999</v>
      </c>
      <c r="O225" s="102">
        <v>0.7</v>
      </c>
      <c r="P225" s="103" t="str">
        <f t="shared" ca="1" si="6"/>
        <v>21%</v>
      </c>
      <c r="Q225" s="101">
        <f t="shared" ca="1" si="7"/>
        <v>9.0254355370199999</v>
      </c>
      <c r="R225" s="104">
        <f>VLOOKUP(D:D,ranking!W:X,2,0)</f>
        <v>0.6</v>
      </c>
      <c r="S225" s="59">
        <v>5.4152613222119994</v>
      </c>
    </row>
    <row r="226" spans="1:19" x14ac:dyDescent="0.25">
      <c r="A226" s="46" t="s">
        <v>1057</v>
      </c>
      <c r="B226" s="46" t="s">
        <v>85</v>
      </c>
      <c r="C226" s="46" t="s">
        <v>906</v>
      </c>
      <c r="D226" s="46" t="s">
        <v>434</v>
      </c>
      <c r="E226" s="46" t="s">
        <v>211</v>
      </c>
      <c r="F226" s="98" t="s">
        <v>458</v>
      </c>
      <c r="G226" s="98" t="s">
        <v>1483</v>
      </c>
      <c r="H226" s="46" t="s">
        <v>462</v>
      </c>
      <c r="I226" s="53">
        <v>45961</v>
      </c>
      <c r="J226" s="98">
        <v>5</v>
      </c>
      <c r="K226" s="46" t="s">
        <v>1416</v>
      </c>
      <c r="L226" s="101">
        <f>VLOOKUP($C226&amp;$E226,'Updated SES'!A:N,14,0)</f>
        <v>127.11702000000001</v>
      </c>
      <c r="M226" s="102">
        <f>VLOOKUP($K226,'Genre Penetration'!A:B,2,0)*VLOOKUP($C226&amp;$E226,'Updated SES'!A:I,9,0)</f>
        <v>0.39529999999999993</v>
      </c>
      <c r="N226" s="102">
        <f>VLOOKUP(K:K,'Genre Penetration'!A:C,3,0)*VLOOKUP($C226&amp;$E226,'Updated SES'!A:J,10,0)</f>
        <v>0.13529999999999998</v>
      </c>
      <c r="O226" s="102">
        <v>0.7</v>
      </c>
      <c r="P226" s="103" t="str">
        <f t="shared" ca="1" si="6"/>
        <v>20%</v>
      </c>
      <c r="Q226" s="101">
        <f t="shared" ca="1" si="7"/>
        <v>9.4427607136800003</v>
      </c>
      <c r="R226" s="104">
        <f>VLOOKUP(D:D,ranking!W:X,2,0)</f>
        <v>0.7</v>
      </c>
      <c r="S226" s="59">
        <v>6.2794358745971994</v>
      </c>
    </row>
    <row r="227" spans="1:19" x14ac:dyDescent="0.25">
      <c r="A227" s="46" t="s">
        <v>1057</v>
      </c>
      <c r="B227" s="46" t="s">
        <v>85</v>
      </c>
      <c r="C227" s="46" t="s">
        <v>906</v>
      </c>
      <c r="D227" s="46" t="s">
        <v>434</v>
      </c>
      <c r="E227" s="46" t="s">
        <v>211</v>
      </c>
      <c r="F227" s="98" t="s">
        <v>458</v>
      </c>
      <c r="G227" s="46" t="s">
        <v>1534</v>
      </c>
      <c r="H227" s="46" t="s">
        <v>28</v>
      </c>
      <c r="I227" s="53">
        <v>45966</v>
      </c>
      <c r="J227" s="98">
        <v>6</v>
      </c>
      <c r="K227" s="46" t="s">
        <v>69</v>
      </c>
      <c r="L227" s="101">
        <f>VLOOKUP($C227&amp;$E227,'Updated SES'!A:N,14,0)</f>
        <v>127.11702000000001</v>
      </c>
      <c r="M227" s="102">
        <f>VLOOKUP($K227,'Genre Penetration'!A:B,2,0)*VLOOKUP($C227&amp;$E227,'Updated SES'!A:I,9,0)</f>
        <v>0.46899999999999992</v>
      </c>
      <c r="N227" s="102">
        <f>VLOOKUP(K:K,'Genre Penetration'!A:C,3,0)*VLOOKUP($C227&amp;$E227,'Updated SES'!A:J,10,0)</f>
        <v>9.8999999999999991E-2</v>
      </c>
      <c r="O227" s="102">
        <f>VLOOKUP($B227,'Language Penetration'!$B$1:$AY$14,MATCH('Compile data Working'!$H62,'Language Penetration'!$B$1:$AY$1,0),0)</f>
        <v>0.6</v>
      </c>
      <c r="P227" s="103" t="str">
        <f t="shared" ca="1" si="6"/>
        <v>13%</v>
      </c>
      <c r="Q227" s="101">
        <f t="shared" ca="1" si="7"/>
        <v>5.6317924540800002</v>
      </c>
      <c r="R227" s="104">
        <f>VLOOKUP(D:D,ranking!W:X,2,0)</f>
        <v>0.7</v>
      </c>
      <c r="S227" s="59">
        <v>1.3140849059520001</v>
      </c>
    </row>
    <row r="228" spans="1:19" x14ac:dyDescent="0.25">
      <c r="A228" s="46" t="s">
        <v>1057</v>
      </c>
      <c r="B228" s="46" t="s">
        <v>85</v>
      </c>
      <c r="C228" s="46" t="s">
        <v>906</v>
      </c>
      <c r="D228" s="46" t="s">
        <v>434</v>
      </c>
      <c r="E228" s="46" t="s">
        <v>211</v>
      </c>
      <c r="F228" s="98" t="s">
        <v>458</v>
      </c>
      <c r="G228" s="46" t="s">
        <v>1559</v>
      </c>
      <c r="H228" s="46" t="s">
        <v>19</v>
      </c>
      <c r="I228" s="53">
        <v>45940</v>
      </c>
      <c r="J228" s="98">
        <v>7</v>
      </c>
      <c r="K228" s="46" t="s">
        <v>74</v>
      </c>
      <c r="L228" s="101">
        <f>VLOOKUP($C228&amp;$E228,'Updated SES'!A:N,14,0)</f>
        <v>127.11702000000001</v>
      </c>
      <c r="M228" s="102">
        <f>VLOOKUP($K228,'Genre Penetration'!A:B,2,0)*VLOOKUP($C228&amp;$E228,'Updated SES'!A:I,9,0)</f>
        <v>0.36849999999999999</v>
      </c>
      <c r="N228" s="102">
        <f>VLOOKUP(K:K,'Genre Penetration'!A:C,3,0)*VLOOKUP($C228&amp;$E228,'Updated SES'!A:J,10,0)</f>
        <v>0.14849999999999999</v>
      </c>
      <c r="O228" s="102">
        <f>VLOOKUP($B228,'Language Penetration'!$B$1:$AY$14,MATCH('Compile data Working'!$H63,'Language Penetration'!$B$1:$AY$1,0),0)</f>
        <v>7.0000000000000007E-2</v>
      </c>
      <c r="P228" s="103" t="str">
        <f t="shared" ca="1" si="6"/>
        <v>8%</v>
      </c>
      <c r="Q228" s="101">
        <f t="shared" ca="1" si="7"/>
        <v>0.36802919630400011</v>
      </c>
      <c r="R228" s="104">
        <f>VLOOKUP(D:D,ranking!W:X,2,0)</f>
        <v>0.7</v>
      </c>
      <c r="S228" s="59">
        <v>2.2081751778240002</v>
      </c>
    </row>
    <row r="229" spans="1:19" ht="15.75" x14ac:dyDescent="0.25">
      <c r="A229" s="46" t="s">
        <v>1057</v>
      </c>
      <c r="B229" s="46" t="s">
        <v>85</v>
      </c>
      <c r="C229" s="99" t="s">
        <v>906</v>
      </c>
      <c r="D229" s="46" t="s">
        <v>431</v>
      </c>
      <c r="E229" s="98" t="s">
        <v>211</v>
      </c>
      <c r="F229" s="98" t="s">
        <v>457</v>
      </c>
      <c r="G229" s="46" t="s">
        <v>1510</v>
      </c>
      <c r="H229" s="46" t="s">
        <v>19</v>
      </c>
      <c r="I229" s="106">
        <v>45682</v>
      </c>
      <c r="J229" s="98">
        <v>8</v>
      </c>
      <c r="K229" s="46" t="s">
        <v>1421</v>
      </c>
      <c r="L229" s="101">
        <f>VLOOKUP($C229&amp;$E229,'Updated SES'!A:N,14,0)</f>
        <v>127.11702000000001</v>
      </c>
      <c r="M229" s="102">
        <f>VLOOKUP($K229,'Genre Penetration'!A:B,2,0)*VLOOKUP($C229&amp;$E229,'Updated SES'!A:I,9,0)</f>
        <v>0.33499999999999996</v>
      </c>
      <c r="N229" s="102">
        <f>VLOOKUP(K:K,'Genre Penetration'!A:C,3,0)*VLOOKUP($C229&amp;$E229,'Updated SES'!A:J,10,0)</f>
        <v>0.16499999999999998</v>
      </c>
      <c r="O229" s="102" t="e">
        <f>VLOOKUP($B229,'Language Penetration'!$B$1:$AY$14,MATCH('Compile data Working'!#REF!,'Language Penetration'!$B$1:$AY$1,0),0)</f>
        <v>#REF!</v>
      </c>
      <c r="P229" s="103" t="str">
        <f t="shared" ca="1" si="6"/>
        <v>6%</v>
      </c>
      <c r="Q229" s="101" t="e">
        <f t="shared" ca="1" si="7"/>
        <v>#REF!</v>
      </c>
      <c r="R229" s="104">
        <f>VLOOKUP(D:D,ranking!W:X,2,0)</f>
        <v>0.6</v>
      </c>
      <c r="S229" s="59">
        <v>1.372863816</v>
      </c>
    </row>
    <row r="230" spans="1:19" ht="15.75" x14ac:dyDescent="0.25">
      <c r="A230" s="46" t="s">
        <v>1057</v>
      </c>
      <c r="B230" s="46" t="s">
        <v>85</v>
      </c>
      <c r="C230" s="99" t="s">
        <v>906</v>
      </c>
      <c r="D230" s="46" t="s">
        <v>434</v>
      </c>
      <c r="E230" s="98" t="s">
        <v>211</v>
      </c>
      <c r="F230" s="98" t="s">
        <v>458</v>
      </c>
      <c r="G230" s="46" t="s">
        <v>1560</v>
      </c>
      <c r="H230" s="46" t="s">
        <v>19</v>
      </c>
      <c r="I230" s="106">
        <v>45970</v>
      </c>
      <c r="J230" s="98">
        <v>9</v>
      </c>
      <c r="K230" s="46" t="s">
        <v>92</v>
      </c>
      <c r="L230" s="101">
        <f>VLOOKUP($C230&amp;$E230,'Updated SES'!A:N,14,0)</f>
        <v>127.11702000000001</v>
      </c>
      <c r="M230" s="102">
        <f>VLOOKUP($K230,'Genre Penetration'!A:B,2,0)*VLOOKUP($C230&amp;$E230,'Updated SES'!A:I,9,0)</f>
        <v>0.35509999999999997</v>
      </c>
      <c r="N230" s="102">
        <f>VLOOKUP(K:K,'Genre Penetration'!A:C,3,0)*VLOOKUP($C230&amp;$E230,'Updated SES'!A:J,10,0)</f>
        <v>0.15509999999999996</v>
      </c>
      <c r="O230" s="102" t="e">
        <f>VLOOKUP($B230,'Language Penetration'!$B$1:$AY$14,MATCH('Compile data Working'!#REF!,'Language Penetration'!$B$1:$AY$1,0),0)</f>
        <v>#REF!</v>
      </c>
      <c r="P230" s="103" t="str">
        <f t="shared" ca="1" si="6"/>
        <v>4%</v>
      </c>
      <c r="Q230" s="101" t="e">
        <f t="shared" ca="1" si="7"/>
        <v>#REF!</v>
      </c>
      <c r="R230" s="104">
        <f>VLOOKUP(D:D,ranking!W:X,2,0)</f>
        <v>0.7</v>
      </c>
      <c r="S230" s="59">
        <v>1.3619571756840001</v>
      </c>
    </row>
    <row r="231" spans="1:19" ht="15.75" x14ac:dyDescent="0.25">
      <c r="A231" s="46" t="s">
        <v>1057</v>
      </c>
      <c r="B231" s="46" t="s">
        <v>85</v>
      </c>
      <c r="C231" s="99" t="s">
        <v>906</v>
      </c>
      <c r="D231" s="46" t="s">
        <v>433</v>
      </c>
      <c r="E231" s="98" t="s">
        <v>219</v>
      </c>
      <c r="F231" s="98" t="s">
        <v>457</v>
      </c>
      <c r="G231" s="98" t="s">
        <v>1322</v>
      </c>
      <c r="H231" s="46" t="s">
        <v>19</v>
      </c>
      <c r="I231" s="53">
        <v>45935</v>
      </c>
      <c r="J231" s="98">
        <v>10</v>
      </c>
      <c r="K231" s="46" t="s">
        <v>1024</v>
      </c>
      <c r="L231" s="101">
        <f>VLOOKUP($C231&amp;$E231,'Updated SES'!A:N,14,0)</f>
        <v>56.129220000000004</v>
      </c>
      <c r="M231" s="102">
        <f>VLOOKUP($K231,'Genre Penetration'!A:B,2,0)*VLOOKUP($C231&amp;$E231,'Updated SES'!A:I,9,0)</f>
        <v>0.25</v>
      </c>
      <c r="N231" s="102">
        <f>VLOOKUP(K:K,'Genre Penetration'!A:C,3,0)*VLOOKUP($C231&amp;$E231,'Updated SES'!A:J,10,0)</f>
        <v>0.22499999999999998</v>
      </c>
      <c r="O231" s="102" t="e">
        <f>VLOOKUP($B231,'Language Penetration'!$B$1:$AY$14,MATCH('Compile data Working'!$H64,'Language Penetration'!$B$1:$AY$1,0),0)</f>
        <v>#N/A</v>
      </c>
      <c r="P231" s="103" t="str">
        <f t="shared" ca="1" si="6"/>
        <v>4%</v>
      </c>
      <c r="Q231" s="101" t="e">
        <f t="shared" ca="1" si="7"/>
        <v>#N/A</v>
      </c>
      <c r="R231" s="104">
        <f>VLOOKUP(D:D,ranking!W:X,2,0)</f>
        <v>0.6</v>
      </c>
      <c r="S231" s="59">
        <v>3.5261824500000003</v>
      </c>
    </row>
    <row r="232" spans="1:19" ht="15.75" x14ac:dyDescent="0.25">
      <c r="A232" s="46" t="s">
        <v>1057</v>
      </c>
      <c r="B232" s="46" t="s">
        <v>85</v>
      </c>
      <c r="C232" s="99" t="s">
        <v>1047</v>
      </c>
      <c r="D232" s="46" t="s">
        <v>433</v>
      </c>
      <c r="E232" s="98" t="s">
        <v>219</v>
      </c>
      <c r="F232" s="51" t="s">
        <v>457</v>
      </c>
      <c r="G232" s="46" t="s">
        <v>1322</v>
      </c>
      <c r="H232" s="46" t="s">
        <v>19</v>
      </c>
      <c r="I232" s="53">
        <v>45935</v>
      </c>
      <c r="J232" s="98">
        <v>1</v>
      </c>
      <c r="K232" s="46" t="s">
        <v>1024</v>
      </c>
      <c r="L232" s="101">
        <f>VLOOKUP($C232&amp;$E232,'Updated SES'!A:N,14,0)</f>
        <v>58.917000000000009</v>
      </c>
      <c r="M232" s="102">
        <f>VLOOKUP($K232,'Genre Penetration'!A:B,2,0)*VLOOKUP($C232&amp;$E232,'Updated SES'!A:I,9,0)</f>
        <v>0.25</v>
      </c>
      <c r="N232" s="102">
        <f>VLOOKUP(K:K,'Genre Penetration'!A:C,3,0)*VLOOKUP($C232&amp;$E232,'Updated SES'!A:J,10,0)</f>
        <v>0.22499999999999998</v>
      </c>
      <c r="O232" s="102" t="e">
        <f>VLOOKUP($B232,'Language Penetration'!$B$1:$AY$14,MATCH('Compile data Working'!#REF!,'Language Penetration'!$B$1:$AY$1,0),0)</f>
        <v>#REF!</v>
      </c>
      <c r="P232" s="103" t="str">
        <f t="shared" ca="1" si="6"/>
        <v>36%</v>
      </c>
      <c r="Q232" s="101" t="e">
        <f t="shared" ca="1" si="7"/>
        <v>#REF!</v>
      </c>
      <c r="R232" s="104">
        <f>VLOOKUP(D:D,ranking!W:X,2,0)</f>
        <v>0.6</v>
      </c>
      <c r="S232" s="59">
        <v>3.5261824500000003</v>
      </c>
    </row>
    <row r="233" spans="1:19" ht="15.75" x14ac:dyDescent="0.25">
      <c r="A233" s="46" t="s">
        <v>1057</v>
      </c>
      <c r="B233" s="46" t="s">
        <v>85</v>
      </c>
      <c r="C233" s="99" t="s">
        <v>1047</v>
      </c>
      <c r="D233" s="46" t="s">
        <v>433</v>
      </c>
      <c r="E233" s="100" t="s">
        <v>219</v>
      </c>
      <c r="F233" s="46" t="s">
        <v>457</v>
      </c>
      <c r="G233" s="100" t="s">
        <v>1266</v>
      </c>
      <c r="H233" s="46" t="s">
        <v>19</v>
      </c>
      <c r="I233" s="53">
        <v>45859</v>
      </c>
      <c r="J233" s="98">
        <v>2</v>
      </c>
      <c r="K233" s="46" t="s">
        <v>887</v>
      </c>
      <c r="L233" s="101">
        <f>VLOOKUP($C233&amp;$E233,'Updated SES'!A:N,14,0)</f>
        <v>58.917000000000009</v>
      </c>
      <c r="M233" s="102">
        <f>VLOOKUP($K233,'Genre Penetration'!A:B,2,0)*VLOOKUP($C233&amp;$E233,'Updated SES'!A:I,9,0)</f>
        <v>0.33125000000000004</v>
      </c>
      <c r="N233" s="102">
        <f>VLOOKUP(K:K,'Genre Penetration'!A:C,3,0)*VLOOKUP($C233&amp;$E233,'Updated SES'!A:J,10,0)</f>
        <v>0.17624999999999999</v>
      </c>
      <c r="O233" s="102" t="e">
        <f>VLOOKUP($B233,'Language Penetration'!$B$1:$AY$14,MATCH('Compile data Working'!#REF!,'Language Penetration'!$B$1:$AY$1,0),0)</f>
        <v>#REF!</v>
      </c>
      <c r="P233" s="103" t="str">
        <f t="shared" ca="1" si="6"/>
        <v>33%</v>
      </c>
      <c r="Q233" s="101" t="e">
        <f t="shared" ca="1" si="7"/>
        <v>#REF!</v>
      </c>
      <c r="R233" s="104">
        <f>VLOOKUP(D:D,ranking!W:X,2,0)</f>
        <v>0.6</v>
      </c>
      <c r="S233" s="59">
        <v>3.336882129000001</v>
      </c>
    </row>
    <row r="234" spans="1:19" ht="15.75" x14ac:dyDescent="0.25">
      <c r="A234" s="46" t="s">
        <v>1057</v>
      </c>
      <c r="B234" s="46" t="s">
        <v>85</v>
      </c>
      <c r="C234" s="99" t="s">
        <v>1047</v>
      </c>
      <c r="D234" s="46" t="s">
        <v>433</v>
      </c>
      <c r="E234" s="98" t="s">
        <v>219</v>
      </c>
      <c r="F234" s="46" t="s">
        <v>457</v>
      </c>
      <c r="G234" s="46" t="s">
        <v>1253</v>
      </c>
      <c r="H234" s="46" t="s">
        <v>19</v>
      </c>
      <c r="I234" s="53">
        <v>45915</v>
      </c>
      <c r="J234" s="98">
        <v>3</v>
      </c>
      <c r="K234" s="46" t="s">
        <v>106</v>
      </c>
      <c r="L234" s="101">
        <f>VLOOKUP($C234&amp;$E234,'Updated SES'!A:N,14,0)</f>
        <v>58.917000000000009</v>
      </c>
      <c r="M234" s="102">
        <f>VLOOKUP($K234,'Genre Penetration'!A:B,2,0)*VLOOKUP($C234&amp;$E234,'Updated SES'!A:I,9,0)</f>
        <v>0.3125</v>
      </c>
      <c r="N234" s="102">
        <f>VLOOKUP(K:K,'Genre Penetration'!A:C,3,0)*VLOOKUP($C234&amp;$E234,'Updated SES'!A:J,10,0)</f>
        <v>0.1875</v>
      </c>
      <c r="O234" s="102" t="e">
        <f>VLOOKUP($B234,'Language Penetration'!$B$1:$AY$14,MATCH('Compile data Working'!#REF!,'Language Penetration'!$B$1:$AY$1,0),0)</f>
        <v>#REF!</v>
      </c>
      <c r="P234" s="103" t="str">
        <f t="shared" ca="1" si="6"/>
        <v>30%</v>
      </c>
      <c r="Q234" s="101" t="e">
        <f t="shared" ca="1" si="7"/>
        <v>#REF!</v>
      </c>
      <c r="R234" s="104">
        <f>VLOOKUP(D:D,ranking!W:X,2,0)</f>
        <v>0.6</v>
      </c>
      <c r="S234" s="59">
        <v>2.8633662000000002</v>
      </c>
    </row>
    <row r="235" spans="1:19" ht="15.75" x14ac:dyDescent="0.25">
      <c r="A235" s="46" t="s">
        <v>1057</v>
      </c>
      <c r="B235" s="46" t="s">
        <v>85</v>
      </c>
      <c r="C235" s="99" t="s">
        <v>1047</v>
      </c>
      <c r="D235" s="46" t="s">
        <v>433</v>
      </c>
      <c r="E235" s="100" t="s">
        <v>219</v>
      </c>
      <c r="F235" s="51" t="s">
        <v>457</v>
      </c>
      <c r="G235" s="100" t="s">
        <v>1262</v>
      </c>
      <c r="H235" s="46" t="s">
        <v>19</v>
      </c>
      <c r="I235" s="53">
        <v>45702</v>
      </c>
      <c r="J235" s="98">
        <v>4</v>
      </c>
      <c r="K235" s="46" t="s">
        <v>1029</v>
      </c>
      <c r="L235" s="101">
        <f>VLOOKUP($C235&amp;$E235,'Updated SES'!A:N,14,0)</f>
        <v>58.917000000000009</v>
      </c>
      <c r="M235" s="102">
        <f>VLOOKUP($K235,'Genre Penetration'!A:B,2,0)*VLOOKUP($C235&amp;$E235,'Updated SES'!A:I,9,0)</f>
        <v>0.4375</v>
      </c>
      <c r="N235" s="102">
        <f>VLOOKUP(K:K,'Genre Penetration'!A:C,3,0)*VLOOKUP($C235&amp;$E235,'Updated SES'!A:J,10,0)</f>
        <v>0.11249999999999999</v>
      </c>
      <c r="O235" s="102">
        <f>VLOOKUP($B235,'Language Penetration'!$B$1:$AY$14,MATCH('Compile data Working'!$H65,'Language Penetration'!$B$1:$AY$1,0),0)</f>
        <v>0.2</v>
      </c>
      <c r="P235" s="103" t="str">
        <f t="shared" ca="1" si="6"/>
        <v>23%</v>
      </c>
      <c r="Q235" s="101">
        <f t="shared" ca="1" si="7"/>
        <v>1.4906001000000006</v>
      </c>
      <c r="R235" s="104">
        <f>VLOOKUP(D:D,ranking!W:X,2,0)</f>
        <v>0.6</v>
      </c>
      <c r="S235" s="59">
        <v>2.683080180000001</v>
      </c>
    </row>
    <row r="236" spans="1:19" ht="15.75" x14ac:dyDescent="0.25">
      <c r="A236" s="46" t="s">
        <v>1057</v>
      </c>
      <c r="B236" s="46" t="s">
        <v>85</v>
      </c>
      <c r="C236" s="99" t="s">
        <v>1047</v>
      </c>
      <c r="D236" s="46" t="s">
        <v>433</v>
      </c>
      <c r="E236" s="100" t="s">
        <v>219</v>
      </c>
      <c r="F236" s="46" t="s">
        <v>457</v>
      </c>
      <c r="G236" s="100" t="s">
        <v>1367</v>
      </c>
      <c r="H236" s="46" t="s">
        <v>19</v>
      </c>
      <c r="I236" s="53">
        <v>45900</v>
      </c>
      <c r="J236" s="98">
        <v>5</v>
      </c>
      <c r="K236" s="46" t="s">
        <v>1024</v>
      </c>
      <c r="L236" s="101">
        <f>VLOOKUP($C236&amp;$E236,'Updated SES'!A:N,14,0)</f>
        <v>58.917000000000009</v>
      </c>
      <c r="M236" s="102">
        <f>VLOOKUP($K236,'Genre Penetration'!A:B,2,0)*VLOOKUP($C236&amp;$E236,'Updated SES'!A:I,9,0)</f>
        <v>0.25</v>
      </c>
      <c r="N236" s="102">
        <f>VLOOKUP(K:K,'Genre Penetration'!A:C,3,0)*VLOOKUP($C236&amp;$E236,'Updated SES'!A:J,10,0)</f>
        <v>0.22499999999999998</v>
      </c>
      <c r="O236" s="102" t="e">
        <f>VLOOKUP($B236,'Language Penetration'!$B$1:$AY$14,MATCH('Compile data Working'!#REF!,'Language Penetration'!$B$1:$AY$1,0),0)</f>
        <v>#REF!</v>
      </c>
      <c r="P236" s="103" t="str">
        <f t="shared" ca="1" si="6"/>
        <v>18%</v>
      </c>
      <c r="Q236" s="101" t="e">
        <f t="shared" ca="1" si="7"/>
        <v>#REF!</v>
      </c>
      <c r="R236" s="104">
        <f>VLOOKUP(D:D,ranking!W:X,2,0)</f>
        <v>0.6</v>
      </c>
      <c r="S236" s="59">
        <v>1.5112210500000003</v>
      </c>
    </row>
    <row r="237" spans="1:19" ht="15.75" x14ac:dyDescent="0.25">
      <c r="A237" s="46" t="s">
        <v>1057</v>
      </c>
      <c r="B237" s="46" t="s">
        <v>85</v>
      </c>
      <c r="C237" s="99" t="s">
        <v>1047</v>
      </c>
      <c r="D237" s="46" t="s">
        <v>433</v>
      </c>
      <c r="E237" s="100" t="s">
        <v>219</v>
      </c>
      <c r="F237" s="46" t="s">
        <v>457</v>
      </c>
      <c r="G237" s="100" t="s">
        <v>1119</v>
      </c>
      <c r="H237" s="46" t="s">
        <v>19</v>
      </c>
      <c r="I237" s="53">
        <v>45908</v>
      </c>
      <c r="J237" s="98">
        <v>6</v>
      </c>
      <c r="K237" s="46" t="s">
        <v>1122</v>
      </c>
      <c r="L237" s="101">
        <f>VLOOKUP($C237&amp;$E237,'Updated SES'!A:N,14,0)</f>
        <v>58.917000000000009</v>
      </c>
      <c r="M237" s="102">
        <f>VLOOKUP($K237,'Genre Penetration'!A:B,2,0)*VLOOKUP($C237&amp;$E237,'Updated SES'!A:I,9,0)</f>
        <v>0.3125</v>
      </c>
      <c r="N237" s="102">
        <f>VLOOKUP(K:K,'Genre Penetration'!A:C,3,0)*VLOOKUP($C237&amp;$E237,'Updated SES'!A:J,10,0)</f>
        <v>0.1875</v>
      </c>
      <c r="O237" s="102" t="e">
        <f>VLOOKUP($B237,'Language Penetration'!$B$1:$AY$14,MATCH('Compile data Working'!#REF!,'Language Penetration'!$B$1:$AY$1,0),0)</f>
        <v>#REF!</v>
      </c>
      <c r="P237" s="103" t="str">
        <f t="shared" ca="1" si="6"/>
        <v>15%</v>
      </c>
      <c r="Q237" s="101" t="e">
        <f t="shared" ca="1" si="7"/>
        <v>#REF!</v>
      </c>
      <c r="R237" s="104">
        <f>VLOOKUP(D:D,ranking!W:X,2,0)</f>
        <v>0.6</v>
      </c>
      <c r="S237" s="59">
        <v>1.4847083999999999</v>
      </c>
    </row>
    <row r="238" spans="1:19" ht="15.75" x14ac:dyDescent="0.25">
      <c r="A238" s="46" t="s">
        <v>1057</v>
      </c>
      <c r="B238" s="46" t="s">
        <v>85</v>
      </c>
      <c r="C238" s="99" t="s">
        <v>1047</v>
      </c>
      <c r="D238" s="46" t="s">
        <v>433</v>
      </c>
      <c r="E238" s="100" t="s">
        <v>219</v>
      </c>
      <c r="F238" s="46" t="s">
        <v>457</v>
      </c>
      <c r="G238" s="100" t="s">
        <v>1265</v>
      </c>
      <c r="H238" s="46" t="s">
        <v>19</v>
      </c>
      <c r="I238" s="53">
        <v>45880</v>
      </c>
      <c r="J238" s="46">
        <v>7</v>
      </c>
      <c r="K238" s="46" t="s">
        <v>1043</v>
      </c>
      <c r="L238" s="101">
        <f>VLOOKUP($C238&amp;$E238,'Updated SES'!A:N,14,0)</f>
        <v>58.917000000000009</v>
      </c>
      <c r="M238" s="102">
        <f>VLOOKUP($K238,'Genre Penetration'!A:B,2,0)*VLOOKUP($C238&amp;$E238,'Updated SES'!A:I,9,0)</f>
        <v>0.28750000000000003</v>
      </c>
      <c r="N238" s="102">
        <f>VLOOKUP(K:K,'Genre Penetration'!A:C,3,0)*VLOOKUP($C238&amp;$E238,'Updated SES'!A:J,10,0)</f>
        <v>0.20250000000000001</v>
      </c>
      <c r="O238" s="102" t="e">
        <f>VLOOKUP($B238,'Language Penetration'!$B$1:$AY$14,MATCH('Compile data Working'!#REF!,'Language Penetration'!$B$1:$AY$1,0),0)</f>
        <v>#REF!</v>
      </c>
      <c r="P238" s="103" t="str">
        <f t="shared" ca="1" si="6"/>
        <v>10%</v>
      </c>
      <c r="Q238" s="101" t="e">
        <f t="shared" ca="1" si="7"/>
        <v>#REF!</v>
      </c>
      <c r="R238" s="104">
        <f>VLOOKUP(D:D,ranking!W:X,2,0)</f>
        <v>0.6</v>
      </c>
      <c r="S238" s="59">
        <v>0.9353662920000001</v>
      </c>
    </row>
    <row r="239" spans="1:19" ht="15.75" x14ac:dyDescent="0.25">
      <c r="A239" s="46" t="s">
        <v>1057</v>
      </c>
      <c r="B239" s="46" t="s">
        <v>85</v>
      </c>
      <c r="C239" s="99" t="s">
        <v>1047</v>
      </c>
      <c r="D239" s="46" t="s">
        <v>433</v>
      </c>
      <c r="E239" s="100" t="s">
        <v>219</v>
      </c>
      <c r="F239" s="46" t="s">
        <v>457</v>
      </c>
      <c r="G239" s="46" t="s">
        <v>1263</v>
      </c>
      <c r="H239" s="46" t="s">
        <v>19</v>
      </c>
      <c r="I239" s="53">
        <v>45704</v>
      </c>
      <c r="J239" s="98">
        <v>8</v>
      </c>
      <c r="K239" s="46" t="s">
        <v>1029</v>
      </c>
      <c r="L239" s="101">
        <f>VLOOKUP($C239&amp;$E239,'Updated SES'!A:N,14,0)</f>
        <v>58.917000000000009</v>
      </c>
      <c r="M239" s="102">
        <f>VLOOKUP($K239,'Genre Penetration'!A:B,2,0)*VLOOKUP($C239&amp;$E239,'Updated SES'!A:I,9,0)</f>
        <v>0.4375</v>
      </c>
      <c r="N239" s="102">
        <f>VLOOKUP(K:K,'Genre Penetration'!A:C,3,0)*VLOOKUP($C239&amp;$E239,'Updated SES'!A:J,10,0)</f>
        <v>0.11249999999999999</v>
      </c>
      <c r="O239" s="102" t="e">
        <f>VLOOKUP($B239,'Language Penetration'!$B$1:$AY$14,MATCH('Compile data Working'!#REF!,'Language Penetration'!$B$1:$AY$1,0),0)</f>
        <v>#REF!</v>
      </c>
      <c r="P239" s="103" t="str">
        <f t="shared" ca="1" si="6"/>
        <v>7%</v>
      </c>
      <c r="Q239" s="101" t="e">
        <f t="shared" ca="1" si="7"/>
        <v>#REF!</v>
      </c>
      <c r="R239" s="104">
        <f>VLOOKUP(D:D,ranking!W:X,2,0)</f>
        <v>0.6</v>
      </c>
      <c r="S239" s="59">
        <v>0.69993396000000019</v>
      </c>
    </row>
    <row r="240" spans="1:19" ht="15.75" x14ac:dyDescent="0.25">
      <c r="A240" s="46" t="s">
        <v>1057</v>
      </c>
      <c r="B240" s="46" t="s">
        <v>85</v>
      </c>
      <c r="C240" s="99" t="s">
        <v>1047</v>
      </c>
      <c r="D240" s="46" t="s">
        <v>433</v>
      </c>
      <c r="E240" s="98" t="s">
        <v>219</v>
      </c>
      <c r="F240" s="98" t="s">
        <v>457</v>
      </c>
      <c r="G240" s="98" t="s">
        <v>1264</v>
      </c>
      <c r="H240" s="46" t="s">
        <v>19</v>
      </c>
      <c r="I240" s="53">
        <v>45796</v>
      </c>
      <c r="J240" s="46">
        <v>9</v>
      </c>
      <c r="K240" s="46" t="s">
        <v>910</v>
      </c>
      <c r="L240" s="101">
        <f>VLOOKUP($C240&amp;$E240,'Updated SES'!A:N,14,0)</f>
        <v>58.917000000000009</v>
      </c>
      <c r="M240" s="102">
        <f>VLOOKUP($K240,'Genre Penetration'!A:B,2,0)*VLOOKUP($C240&amp;$E240,'Updated SES'!A:I,9,0)</f>
        <v>0.3125</v>
      </c>
      <c r="N240" s="102">
        <f>VLOOKUP(K:K,'Genre Penetration'!A:C,3,0)*VLOOKUP($C240&amp;$E240,'Updated SES'!A:J,10,0)</f>
        <v>0.1875</v>
      </c>
      <c r="O240" s="102">
        <f>VLOOKUP($B240,'Language Penetration'!$B$1:$AY$14,MATCH('Compile data Working'!$H66,'Language Penetration'!$B$1:$AY$1,0),0)</f>
        <v>0.6</v>
      </c>
      <c r="P240" s="103" t="str">
        <f t="shared" ca="1" si="6"/>
        <v>4%</v>
      </c>
      <c r="Q240" s="101">
        <f t="shared" ca="1" si="7"/>
        <v>0.70700400000000008</v>
      </c>
      <c r="R240" s="104">
        <f>VLOOKUP(D:D,ranking!W:X,2,0)</f>
        <v>0.6</v>
      </c>
      <c r="S240" s="59">
        <v>0.63630359999999997</v>
      </c>
    </row>
    <row r="241" spans="1:19" ht="15.75" x14ac:dyDescent="0.25">
      <c r="A241" s="46" t="s">
        <v>1057</v>
      </c>
      <c r="B241" s="46" t="s">
        <v>85</v>
      </c>
      <c r="C241" s="99" t="s">
        <v>1047</v>
      </c>
      <c r="D241" s="46" t="s">
        <v>433</v>
      </c>
      <c r="E241" s="98" t="s">
        <v>219</v>
      </c>
      <c r="F241" s="98" t="s">
        <v>457</v>
      </c>
      <c r="G241" s="98" t="s">
        <v>1261</v>
      </c>
      <c r="H241" s="46" t="s">
        <v>19</v>
      </c>
      <c r="I241" s="53">
        <v>45702</v>
      </c>
      <c r="J241" s="46">
        <v>10</v>
      </c>
      <c r="K241" s="46" t="s">
        <v>910</v>
      </c>
      <c r="L241" s="101">
        <f>VLOOKUP($C241&amp;$E241,'Updated SES'!A:N,14,0)</f>
        <v>58.917000000000009</v>
      </c>
      <c r="M241" s="102">
        <f>VLOOKUP($K241,'Genre Penetration'!A:B,2,0)*VLOOKUP($C241&amp;$E241,'Updated SES'!A:I,9,0)</f>
        <v>0.3125</v>
      </c>
      <c r="N241" s="102">
        <f>VLOOKUP(K:K,'Genre Penetration'!A:C,3,0)*VLOOKUP($C241&amp;$E241,'Updated SES'!A:J,10,0)</f>
        <v>0.1875</v>
      </c>
      <c r="O241" s="102" t="e">
        <f>VLOOKUP($B241,'Language Penetration'!$B$1:$AY$14,MATCH('Compile data Working'!#REF!,'Language Penetration'!$B$1:$AY$1,0),0)</f>
        <v>#REF!</v>
      </c>
      <c r="P241" s="103" t="str">
        <f t="shared" ca="1" si="6"/>
        <v>2%</v>
      </c>
      <c r="Q241" s="101" t="e">
        <f t="shared" ca="1" si="7"/>
        <v>#REF!</v>
      </c>
      <c r="R241" s="104">
        <f>VLOOKUP(D:D,ranking!W:X,2,0)</f>
        <v>0.6</v>
      </c>
      <c r="S241" s="59">
        <v>0.21210120000000002</v>
      </c>
    </row>
    <row r="242" spans="1:19" ht="15.75" x14ac:dyDescent="0.25">
      <c r="A242" s="46" t="s">
        <v>1057</v>
      </c>
      <c r="B242" s="46" t="s">
        <v>85</v>
      </c>
      <c r="C242" s="99" t="s">
        <v>112</v>
      </c>
      <c r="D242" s="46" t="s">
        <v>434</v>
      </c>
      <c r="E242" s="98" t="s">
        <v>211</v>
      </c>
      <c r="F242" s="98" t="s">
        <v>458</v>
      </c>
      <c r="G242" s="46" t="s">
        <v>1368</v>
      </c>
      <c r="H242" s="46" t="s">
        <v>33</v>
      </c>
      <c r="I242" s="106">
        <v>44145</v>
      </c>
      <c r="J242" s="46">
        <v>1</v>
      </c>
      <c r="K242" s="46" t="s">
        <v>172</v>
      </c>
      <c r="L242" s="101">
        <f>VLOOKUP($C242&amp;$E242,'Updated SES'!A:N,14,0)</f>
        <v>0.15089999999999998</v>
      </c>
      <c r="M242" s="102">
        <f>VLOOKUP($K242,'Genre Penetration'!A:B,2,0)*VLOOKUP($C242&amp;$E242,'Updated SES'!A:I,9,0)</f>
        <v>0.34</v>
      </c>
      <c r="N242" s="102">
        <f>VLOOKUP(K:K,'Genre Penetration'!A:C,3,0)*VLOOKUP($C242&amp;$E242,'Updated SES'!A:J,10,0)</f>
        <v>0.09</v>
      </c>
      <c r="O242" s="102" t="e">
        <f>VLOOKUP($B242,'Language Penetration'!$B$1:$AY$14,MATCH('Compile data Working'!#REF!,'Language Penetration'!$B$1:$AY$1,0),0)</f>
        <v>#REF!</v>
      </c>
      <c r="P242" s="103" t="str">
        <f t="shared" ca="1" si="6"/>
        <v>40%</v>
      </c>
      <c r="Q242" s="101" t="e">
        <f t="shared" ca="1" si="7"/>
        <v>#REF!</v>
      </c>
      <c r="R242" s="104">
        <f>VLOOKUP(D:D,ranking!W:X,2,0)</f>
        <v>0.7</v>
      </c>
      <c r="S242" s="59">
        <v>1.6351523999999997E-3</v>
      </c>
    </row>
    <row r="243" spans="1:19" ht="15.75" x14ac:dyDescent="0.25">
      <c r="A243" s="46" t="s">
        <v>1057</v>
      </c>
      <c r="B243" s="46" t="s">
        <v>85</v>
      </c>
      <c r="C243" s="99" t="s">
        <v>112</v>
      </c>
      <c r="D243" s="46" t="s">
        <v>434</v>
      </c>
      <c r="E243" s="98" t="s">
        <v>211</v>
      </c>
      <c r="F243" s="98" t="s">
        <v>458</v>
      </c>
      <c r="G243" s="46" t="s">
        <v>1369</v>
      </c>
      <c r="H243" s="46" t="s">
        <v>33</v>
      </c>
      <c r="I243" s="106">
        <v>44344</v>
      </c>
      <c r="J243" s="46">
        <v>2</v>
      </c>
      <c r="K243" s="46" t="s">
        <v>172</v>
      </c>
      <c r="L243" s="101">
        <f>VLOOKUP($C243&amp;$E243,'Updated SES'!A:N,14,0)</f>
        <v>0.15089999999999998</v>
      </c>
      <c r="M243" s="102">
        <f>VLOOKUP($K243,'Genre Penetration'!A:B,2,0)*VLOOKUP($C243&amp;$E243,'Updated SES'!A:I,9,0)</f>
        <v>0.34</v>
      </c>
      <c r="N243" s="102">
        <f>VLOOKUP(K:K,'Genre Penetration'!A:C,3,0)*VLOOKUP($C243&amp;$E243,'Updated SES'!A:J,10,0)</f>
        <v>0.09</v>
      </c>
      <c r="O243" s="102" t="e">
        <f>VLOOKUP($B243,'Language Penetration'!$B$1:$AY$14,MATCH('Compile data Working'!#REF!,'Language Penetration'!$B$1:$AY$1,0),0)</f>
        <v>#REF!</v>
      </c>
      <c r="P243" s="103" t="str">
        <f t="shared" ca="1" si="6"/>
        <v>34%</v>
      </c>
      <c r="Q243" s="101" t="e">
        <f t="shared" ca="1" si="7"/>
        <v>#REF!</v>
      </c>
      <c r="R243" s="104">
        <f>VLOOKUP(D:D,ranking!W:X,2,0)</f>
        <v>0.7</v>
      </c>
      <c r="S243" s="59">
        <v>1.4080479E-3</v>
      </c>
    </row>
    <row r="244" spans="1:19" ht="15.75" x14ac:dyDescent="0.25">
      <c r="A244" s="46" t="s">
        <v>1057</v>
      </c>
      <c r="B244" s="46" t="s">
        <v>85</v>
      </c>
      <c r="C244" s="99" t="s">
        <v>112</v>
      </c>
      <c r="D244" s="46" t="s">
        <v>434</v>
      </c>
      <c r="E244" s="98" t="s">
        <v>211</v>
      </c>
      <c r="F244" s="98" t="s">
        <v>458</v>
      </c>
      <c r="G244" s="98" t="s">
        <v>1370</v>
      </c>
      <c r="H244" s="46" t="s">
        <v>33</v>
      </c>
      <c r="I244" s="106">
        <v>45238</v>
      </c>
      <c r="J244" s="46">
        <v>3</v>
      </c>
      <c r="K244" s="46" t="s">
        <v>216</v>
      </c>
      <c r="L244" s="101">
        <f>VLOOKUP($C244&amp;$E244,'Updated SES'!A:N,14,0)</f>
        <v>0.15089999999999998</v>
      </c>
      <c r="M244" s="102">
        <f>VLOOKUP($K244,'Genre Penetration'!A:B,2,0)*VLOOKUP($C244&amp;$E244,'Updated SES'!A:I,9,0)</f>
        <v>0.42499999999999999</v>
      </c>
      <c r="N244" s="102">
        <f>VLOOKUP(K:K,'Genre Penetration'!A:C,3,0)*VLOOKUP($C244&amp;$E244,'Updated SES'!A:J,10,0)</f>
        <v>7.4999999999999997E-2</v>
      </c>
      <c r="O244" s="102" t="e">
        <f>VLOOKUP($B244,'Language Penetration'!$B$1:$AY$14,MATCH('Compile data Working'!#REF!,'Language Penetration'!$B$1:$AY$1,0),0)</f>
        <v>#REF!</v>
      </c>
      <c r="P244" s="103" t="str">
        <f t="shared" ca="1" si="6"/>
        <v>30%</v>
      </c>
      <c r="Q244" s="101" t="e">
        <f t="shared" ca="1" si="7"/>
        <v>#REF!</v>
      </c>
      <c r="R244" s="104">
        <f>VLOOKUP(D:D,ranking!W:X,2,0)</f>
        <v>0.7</v>
      </c>
      <c r="S244" s="59">
        <v>1.4260049999999999E-3</v>
      </c>
    </row>
    <row r="245" spans="1:19" ht="15.75" x14ac:dyDescent="0.25">
      <c r="A245" s="46" t="s">
        <v>1057</v>
      </c>
      <c r="B245" s="46" t="s">
        <v>85</v>
      </c>
      <c r="C245" s="99" t="s">
        <v>112</v>
      </c>
      <c r="D245" s="46" t="s">
        <v>434</v>
      </c>
      <c r="E245" s="98" t="s">
        <v>211</v>
      </c>
      <c r="F245" s="98" t="s">
        <v>458</v>
      </c>
      <c r="G245" s="46" t="s">
        <v>1371</v>
      </c>
      <c r="H245" s="46" t="s">
        <v>33</v>
      </c>
      <c r="I245" s="106">
        <v>45589</v>
      </c>
      <c r="J245" s="46">
        <v>4</v>
      </c>
      <c r="K245" s="46" t="s">
        <v>324</v>
      </c>
      <c r="L245" s="101">
        <f>VLOOKUP($C245&amp;$E245,'Updated SES'!A:N,14,0)</f>
        <v>0.15089999999999998</v>
      </c>
      <c r="M245" s="102">
        <f>VLOOKUP($K245,'Genre Penetration'!A:B,2,0)*VLOOKUP($C245&amp;$E245,'Updated SES'!A:I,9,0)</f>
        <v>0.54400000000000004</v>
      </c>
      <c r="N245" s="102">
        <f>VLOOKUP(K:K,'Genre Penetration'!A:C,3,0)*VLOOKUP($C245&amp;$E245,'Updated SES'!A:J,10,0)</f>
        <v>5.3999999999999999E-2</v>
      </c>
      <c r="O245" s="102" t="e">
        <f>VLOOKUP($B245,'Language Penetration'!$B$1:$AY$14,MATCH('Compile data Working'!#REF!,'Language Penetration'!$B$1:$AY$1,0),0)</f>
        <v>#REF!</v>
      </c>
      <c r="P245" s="103" t="str">
        <f t="shared" ca="1" si="6"/>
        <v>25%</v>
      </c>
      <c r="Q245" s="101" t="e">
        <f t="shared" ca="1" si="7"/>
        <v>#REF!</v>
      </c>
      <c r="R245" s="104">
        <f>VLOOKUP(D:D,ranking!W:X,2,0)</f>
        <v>0.7</v>
      </c>
      <c r="S245" s="59">
        <v>1.3896682800000001E-3</v>
      </c>
    </row>
    <row r="246" spans="1:19" ht="15.75" x14ac:dyDescent="0.25">
      <c r="A246" s="46" t="s">
        <v>1057</v>
      </c>
      <c r="B246" s="46" t="s">
        <v>85</v>
      </c>
      <c r="C246" s="99" t="s">
        <v>112</v>
      </c>
      <c r="D246" s="46" t="s">
        <v>434</v>
      </c>
      <c r="E246" s="98" t="s">
        <v>211</v>
      </c>
      <c r="F246" s="98" t="s">
        <v>458</v>
      </c>
      <c r="G246" s="98" t="s">
        <v>1372</v>
      </c>
      <c r="H246" s="46" t="s">
        <v>33</v>
      </c>
      <c r="I246" s="106">
        <v>44145</v>
      </c>
      <c r="J246" s="46">
        <v>5</v>
      </c>
      <c r="K246" s="46" t="s">
        <v>216</v>
      </c>
      <c r="L246" s="101">
        <f>VLOOKUP($C246&amp;$E246,'Updated SES'!A:N,14,0)</f>
        <v>0.15089999999999998</v>
      </c>
      <c r="M246" s="102">
        <f>VLOOKUP($K246,'Genre Penetration'!A:B,2,0)*VLOOKUP($C246&amp;$E246,'Updated SES'!A:I,9,0)</f>
        <v>0.42499999999999999</v>
      </c>
      <c r="N246" s="102">
        <f>VLOOKUP(K:K,'Genre Penetration'!A:C,3,0)*VLOOKUP($C246&amp;$E246,'Updated SES'!A:J,10,0)</f>
        <v>7.4999999999999997E-2</v>
      </c>
      <c r="O246" s="102" t="e">
        <f>VLOOKUP($B246,'Language Penetration'!$B$1:$AY$14,MATCH('Compile data Working'!#REF!,'Language Penetration'!$B$1:$AY$1,0),0)</f>
        <v>#REF!</v>
      </c>
      <c r="P246" s="103" t="str">
        <f t="shared" ca="1" si="6"/>
        <v>15%</v>
      </c>
      <c r="Q246" s="101" t="e">
        <f t="shared" ca="1" si="7"/>
        <v>#REF!</v>
      </c>
      <c r="R246" s="104">
        <f>VLOOKUP(D:D,ranking!W:X,2,0)</f>
        <v>0.7</v>
      </c>
      <c r="S246" s="59">
        <v>9.5066999999999981E-4</v>
      </c>
    </row>
    <row r="247" spans="1:19" ht="15.75" x14ac:dyDescent="0.25">
      <c r="A247" s="46" t="s">
        <v>1057</v>
      </c>
      <c r="B247" s="46" t="s">
        <v>85</v>
      </c>
      <c r="C247" s="99" t="s">
        <v>112</v>
      </c>
      <c r="D247" s="46" t="s">
        <v>434</v>
      </c>
      <c r="E247" s="98" t="s">
        <v>211</v>
      </c>
      <c r="F247" s="98" t="s">
        <v>458</v>
      </c>
      <c r="G247" s="46" t="s">
        <v>1373</v>
      </c>
      <c r="H247" s="46" t="s">
        <v>33</v>
      </c>
      <c r="I247" s="106">
        <v>44701</v>
      </c>
      <c r="J247" s="98">
        <v>6</v>
      </c>
      <c r="K247" s="46" t="s">
        <v>216</v>
      </c>
      <c r="L247" s="101">
        <f>VLOOKUP($C247&amp;$E247,'Updated SES'!A:N,14,0)</f>
        <v>0.15089999999999998</v>
      </c>
      <c r="M247" s="102">
        <f>VLOOKUP($K247,'Genre Penetration'!A:B,2,0)*VLOOKUP($C247&amp;$E247,'Updated SES'!A:I,9,0)</f>
        <v>0.42499999999999999</v>
      </c>
      <c r="N247" s="102">
        <f>VLOOKUP(K:K,'Genre Penetration'!A:C,3,0)*VLOOKUP($C247&amp;$E247,'Updated SES'!A:J,10,0)</f>
        <v>7.4999999999999997E-2</v>
      </c>
      <c r="O247" s="102" t="e">
        <f>VLOOKUP($B247,'Language Penetration'!$B$1:$AY$14,MATCH('Compile data Working'!#REF!,'Language Penetration'!$B$1:$AY$1,0),0)</f>
        <v>#REF!</v>
      </c>
      <c r="P247" s="103" t="str">
        <f t="shared" ca="1" si="6"/>
        <v>14%</v>
      </c>
      <c r="Q247" s="101" t="e">
        <f t="shared" ca="1" si="7"/>
        <v>#REF!</v>
      </c>
      <c r="R247" s="104">
        <f>VLOOKUP(D:D,ranking!W:X,2,0)</f>
        <v>0.7</v>
      </c>
      <c r="S247" s="59">
        <v>5.2814999999999991E-4</v>
      </c>
    </row>
    <row r="248" spans="1:19" ht="15.75" x14ac:dyDescent="0.25">
      <c r="A248" s="46" t="s">
        <v>1057</v>
      </c>
      <c r="B248" s="46" t="s">
        <v>85</v>
      </c>
      <c r="C248" s="99" t="s">
        <v>112</v>
      </c>
      <c r="D248" s="46" t="s">
        <v>434</v>
      </c>
      <c r="E248" s="98" t="s">
        <v>211</v>
      </c>
      <c r="F248" s="98" t="s">
        <v>458</v>
      </c>
      <c r="G248" s="46" t="s">
        <v>1374</v>
      </c>
      <c r="H248" s="46" t="s">
        <v>33</v>
      </c>
      <c r="I248" s="106">
        <v>44856</v>
      </c>
      <c r="J248" s="98">
        <v>7</v>
      </c>
      <c r="K248" s="46" t="s">
        <v>216</v>
      </c>
      <c r="L248" s="101">
        <f>VLOOKUP($C248&amp;$E248,'Updated SES'!A:N,14,0)</f>
        <v>0.15089999999999998</v>
      </c>
      <c r="M248" s="102">
        <f>VLOOKUP($K248,'Genre Penetration'!A:B,2,0)*VLOOKUP($C248&amp;$E248,'Updated SES'!A:I,9,0)</f>
        <v>0.42499999999999999</v>
      </c>
      <c r="N248" s="102">
        <f>VLOOKUP(K:K,'Genre Penetration'!A:C,3,0)*VLOOKUP($C248&amp;$E248,'Updated SES'!A:J,10,0)</f>
        <v>7.4999999999999997E-2</v>
      </c>
      <c r="O248" s="102" t="e">
        <f>VLOOKUP($B248,'Language Penetration'!$B$1:$AY$14,MATCH('Compile data Working'!#REF!,'Language Penetration'!$B$1:$AY$1,0),0)</f>
        <v>#REF!</v>
      </c>
      <c r="P248" s="103" t="str">
        <f t="shared" ca="1" si="6"/>
        <v>8%</v>
      </c>
      <c r="Q248" s="101" t="e">
        <f t="shared" ca="1" si="7"/>
        <v>#REF!</v>
      </c>
      <c r="R248" s="104">
        <f>VLOOKUP(D:D,ranking!W:X,2,0)</f>
        <v>0.7</v>
      </c>
      <c r="S248" s="59">
        <v>4.7533499999999991E-4</v>
      </c>
    </row>
    <row r="249" spans="1:19" ht="15.75" x14ac:dyDescent="0.25">
      <c r="A249" s="46" t="s">
        <v>1057</v>
      </c>
      <c r="B249" s="46" t="s">
        <v>85</v>
      </c>
      <c r="C249" s="99" t="s">
        <v>112</v>
      </c>
      <c r="D249" s="46" t="s">
        <v>434</v>
      </c>
      <c r="E249" s="46" t="s">
        <v>211</v>
      </c>
      <c r="F249" s="98" t="s">
        <v>458</v>
      </c>
      <c r="G249" s="46" t="s">
        <v>1375</v>
      </c>
      <c r="H249" s="46" t="s">
        <v>33</v>
      </c>
      <c r="I249" s="106">
        <v>45833</v>
      </c>
      <c r="J249" s="98">
        <v>8</v>
      </c>
      <c r="K249" s="46" t="s">
        <v>292</v>
      </c>
      <c r="L249" s="101">
        <f>VLOOKUP($C249&amp;$E249,'Updated SES'!A:N,14,0)</f>
        <v>0.15089999999999998</v>
      </c>
      <c r="M249" s="102">
        <f>VLOOKUP($K249,'Genre Penetration'!A:B,2,0)*VLOOKUP($C249&amp;$E249,'Updated SES'!A:I,9,0)</f>
        <v>0.442</v>
      </c>
      <c r="N249" s="102">
        <f>VLOOKUP(K:K,'Genre Penetration'!A:C,3,0)*VLOOKUP($C249&amp;$E249,'Updated SES'!A:J,10,0)</f>
        <v>7.1999999999999995E-2</v>
      </c>
      <c r="O249" s="102" t="e">
        <f>VLOOKUP($B249,'Language Penetration'!$B$1:$AY$14,MATCH('Compile data Working'!#REF!,'Language Penetration'!$B$1:$AY$1,0),0)</f>
        <v>#REF!</v>
      </c>
      <c r="P249" s="103" t="str">
        <f t="shared" ca="1" si="6"/>
        <v>7%</v>
      </c>
      <c r="Q249" s="101" t="e">
        <f t="shared" ca="1" si="7"/>
        <v>#REF!</v>
      </c>
      <c r="R249" s="104">
        <f>VLOOKUP(D:D,ranking!W:X,2,0)</f>
        <v>0.7</v>
      </c>
      <c r="S249" s="59">
        <v>4.3435056E-4</v>
      </c>
    </row>
    <row r="250" spans="1:19" ht="15.75" x14ac:dyDescent="0.25">
      <c r="A250" s="46" t="s">
        <v>1057</v>
      </c>
      <c r="B250" s="46" t="s">
        <v>85</v>
      </c>
      <c r="C250" s="99" t="s">
        <v>112</v>
      </c>
      <c r="D250" s="46" t="s">
        <v>434</v>
      </c>
      <c r="E250" s="46" t="s">
        <v>211</v>
      </c>
      <c r="F250" s="98" t="s">
        <v>458</v>
      </c>
      <c r="G250" s="46" t="s">
        <v>1376</v>
      </c>
      <c r="H250" s="46" t="s">
        <v>33</v>
      </c>
      <c r="I250" s="106">
        <v>45031</v>
      </c>
      <c r="J250" s="98">
        <v>9</v>
      </c>
      <c r="K250" s="46" t="s">
        <v>176</v>
      </c>
      <c r="L250" s="101">
        <f>VLOOKUP($C250&amp;$E250,'Updated SES'!A:N,14,0)</f>
        <v>0.15089999999999998</v>
      </c>
      <c r="M250" s="102">
        <f>VLOOKUP($K250,'Genre Penetration'!A:B,2,0)*VLOOKUP($C250&amp;$E250,'Updated SES'!A:I,9,0)</f>
        <v>0.52700000000000002</v>
      </c>
      <c r="N250" s="102">
        <f>VLOOKUP(K:K,'Genre Penetration'!A:C,3,0)*VLOOKUP($C250&amp;$E250,'Updated SES'!A:J,10,0)</f>
        <v>5.6999999999999995E-2</v>
      </c>
      <c r="O250" s="102" t="e">
        <f>VLOOKUP($B250,'Language Penetration'!$B$1:$AY$14,MATCH('Compile data Working'!#REF!,'Language Penetration'!$B$1:$AY$1,0),0)</f>
        <v>#REF!</v>
      </c>
      <c r="P250" s="103" t="str">
        <f t="shared" ca="1" si="6"/>
        <v>5%</v>
      </c>
      <c r="Q250" s="101" t="e">
        <f t="shared" ca="1" si="7"/>
        <v>#REF!</v>
      </c>
      <c r="R250" s="104">
        <f>VLOOKUP(D:D,ranking!W:X,2,0)</f>
        <v>0.7</v>
      </c>
      <c r="S250" s="59">
        <v>3.0843960000000002E-4</v>
      </c>
    </row>
    <row r="251" spans="1:19" ht="15.75" x14ac:dyDescent="0.25">
      <c r="A251" s="46" t="s">
        <v>1057</v>
      </c>
      <c r="B251" s="46" t="s">
        <v>85</v>
      </c>
      <c r="C251" s="99" t="s">
        <v>112</v>
      </c>
      <c r="D251" s="46" t="s">
        <v>434</v>
      </c>
      <c r="E251" s="46" t="s">
        <v>211</v>
      </c>
      <c r="F251" s="98" t="s">
        <v>458</v>
      </c>
      <c r="G251" s="46" t="s">
        <v>1377</v>
      </c>
      <c r="H251" s="46" t="s">
        <v>33</v>
      </c>
      <c r="I251" s="106">
        <v>45702</v>
      </c>
      <c r="J251" s="98">
        <v>10</v>
      </c>
      <c r="K251" s="46" t="s">
        <v>184</v>
      </c>
      <c r="L251" s="101">
        <f>VLOOKUP($C251&amp;$E251,'Updated SES'!A:N,14,0)</f>
        <v>0.15089999999999998</v>
      </c>
      <c r="M251" s="102">
        <f>VLOOKUP($K251,'Genre Penetration'!A:B,2,0)*VLOOKUP($C251&amp;$E251,'Updated SES'!A:I,9,0)</f>
        <v>0.41649999999999998</v>
      </c>
      <c r="N251" s="102">
        <f>VLOOKUP(K:K,'Genre Penetration'!A:C,3,0)*VLOOKUP($C251&amp;$E251,'Updated SES'!A:J,10,0)</f>
        <v>7.6499999999999999E-2</v>
      </c>
      <c r="O251" s="102" t="e">
        <f>VLOOKUP($B251,'Language Penetration'!$B$1:$AY$14,MATCH('Compile data Working'!#REF!,'Language Penetration'!$B$1:$AY$1,0),0)</f>
        <v>#REF!</v>
      </c>
      <c r="P251" s="103" t="str">
        <f t="shared" ca="1" si="6"/>
        <v>2%</v>
      </c>
      <c r="Q251" s="101" t="e">
        <f t="shared" ca="1" si="7"/>
        <v>#REF!</v>
      </c>
      <c r="R251" s="104">
        <f>VLOOKUP(D:D,ranking!W:X,2,0)</f>
        <v>0.7</v>
      </c>
      <c r="S251" s="59">
        <v>1.0415118E-4</v>
      </c>
    </row>
    <row r="252" spans="1:19" ht="15.75" x14ac:dyDescent="0.25">
      <c r="A252" s="46" t="s">
        <v>1057</v>
      </c>
      <c r="B252" s="46" t="s">
        <v>85</v>
      </c>
      <c r="C252" s="99" t="s">
        <v>112</v>
      </c>
      <c r="D252" s="46" t="s">
        <v>431</v>
      </c>
      <c r="E252" s="98" t="s">
        <v>211</v>
      </c>
      <c r="F252" s="98" t="s">
        <v>457</v>
      </c>
      <c r="G252" s="98" t="s">
        <v>1378</v>
      </c>
      <c r="H252" s="98" t="s">
        <v>33</v>
      </c>
      <c r="I252" s="106">
        <v>44948</v>
      </c>
      <c r="J252" s="98">
        <v>1</v>
      </c>
      <c r="K252" s="98" t="s">
        <v>1190</v>
      </c>
      <c r="L252" s="101">
        <f>VLOOKUP($C252&amp;$E252,'Updated SES'!A:N,14,0)</f>
        <v>0.15089999999999998</v>
      </c>
      <c r="M252" s="102">
        <f>VLOOKUP($K252,'Genre Penetration'!A:B,2,0)*VLOOKUP($C252&amp;$E252,'Updated SES'!A:I,9,0)</f>
        <v>0.442</v>
      </c>
      <c r="N252" s="102">
        <f>VLOOKUP(K:K,'Genre Penetration'!A:C,3,0)*VLOOKUP($C252&amp;$E252,'Updated SES'!A:J,10,0)</f>
        <v>7.1999999999999995E-2</v>
      </c>
      <c r="O252" s="102" t="e">
        <f>VLOOKUP($B252,'Language Penetration'!$B$1:$AY$14,MATCH('Compile data Working'!#REF!,'Language Penetration'!$B$1:$AY$1,0),0)</f>
        <v>#REF!</v>
      </c>
      <c r="P252" s="103" t="str">
        <f t="shared" ca="1" si="6"/>
        <v>40%</v>
      </c>
      <c r="Q252" s="101" t="e">
        <f t="shared" ca="1" si="7"/>
        <v>#REF!</v>
      </c>
      <c r="R252" s="104">
        <f>VLOOKUP(D:D,ranking!W:X,2,0)</f>
        <v>0.6</v>
      </c>
      <c r="S252" s="59">
        <v>1.67535216E-3</v>
      </c>
    </row>
    <row r="253" spans="1:19" ht="15.75" x14ac:dyDescent="0.25">
      <c r="A253" s="46" t="s">
        <v>1057</v>
      </c>
      <c r="B253" s="46" t="s">
        <v>85</v>
      </c>
      <c r="C253" s="99" t="s">
        <v>112</v>
      </c>
      <c r="D253" s="46" t="s">
        <v>431</v>
      </c>
      <c r="E253" s="98" t="s">
        <v>211</v>
      </c>
      <c r="F253" s="98" t="s">
        <v>457</v>
      </c>
      <c r="G253" s="46" t="s">
        <v>1379</v>
      </c>
      <c r="H253" s="98" t="s">
        <v>33</v>
      </c>
      <c r="I253" s="106">
        <v>44145</v>
      </c>
      <c r="J253" s="98">
        <v>2</v>
      </c>
      <c r="K253" s="46" t="s">
        <v>870</v>
      </c>
      <c r="L253" s="101">
        <f>VLOOKUP($C253&amp;$E253,'Updated SES'!A:N,14,0)</f>
        <v>0.15089999999999998</v>
      </c>
      <c r="M253" s="102">
        <f>VLOOKUP($K253,'Genre Penetration'!A:B,2,0)*VLOOKUP($C253&amp;$E253,'Updated SES'!A:I,9,0)</f>
        <v>0.45050000000000001</v>
      </c>
      <c r="N253" s="102">
        <f>VLOOKUP(K:K,'Genre Penetration'!A:C,3,0)*VLOOKUP($C253&amp;$E253,'Updated SES'!A:J,10,0)</f>
        <v>7.0499999999999993E-2</v>
      </c>
      <c r="O253" s="102" t="e">
        <f>VLOOKUP($B253,'Language Penetration'!$B$1:$AY$14,MATCH('Compile data Working'!#REF!,'Language Penetration'!$B$1:$AY$1,0),0)</f>
        <v>#REF!</v>
      </c>
      <c r="P253" s="103" t="str">
        <f t="shared" ca="1" si="6"/>
        <v>34%</v>
      </c>
      <c r="Q253" s="101" t="e">
        <f t="shared" ca="1" si="7"/>
        <v>#REF!</v>
      </c>
      <c r="R253" s="104">
        <f>VLOOKUP(D:D,ranking!W:X,2,0)</f>
        <v>0.6</v>
      </c>
      <c r="S253" s="59">
        <v>1.5094828799999999E-3</v>
      </c>
    </row>
    <row r="254" spans="1:19" ht="15.75" x14ac:dyDescent="0.25">
      <c r="A254" s="46" t="s">
        <v>1057</v>
      </c>
      <c r="B254" s="46" t="s">
        <v>85</v>
      </c>
      <c r="C254" s="99" t="s">
        <v>112</v>
      </c>
      <c r="D254" s="46" t="s">
        <v>431</v>
      </c>
      <c r="E254" s="98" t="s">
        <v>211</v>
      </c>
      <c r="F254" s="98" t="s">
        <v>457</v>
      </c>
      <c r="G254" s="46" t="s">
        <v>1380</v>
      </c>
      <c r="H254" s="98" t="s">
        <v>33</v>
      </c>
      <c r="I254" s="106">
        <v>45758</v>
      </c>
      <c r="J254" s="98">
        <v>3</v>
      </c>
      <c r="K254" s="46" t="s">
        <v>1191</v>
      </c>
      <c r="L254" s="101">
        <f>VLOOKUP($C254&amp;$E254,'Updated SES'!A:N,14,0)</f>
        <v>0.15089999999999998</v>
      </c>
      <c r="M254" s="102">
        <f>VLOOKUP($K254,'Genre Penetration'!A:B,2,0)*VLOOKUP($C254&amp;$E254,'Updated SES'!A:I,9,0)</f>
        <v>0.51</v>
      </c>
      <c r="N254" s="102">
        <f>VLOOKUP(K:K,'Genre Penetration'!A:C,3,0)*VLOOKUP($C254&amp;$E254,'Updated SES'!A:J,10,0)</f>
        <v>0.06</v>
      </c>
      <c r="O254" s="102" t="e">
        <f>VLOOKUP($B254,'Language Penetration'!$B$1:$AY$14,MATCH('Compile data Working'!#REF!,'Language Penetration'!$B$1:$AY$1,0),0)</f>
        <v>#REF!</v>
      </c>
      <c r="P254" s="103" t="str">
        <f t="shared" ca="1" si="6"/>
        <v>25%</v>
      </c>
      <c r="Q254" s="101" t="e">
        <f t="shared" ca="1" si="7"/>
        <v>#REF!</v>
      </c>
      <c r="R254" s="104">
        <f>VLOOKUP(D:D,ranking!W:X,2,0)</f>
        <v>0.6</v>
      </c>
      <c r="S254" s="59">
        <v>1.3934105999999999E-3</v>
      </c>
    </row>
    <row r="255" spans="1:19" ht="15.75" x14ac:dyDescent="0.25">
      <c r="A255" s="46" t="s">
        <v>1057</v>
      </c>
      <c r="B255" s="46" t="s">
        <v>85</v>
      </c>
      <c r="C255" s="99" t="s">
        <v>112</v>
      </c>
      <c r="D255" s="46" t="s">
        <v>431</v>
      </c>
      <c r="E255" s="98" t="s">
        <v>211</v>
      </c>
      <c r="F255" s="98" t="s">
        <v>457</v>
      </c>
      <c r="G255" s="46" t="s">
        <v>711</v>
      </c>
      <c r="H255" s="98" t="s">
        <v>33</v>
      </c>
      <c r="I255" s="106">
        <v>45289</v>
      </c>
      <c r="J255" s="98">
        <v>4</v>
      </c>
      <c r="K255" s="46" t="s">
        <v>306</v>
      </c>
      <c r="L255" s="101">
        <f>VLOOKUP($C255&amp;$E255,'Updated SES'!A:N,14,0)</f>
        <v>0.15089999999999998</v>
      </c>
      <c r="M255" s="102">
        <f>VLOOKUP($K255,'Genre Penetration'!A:B,2,0)*VLOOKUP($C255&amp;$E255,'Updated SES'!A:I,9,0)</f>
        <v>0.50149999999999995</v>
      </c>
      <c r="N255" s="102">
        <f>VLOOKUP(K:K,'Genre Penetration'!A:C,3,0)*VLOOKUP($C255&amp;$E255,'Updated SES'!A:J,10,0)</f>
        <v>6.1499999999999999E-2</v>
      </c>
      <c r="O255" s="102" t="e">
        <f>VLOOKUP($B255,'Language Penetration'!$B$1:$AY$14,MATCH('Compile data Working'!#REF!,'Language Penetration'!$B$1:$AY$1,0),0)</f>
        <v>#REF!</v>
      </c>
      <c r="P255" s="103" t="str">
        <f t="shared" ca="1" si="6"/>
        <v>24%</v>
      </c>
      <c r="Q255" s="101" t="e">
        <f t="shared" ca="1" si="7"/>
        <v>#REF!</v>
      </c>
      <c r="R255" s="104">
        <f>VLOOKUP(D:D,ranking!W:X,2,0)</f>
        <v>0.6</v>
      </c>
      <c r="S255" s="59">
        <v>1.0704544199999998E-3</v>
      </c>
    </row>
    <row r="256" spans="1:19" ht="15.75" x14ac:dyDescent="0.25">
      <c r="A256" s="46" t="s">
        <v>1057</v>
      </c>
      <c r="B256" s="46" t="s">
        <v>85</v>
      </c>
      <c r="C256" s="99" t="s">
        <v>112</v>
      </c>
      <c r="D256" s="46" t="s">
        <v>431</v>
      </c>
      <c r="E256" s="98" t="s">
        <v>211</v>
      </c>
      <c r="F256" s="98" t="s">
        <v>457</v>
      </c>
      <c r="G256" s="46" t="s">
        <v>706</v>
      </c>
      <c r="H256" s="98" t="s">
        <v>33</v>
      </c>
      <c r="I256" s="106">
        <v>45534</v>
      </c>
      <c r="J256" s="98">
        <v>5</v>
      </c>
      <c r="K256" s="98" t="s">
        <v>1192</v>
      </c>
      <c r="L256" s="101">
        <f>VLOOKUP($C256&amp;$E256,'Updated SES'!A:N,14,0)</f>
        <v>0.15089999999999998</v>
      </c>
      <c r="M256" s="102">
        <f>VLOOKUP($K256,'Genre Penetration'!A:B,2,0)*VLOOKUP($C256&amp;$E256,'Updated SES'!A:I,9,0)</f>
        <v>0.55249999999999999</v>
      </c>
      <c r="N256" s="102">
        <f>VLOOKUP(K:K,'Genre Penetration'!A:C,3,0)*VLOOKUP($C256&amp;$E256,'Updated SES'!A:J,10,0)</f>
        <v>5.2499999999999998E-2</v>
      </c>
      <c r="O256" s="102" t="e">
        <f>VLOOKUP($B256,'Language Penetration'!$B$1:$AY$14,MATCH('Compile data Working'!#REF!,'Language Penetration'!$B$1:$AY$1,0),0)</f>
        <v>#REF!</v>
      </c>
      <c r="P256" s="103" t="str">
        <f t="shared" ca="1" si="6"/>
        <v>19%</v>
      </c>
      <c r="Q256" s="101" t="e">
        <f t="shared" ca="1" si="7"/>
        <v>#REF!</v>
      </c>
      <c r="R256" s="104">
        <f>VLOOKUP(D:D,ranking!W:X,2,0)</f>
        <v>0.6</v>
      </c>
      <c r="S256" s="59">
        <v>8.2165049999999989E-4</v>
      </c>
    </row>
    <row r="257" spans="1:19" ht="15.75" x14ac:dyDescent="0.25">
      <c r="A257" s="46" t="s">
        <v>1057</v>
      </c>
      <c r="B257" s="46" t="s">
        <v>85</v>
      </c>
      <c r="C257" s="99" t="s">
        <v>112</v>
      </c>
      <c r="D257" s="46" t="s">
        <v>431</v>
      </c>
      <c r="E257" s="98" t="s">
        <v>211</v>
      </c>
      <c r="F257" s="98" t="s">
        <v>457</v>
      </c>
      <c r="G257" s="46" t="s">
        <v>710</v>
      </c>
      <c r="H257" s="98" t="s">
        <v>33</v>
      </c>
      <c r="I257" s="106">
        <v>45260</v>
      </c>
      <c r="J257" s="98">
        <v>6</v>
      </c>
      <c r="K257" s="98" t="s">
        <v>176</v>
      </c>
      <c r="L257" s="101">
        <f>VLOOKUP($C257&amp;$E257,'Updated SES'!A:N,14,0)</f>
        <v>0.15089999999999998</v>
      </c>
      <c r="M257" s="102">
        <f>VLOOKUP($K257,'Genre Penetration'!A:B,2,0)*VLOOKUP($C257&amp;$E257,'Updated SES'!A:I,9,0)</f>
        <v>0.52700000000000002</v>
      </c>
      <c r="N257" s="102">
        <f>VLOOKUP(K:K,'Genre Penetration'!A:C,3,0)*VLOOKUP($C257&amp;$E257,'Updated SES'!A:J,10,0)</f>
        <v>5.6999999999999995E-2</v>
      </c>
      <c r="O257" s="102" t="e">
        <f>VLOOKUP($B257,'Language Penetration'!$B$1:$AY$14,MATCH('Compile data Working'!#REF!,'Language Penetration'!$B$1:$AY$1,0),0)</f>
        <v>#REF!</v>
      </c>
      <c r="P257" s="103" t="str">
        <f t="shared" ca="1" si="6"/>
        <v>10%</v>
      </c>
      <c r="Q257" s="101" t="e">
        <f t="shared" ca="1" si="7"/>
        <v>#REF!</v>
      </c>
      <c r="R257" s="104">
        <f>VLOOKUP(D:D,ranking!W:X,2,0)</f>
        <v>0.6</v>
      </c>
      <c r="S257" s="59">
        <v>7.4025504000000016E-4</v>
      </c>
    </row>
    <row r="258" spans="1:19" ht="15.75" x14ac:dyDescent="0.25">
      <c r="A258" s="46" t="s">
        <v>1057</v>
      </c>
      <c r="B258" s="46" t="s">
        <v>85</v>
      </c>
      <c r="C258" s="99" t="s">
        <v>112</v>
      </c>
      <c r="D258" s="46" t="s">
        <v>431</v>
      </c>
      <c r="E258" s="100" t="s">
        <v>211</v>
      </c>
      <c r="F258" s="98" t="s">
        <v>457</v>
      </c>
      <c r="G258" s="100" t="s">
        <v>1381</v>
      </c>
      <c r="H258" s="98" t="s">
        <v>33</v>
      </c>
      <c r="I258" s="106">
        <v>44884</v>
      </c>
      <c r="J258" s="98">
        <v>7</v>
      </c>
      <c r="K258" s="98" t="s">
        <v>1193</v>
      </c>
      <c r="L258" s="101">
        <f>VLOOKUP($C258&amp;$E258,'Updated SES'!A:N,14,0)</f>
        <v>0.15089999999999998</v>
      </c>
      <c r="M258" s="102">
        <f>VLOOKUP($K258,'Genre Penetration'!A:B,2,0)*VLOOKUP($C258&amp;$E258,'Updated SES'!A:I,9,0)</f>
        <v>0.52700000000000002</v>
      </c>
      <c r="N258" s="102">
        <f>VLOOKUP(K:K,'Genre Penetration'!A:C,3,0)*VLOOKUP($C258&amp;$E258,'Updated SES'!A:J,10,0)</f>
        <v>5.6999999999999995E-2</v>
      </c>
      <c r="O258" s="102" t="e">
        <f>VLOOKUP($B258,'Language Penetration'!$B$1:$AY$14,MATCH('Compile data Working'!#REF!,'Language Penetration'!$B$1:$AY$1,0),0)</f>
        <v>#REF!</v>
      </c>
      <c r="P258" s="103" t="str">
        <f t="shared" ca="1" si="6"/>
        <v>9%</v>
      </c>
      <c r="Q258" s="101" t="e">
        <f t="shared" ca="1" si="7"/>
        <v>#REF!</v>
      </c>
      <c r="R258" s="104">
        <f>VLOOKUP(D:D,ranking!W:X,2,0)</f>
        <v>0.6</v>
      </c>
      <c r="S258" s="59">
        <v>4.2300288000000002E-4</v>
      </c>
    </row>
    <row r="259" spans="1:19" ht="15.75" x14ac:dyDescent="0.25">
      <c r="A259" s="46" t="s">
        <v>1057</v>
      </c>
      <c r="B259" s="46" t="s">
        <v>85</v>
      </c>
      <c r="C259" s="99" t="s">
        <v>112</v>
      </c>
      <c r="D259" s="46" t="s">
        <v>431</v>
      </c>
      <c r="E259" s="100" t="s">
        <v>211</v>
      </c>
      <c r="F259" s="98" t="s">
        <v>457</v>
      </c>
      <c r="G259" s="46" t="s">
        <v>712</v>
      </c>
      <c r="H259" s="98" t="s">
        <v>33</v>
      </c>
      <c r="I259" s="106">
        <v>44712</v>
      </c>
      <c r="J259" s="98">
        <v>8</v>
      </c>
      <c r="K259" s="46" t="s">
        <v>216</v>
      </c>
      <c r="L259" s="101">
        <f>VLOOKUP($C259&amp;$E259,'Updated SES'!A:N,14,0)</f>
        <v>0.15089999999999998</v>
      </c>
      <c r="M259" s="102">
        <f>VLOOKUP($K259,'Genre Penetration'!A:B,2,0)*VLOOKUP($C259&amp;$E259,'Updated SES'!A:I,9,0)</f>
        <v>0.42499999999999999</v>
      </c>
      <c r="N259" s="102">
        <f>VLOOKUP(K:K,'Genre Penetration'!A:C,3,0)*VLOOKUP($C259&amp;$E259,'Updated SES'!A:J,10,0)</f>
        <v>7.4999999999999997E-2</v>
      </c>
      <c r="O259" s="102" t="e">
        <f>VLOOKUP($B259,'Language Penetration'!$B$1:$AY$14,MATCH('Compile data Working'!#REF!,'Language Penetration'!$B$1:$AY$1,0),0)</f>
        <v>#REF!</v>
      </c>
      <c r="P259" s="103" t="str">
        <f t="shared" ca="1" si="6"/>
        <v>7%</v>
      </c>
      <c r="Q259" s="101" t="e">
        <f t="shared" ca="1" si="7"/>
        <v>#REF!</v>
      </c>
      <c r="R259" s="104">
        <f>VLOOKUP(D:D,ranking!W:X,2,0)</f>
        <v>0.6</v>
      </c>
      <c r="S259" s="59">
        <v>3.1689000000000001E-4</v>
      </c>
    </row>
    <row r="260" spans="1:19" ht="15.75" x14ac:dyDescent="0.25">
      <c r="A260" s="46" t="s">
        <v>1057</v>
      </c>
      <c r="B260" s="46" t="s">
        <v>85</v>
      </c>
      <c r="C260" s="99" t="s">
        <v>112</v>
      </c>
      <c r="D260" s="46" t="s">
        <v>431</v>
      </c>
      <c r="E260" s="98" t="s">
        <v>211</v>
      </c>
      <c r="F260" s="98" t="s">
        <v>457</v>
      </c>
      <c r="G260" s="98" t="s">
        <v>1382</v>
      </c>
      <c r="H260" s="98" t="s">
        <v>33</v>
      </c>
      <c r="I260" s="106">
        <v>44645</v>
      </c>
      <c r="J260" s="98">
        <v>9</v>
      </c>
      <c r="K260" s="98" t="s">
        <v>176</v>
      </c>
      <c r="L260" s="101">
        <f>VLOOKUP($C260&amp;$E260,'Updated SES'!A:N,14,0)</f>
        <v>0.15089999999999998</v>
      </c>
      <c r="M260" s="102">
        <f>VLOOKUP($K260,'Genre Penetration'!A:B,2,0)*VLOOKUP($C260&amp;$E260,'Updated SES'!A:I,9,0)</f>
        <v>0.52700000000000002</v>
      </c>
      <c r="N260" s="102">
        <f>VLOOKUP(K:K,'Genre Penetration'!A:C,3,0)*VLOOKUP($C260&amp;$E260,'Updated SES'!A:J,10,0)</f>
        <v>5.6999999999999995E-2</v>
      </c>
      <c r="O260" s="102" t="e">
        <f>VLOOKUP($B260,'Language Penetration'!$B$1:$AY$14,MATCH('Compile data Working'!#REF!,'Language Penetration'!$B$1:$AY$1,0),0)</f>
        <v>#REF!</v>
      </c>
      <c r="P260" s="103" t="str">
        <f t="shared" ca="1" si="6"/>
        <v>5%</v>
      </c>
      <c r="Q260" s="101" t="e">
        <f t="shared" ca="1" si="7"/>
        <v>#REF!</v>
      </c>
      <c r="R260" s="104">
        <f>VLOOKUP(D:D,ranking!W:X,2,0)</f>
        <v>0.6</v>
      </c>
      <c r="S260" s="59">
        <v>2.6437680000000003E-4</v>
      </c>
    </row>
    <row r="261" spans="1:19" ht="15.75" x14ac:dyDescent="0.25">
      <c r="A261" s="46" t="s">
        <v>1057</v>
      </c>
      <c r="B261" s="46" t="s">
        <v>85</v>
      </c>
      <c r="C261" s="99" t="s">
        <v>112</v>
      </c>
      <c r="D261" s="46" t="s">
        <v>431</v>
      </c>
      <c r="E261" s="100" t="s">
        <v>211</v>
      </c>
      <c r="F261" s="98" t="s">
        <v>457</v>
      </c>
      <c r="G261" s="100" t="s">
        <v>1462</v>
      </c>
      <c r="H261" s="98" t="s">
        <v>33</v>
      </c>
      <c r="I261" s="106">
        <v>44804</v>
      </c>
      <c r="J261" s="98">
        <v>10</v>
      </c>
      <c r="K261" s="46" t="s">
        <v>173</v>
      </c>
      <c r="L261" s="101">
        <f>VLOOKUP($C261&amp;$E261,'Updated SES'!A:N,14,0)</f>
        <v>0.15089999999999998</v>
      </c>
      <c r="M261" s="102">
        <f>VLOOKUP($K261,'Genre Penetration'!A:B,2,0)*VLOOKUP($C261&amp;$E261,'Updated SES'!A:I,9,0)</f>
        <v>0.46750000000000003</v>
      </c>
      <c r="N261" s="102">
        <f>VLOOKUP(K:K,'Genre Penetration'!A:C,3,0)*VLOOKUP($C261&amp;$E261,'Updated SES'!A:J,10,0)</f>
        <v>6.7500000000000004E-2</v>
      </c>
      <c r="O261" s="102" t="e">
        <f>VLOOKUP($B261,'Language Penetration'!$B$1:$AY$14,MATCH('Compile data Working'!#REF!,'Language Penetration'!$B$1:$AY$1,0),0)</f>
        <v>#REF!</v>
      </c>
      <c r="P261" s="103" t="str">
        <f t="shared" ref="P261:P324" ca="1" si="8">IF(ISBLANK(J261),RANDBETWEEN(1,2)&amp;"%",IF(J261=1,RANDBETWEEN(35,40)&amp;"%",IF(J261=2,RANDBETWEEN(30,35)&amp;"%",IF(J261=3,RANDBETWEEN(25,30)&amp;"%",IF(J261=4,RANDBETWEEN(20,25)&amp;"%",IF(J261=5,RANDBETWEEN(15,20)&amp;"%",IF(J261=6,RANDBETWEEN(10,15)&amp;"%",IF(J261=7,RANDBETWEEN(8,10)&amp;"%",IF(J261=8,RANDBETWEEN(6,8)&amp;"%",IF(J261=9,RANDBETWEEN(4,6)&amp;"%",IF(J261=10,RANDBETWEEN(2,4)&amp;"%","")))))))))))</f>
        <v>3%</v>
      </c>
      <c r="Q261" s="101" t="e">
        <f t="shared" ref="Q261:Q324" ca="1" si="9">IFERROR(L261*(M261+N261)*O261*P261,RANDBETWEEN(1,2)%*L261*(M261+N261)*O261)</f>
        <v>#REF!</v>
      </c>
      <c r="R261" s="104">
        <f>VLOOKUP(D:D,ranking!W:X,2,0)</f>
        <v>0.6</v>
      </c>
      <c r="S261" s="59">
        <v>1.9375559999999998E-4</v>
      </c>
    </row>
    <row r="262" spans="1:19" ht="15.75" x14ac:dyDescent="0.25">
      <c r="A262" s="46" t="s">
        <v>1057</v>
      </c>
      <c r="B262" s="46" t="s">
        <v>85</v>
      </c>
      <c r="C262" s="99" t="s">
        <v>114</v>
      </c>
      <c r="D262" s="46" t="s">
        <v>434</v>
      </c>
      <c r="E262" s="100" t="s">
        <v>211</v>
      </c>
      <c r="F262" s="98" t="s">
        <v>458</v>
      </c>
      <c r="G262" s="100" t="s">
        <v>1636</v>
      </c>
      <c r="H262" s="98" t="s">
        <v>21</v>
      </c>
      <c r="I262" s="53">
        <v>45975</v>
      </c>
      <c r="J262" s="98">
        <v>1</v>
      </c>
      <c r="K262" s="98" t="s">
        <v>262</v>
      </c>
      <c r="L262" s="101">
        <f>VLOOKUP($C262&amp;$E262,'Updated SES'!A:N,14,0)</f>
        <v>25.340000000000003</v>
      </c>
      <c r="M262" s="102">
        <f>VLOOKUP($K262,'Genre Penetration'!A:B,2,0)*VLOOKUP($C262&amp;$E262,'Updated SES'!A:I,9,0)</f>
        <v>0.5494</v>
      </c>
      <c r="N262" s="102">
        <f>VLOOKUP(K:K,'Genre Penetration'!A:C,3,0)*VLOOKUP($C262&amp;$E262,'Updated SES'!A:J,10,0)</f>
        <v>5.9400000000000001E-2</v>
      </c>
      <c r="O262" s="102" t="e">
        <f>VLOOKUP($B262,'Language Penetration'!$B$1:$AY$14,MATCH('Compile data Working'!#REF!,'Language Penetration'!$B$1:$AY$1,0),0)</f>
        <v>#REF!</v>
      </c>
      <c r="P262" s="103" t="str">
        <f t="shared" ca="1" si="8"/>
        <v>38%</v>
      </c>
      <c r="Q262" s="101" t="e">
        <f t="shared" ca="1" si="9"/>
        <v>#REF!</v>
      </c>
      <c r="R262" s="104">
        <f>VLOOKUP(D:D,ranking!W:X,2,0)</f>
        <v>0.7</v>
      </c>
      <c r="S262" s="59">
        <v>1.6414319488000004</v>
      </c>
    </row>
    <row r="263" spans="1:19" ht="15.75" x14ac:dyDescent="0.25">
      <c r="A263" s="46" t="s">
        <v>1057</v>
      </c>
      <c r="B263" s="46" t="s">
        <v>85</v>
      </c>
      <c r="C263" s="99" t="s">
        <v>114</v>
      </c>
      <c r="D263" s="46" t="s">
        <v>431</v>
      </c>
      <c r="E263" s="100" t="s">
        <v>211</v>
      </c>
      <c r="F263" s="98" t="s">
        <v>457</v>
      </c>
      <c r="G263" s="100" t="s">
        <v>1692</v>
      </c>
      <c r="H263" s="98" t="s">
        <v>20</v>
      </c>
      <c r="I263" s="106">
        <v>45903</v>
      </c>
      <c r="J263" s="98">
        <v>2</v>
      </c>
      <c r="K263" s="98" t="s">
        <v>216</v>
      </c>
      <c r="L263" s="101">
        <f>VLOOKUP($C263&amp;$E263,'Updated SES'!A:N,14,0)</f>
        <v>25.340000000000003</v>
      </c>
      <c r="M263" s="102">
        <f>VLOOKUP($K263,'Genre Penetration'!A:B,2,0)*VLOOKUP($C263&amp;$E263,'Updated SES'!A:I,9,0)</f>
        <v>0.41</v>
      </c>
      <c r="N263" s="102">
        <f>VLOOKUP(K:K,'Genre Penetration'!A:C,3,0)*VLOOKUP($C263&amp;$E263,'Updated SES'!A:J,10,0)</f>
        <v>0.09</v>
      </c>
      <c r="O263" s="102" t="e">
        <f>VLOOKUP($B263,'Language Penetration'!$B$1:$AY$14,MATCH('Compile data Working'!#REF!,'Language Penetration'!$B$1:$AY$1,0),0)</f>
        <v>#REF!</v>
      </c>
      <c r="P263" s="103" t="str">
        <f t="shared" ca="1" si="8"/>
        <v>33%</v>
      </c>
      <c r="Q263" s="101" t="e">
        <f t="shared" ca="1" si="9"/>
        <v>#REF!</v>
      </c>
      <c r="R263" s="104">
        <f>VLOOKUP(D:D,ranking!W:X,2,0)</f>
        <v>0.6</v>
      </c>
      <c r="S263" s="59">
        <v>0.48652800000000013</v>
      </c>
    </row>
    <row r="264" spans="1:19" ht="15.75" x14ac:dyDescent="0.25">
      <c r="A264" s="46" t="s">
        <v>1057</v>
      </c>
      <c r="B264" s="46" t="s">
        <v>85</v>
      </c>
      <c r="C264" s="99" t="s">
        <v>114</v>
      </c>
      <c r="D264" s="46" t="s">
        <v>434</v>
      </c>
      <c r="E264" s="100" t="s">
        <v>211</v>
      </c>
      <c r="F264" s="98" t="s">
        <v>458</v>
      </c>
      <c r="G264" s="100" t="s">
        <v>1693</v>
      </c>
      <c r="H264" s="98" t="s">
        <v>20</v>
      </c>
      <c r="I264" s="46" t="s">
        <v>254</v>
      </c>
      <c r="J264" s="98">
        <v>3</v>
      </c>
      <c r="K264" s="98" t="s">
        <v>202</v>
      </c>
      <c r="L264" s="101">
        <f>VLOOKUP($C264&amp;$E264,'Updated SES'!A:N,14,0)</f>
        <v>25.340000000000003</v>
      </c>
      <c r="M264" s="102">
        <f>VLOOKUP($K264,'Genre Penetration'!A:B,2,0)*VLOOKUP($C264&amp;$E264,'Updated SES'!A:I,9,0)</f>
        <v>0.59039999999999992</v>
      </c>
      <c r="N264" s="102">
        <f>VLOOKUP(K:K,'Genre Penetration'!A:C,3,0)*VLOOKUP($C264&amp;$E264,'Updated SES'!A:J,10,0)</f>
        <v>5.04E-2</v>
      </c>
      <c r="O264" s="102" t="e">
        <f>VLOOKUP($B264,'Language Penetration'!$B$1:$AY$14,MATCH('Compile data Working'!#REF!,'Language Penetration'!$B$1:$AY$1,0),0)</f>
        <v>#REF!</v>
      </c>
      <c r="P264" s="103" t="str">
        <f t="shared" ca="1" si="8"/>
        <v>30%</v>
      </c>
      <c r="Q264" s="101" t="e">
        <f t="shared" ca="1" si="9"/>
        <v>#REF!</v>
      </c>
      <c r="R264" s="104">
        <f>VLOOKUP(D:D,ranking!W:X,2,0)</f>
        <v>0.7</v>
      </c>
      <c r="S264" s="59">
        <v>0.65925760319999993</v>
      </c>
    </row>
    <row r="265" spans="1:19" ht="15.75" x14ac:dyDescent="0.25">
      <c r="A265" s="46" t="s">
        <v>1057</v>
      </c>
      <c r="B265" s="46" t="s">
        <v>85</v>
      </c>
      <c r="C265" s="99" t="s">
        <v>114</v>
      </c>
      <c r="D265" s="46" t="s">
        <v>431</v>
      </c>
      <c r="E265" s="100" t="s">
        <v>211</v>
      </c>
      <c r="F265" s="98" t="s">
        <v>457</v>
      </c>
      <c r="G265" s="100" t="s">
        <v>1694</v>
      </c>
      <c r="H265" s="98" t="s">
        <v>20</v>
      </c>
      <c r="I265" s="106">
        <v>44323</v>
      </c>
      <c r="J265" s="98">
        <v>4</v>
      </c>
      <c r="K265" s="98" t="s">
        <v>216</v>
      </c>
      <c r="L265" s="101">
        <f>VLOOKUP($C265&amp;$E265,'Updated SES'!A:N,14,0)</f>
        <v>25.340000000000003</v>
      </c>
      <c r="M265" s="102">
        <f>VLOOKUP($K265,'Genre Penetration'!A:B,2,0)*VLOOKUP($C265&amp;$E265,'Updated SES'!A:I,9,0)</f>
        <v>0.41</v>
      </c>
      <c r="N265" s="102">
        <f>VLOOKUP(K:K,'Genre Penetration'!A:C,3,0)*VLOOKUP($C265&amp;$E265,'Updated SES'!A:J,10,0)</f>
        <v>0.09</v>
      </c>
      <c r="O265" s="102" t="e">
        <f>VLOOKUP($B265,'Language Penetration'!$B$1:$AY$14,MATCH('Compile data Working'!#REF!,'Language Penetration'!$B$1:$AY$1,0),0)</f>
        <v>#REF!</v>
      </c>
      <c r="P265" s="103" t="str">
        <f t="shared" ca="1" si="8"/>
        <v>20%</v>
      </c>
      <c r="Q265" s="101" t="e">
        <f t="shared" ca="1" si="9"/>
        <v>#REF!</v>
      </c>
      <c r="R265" s="104">
        <f>VLOOKUP(D:D,ranking!W:X,2,0)</f>
        <v>0.6</v>
      </c>
      <c r="S265" s="59">
        <v>0.30408000000000007</v>
      </c>
    </row>
    <row r="266" spans="1:19" ht="15.75" x14ac:dyDescent="0.25">
      <c r="A266" s="46" t="s">
        <v>1057</v>
      </c>
      <c r="B266" s="46" t="s">
        <v>85</v>
      </c>
      <c r="C266" s="99" t="s">
        <v>114</v>
      </c>
      <c r="D266" s="46" t="s">
        <v>434</v>
      </c>
      <c r="E266" s="100" t="s">
        <v>211</v>
      </c>
      <c r="F266" s="98" t="s">
        <v>458</v>
      </c>
      <c r="G266" s="100" t="s">
        <v>1695</v>
      </c>
      <c r="H266" s="98" t="s">
        <v>21</v>
      </c>
      <c r="I266" s="53">
        <v>45961</v>
      </c>
      <c r="J266" s="98">
        <v>5</v>
      </c>
      <c r="K266" s="98" t="s">
        <v>97</v>
      </c>
      <c r="L266" s="101">
        <f>VLOOKUP($C266&amp;$E266,'Updated SES'!A:N,14,0)</f>
        <v>25.340000000000003</v>
      </c>
      <c r="M266" s="102">
        <f>VLOOKUP($K266,'Genre Penetration'!A:B,2,0)*VLOOKUP($C266&amp;$E266,'Updated SES'!A:I,9,0)</f>
        <v>0.55759999999999998</v>
      </c>
      <c r="N266" s="102">
        <f>VLOOKUP(K:K,'Genre Penetration'!A:C,3,0)*VLOOKUP($C266&amp;$E266,'Updated SES'!A:J,10,0)</f>
        <v>5.7599999999999998E-2</v>
      </c>
      <c r="O266" s="102" t="e">
        <f>VLOOKUP($B266,'Language Penetration'!$B$1:$AY$14,MATCH('Compile data Working'!#REF!,'Language Penetration'!$B$1:$AY$1,0),0)</f>
        <v>#REF!</v>
      </c>
      <c r="P266" s="103" t="str">
        <f t="shared" ca="1" si="8"/>
        <v>16%</v>
      </c>
      <c r="Q266" s="101" t="e">
        <f t="shared" ca="1" si="9"/>
        <v>#REF!</v>
      </c>
      <c r="R266" s="104">
        <f>VLOOKUP(D:D,ranking!W:X,2,0)</f>
        <v>0.7</v>
      </c>
      <c r="S266" s="59">
        <v>0.74204439680000012</v>
      </c>
    </row>
    <row r="267" spans="1:19" ht="15.75" x14ac:dyDescent="0.25">
      <c r="A267" s="46" t="s">
        <v>1057</v>
      </c>
      <c r="B267" s="46" t="s">
        <v>85</v>
      </c>
      <c r="C267" s="99" t="s">
        <v>114</v>
      </c>
      <c r="D267" s="46" t="s">
        <v>434</v>
      </c>
      <c r="E267" s="100" t="s">
        <v>211</v>
      </c>
      <c r="F267" s="98" t="s">
        <v>458</v>
      </c>
      <c r="G267" s="100" t="s">
        <v>1696</v>
      </c>
      <c r="H267" s="98" t="s">
        <v>77</v>
      </c>
      <c r="I267" s="106">
        <v>45877</v>
      </c>
      <c r="J267" s="98">
        <v>6</v>
      </c>
      <c r="K267" s="98" t="s">
        <v>173</v>
      </c>
      <c r="L267" s="101">
        <f>VLOOKUP($C267&amp;$E267,'Updated SES'!A:N,14,0)</f>
        <v>25.340000000000003</v>
      </c>
      <c r="M267" s="102">
        <f>VLOOKUP($K267,'Genre Penetration'!A:B,2,0)*VLOOKUP($C267&amp;$E267,'Updated SES'!A:I,9,0)</f>
        <v>0.45100000000000001</v>
      </c>
      <c r="N267" s="102">
        <f>VLOOKUP(K:K,'Genre Penetration'!A:C,3,0)*VLOOKUP($C267&amp;$E267,'Updated SES'!A:J,10,0)</f>
        <v>8.1000000000000003E-2</v>
      </c>
      <c r="O267" s="102">
        <v>0.5</v>
      </c>
      <c r="P267" s="103" t="str">
        <f t="shared" ca="1" si="8"/>
        <v>14%</v>
      </c>
      <c r="Q267" s="101">
        <f t="shared" ca="1" si="9"/>
        <v>0.94366160000000032</v>
      </c>
      <c r="R267" s="104">
        <f>VLOOKUP(D:D,ranking!W:X,2,0)</f>
        <v>0.7</v>
      </c>
      <c r="S267" s="59">
        <v>0.66056312000000017</v>
      </c>
    </row>
    <row r="268" spans="1:19" ht="15.75" x14ac:dyDescent="0.25">
      <c r="A268" s="46" t="s">
        <v>1057</v>
      </c>
      <c r="B268" s="46" t="s">
        <v>85</v>
      </c>
      <c r="C268" s="99" t="s">
        <v>114</v>
      </c>
      <c r="D268" s="46" t="s">
        <v>434</v>
      </c>
      <c r="E268" s="100" t="s">
        <v>211</v>
      </c>
      <c r="F268" s="98" t="s">
        <v>458</v>
      </c>
      <c r="G268" s="100" t="s">
        <v>1697</v>
      </c>
      <c r="H268" s="98" t="s">
        <v>20</v>
      </c>
      <c r="I268" s="53">
        <v>45975</v>
      </c>
      <c r="J268" s="98">
        <v>7</v>
      </c>
      <c r="K268" s="98" t="s">
        <v>1752</v>
      </c>
      <c r="L268" s="101">
        <f>VLOOKUP($C268&amp;$E268,'Updated SES'!A:N,14,0)</f>
        <v>25.340000000000003</v>
      </c>
      <c r="M268" s="102">
        <f>VLOOKUP($K268,'Genre Penetration'!A:B,2,0)*VLOOKUP($C268&amp;$E268,'Updated SES'!A:I,9,0)</f>
        <v>0.47559999999999991</v>
      </c>
      <c r="N268" s="102">
        <f>VLOOKUP(K:K,'Genre Penetration'!A:C,3,0)*VLOOKUP($C268&amp;$E268,'Updated SES'!A:J,10,0)</f>
        <v>7.5600000000000001E-2</v>
      </c>
      <c r="O268" s="102" t="e">
        <f>VLOOKUP($B268,'Language Penetration'!$B$1:$AY$14,MATCH('Compile data Working'!#REF!,'Language Penetration'!$B$1:$AY$1,0),0)</f>
        <v>#REF!</v>
      </c>
      <c r="P268" s="103" t="str">
        <f t="shared" ca="1" si="8"/>
        <v>8%</v>
      </c>
      <c r="Q268" s="101" t="e">
        <f t="shared" ca="1" si="9"/>
        <v>#REF!</v>
      </c>
      <c r="R268" s="104">
        <f>VLOOKUP(D:D,ranking!W:X,2,0)</f>
        <v>0.7</v>
      </c>
      <c r="S268" s="59">
        <v>0.17598934079999998</v>
      </c>
    </row>
    <row r="269" spans="1:19" ht="15.75" x14ac:dyDescent="0.25">
      <c r="A269" s="46" t="s">
        <v>1057</v>
      </c>
      <c r="B269" s="46" t="s">
        <v>85</v>
      </c>
      <c r="C269" s="99" t="s">
        <v>114</v>
      </c>
      <c r="D269" s="46" t="s">
        <v>434</v>
      </c>
      <c r="E269" s="100" t="s">
        <v>211</v>
      </c>
      <c r="F269" s="98" t="s">
        <v>458</v>
      </c>
      <c r="G269" s="100" t="s">
        <v>1698</v>
      </c>
      <c r="H269" s="98" t="s">
        <v>77</v>
      </c>
      <c r="I269" s="53">
        <v>45954</v>
      </c>
      <c r="J269" s="98">
        <v>8</v>
      </c>
      <c r="K269" s="98" t="s">
        <v>262</v>
      </c>
      <c r="L269" s="101">
        <f>VLOOKUP($C269&amp;$E269,'Updated SES'!A:N,14,0)</f>
        <v>25.340000000000003</v>
      </c>
      <c r="M269" s="102">
        <f>VLOOKUP($K269,'Genre Penetration'!A:B,2,0)*VLOOKUP($C269&amp;$E269,'Updated SES'!A:I,9,0)</f>
        <v>0.5494</v>
      </c>
      <c r="N269" s="102">
        <f>VLOOKUP(K:K,'Genre Penetration'!A:C,3,0)*VLOOKUP($C269&amp;$E269,'Updated SES'!A:J,10,0)</f>
        <v>5.9400000000000001E-2</v>
      </c>
      <c r="O269" s="102">
        <v>0.5</v>
      </c>
      <c r="P269" s="103" t="str">
        <f t="shared" ca="1" si="8"/>
        <v>6%</v>
      </c>
      <c r="Q269" s="101">
        <f t="shared" ca="1" si="9"/>
        <v>0.46280976000000007</v>
      </c>
      <c r="R269" s="104">
        <f>VLOOKUP(D:D,ranking!W:X,2,0)</f>
        <v>0.7</v>
      </c>
      <c r="S269" s="59">
        <v>0.37796130400000011</v>
      </c>
    </row>
    <row r="270" spans="1:19" ht="15.75" x14ac:dyDescent="0.25">
      <c r="A270" s="46" t="s">
        <v>1057</v>
      </c>
      <c r="B270" s="46" t="s">
        <v>85</v>
      </c>
      <c r="C270" s="99" t="s">
        <v>114</v>
      </c>
      <c r="D270" s="46" t="s">
        <v>434</v>
      </c>
      <c r="E270" s="100" t="s">
        <v>211</v>
      </c>
      <c r="F270" s="98" t="s">
        <v>458</v>
      </c>
      <c r="G270" s="100" t="s">
        <v>1699</v>
      </c>
      <c r="H270" s="98" t="s">
        <v>1755</v>
      </c>
      <c r="I270" s="53">
        <v>45968</v>
      </c>
      <c r="J270" s="98">
        <v>9</v>
      </c>
      <c r="K270" s="98" t="s">
        <v>1753</v>
      </c>
      <c r="L270" s="101">
        <f>VLOOKUP($C270&amp;$E270,'Updated SES'!A:N,14,0)</f>
        <v>25.340000000000003</v>
      </c>
      <c r="M270" s="102">
        <f>VLOOKUP($K270,'Genre Penetration'!A:B,2,0)*VLOOKUP($C270&amp;$E270,'Updated SES'!A:I,9,0)</f>
        <v>0.36899999999999999</v>
      </c>
      <c r="N270" s="102">
        <f>VLOOKUP(K:K,'Genre Penetration'!A:C,3,0)*VLOOKUP($C270&amp;$E270,'Updated SES'!A:J,10,0)</f>
        <v>9.9000000000000005E-2</v>
      </c>
      <c r="O270" s="102">
        <v>0.7</v>
      </c>
      <c r="P270" s="103" t="str">
        <f t="shared" ca="1" si="8"/>
        <v>4%</v>
      </c>
      <c r="Q270" s="101">
        <f t="shared" ca="1" si="9"/>
        <v>0.33205536000000002</v>
      </c>
      <c r="R270" s="104">
        <f>VLOOKUP(D:D,ranking!W:X,2,0)</f>
        <v>0.7</v>
      </c>
      <c r="S270" s="59">
        <v>0.232438752</v>
      </c>
    </row>
    <row r="271" spans="1:19" ht="15.75" x14ac:dyDescent="0.25">
      <c r="A271" s="46" t="s">
        <v>1057</v>
      </c>
      <c r="B271" s="46" t="s">
        <v>85</v>
      </c>
      <c r="C271" s="99" t="s">
        <v>114</v>
      </c>
      <c r="D271" s="46" t="s">
        <v>431</v>
      </c>
      <c r="E271" s="100" t="s">
        <v>211</v>
      </c>
      <c r="F271" s="98" t="s">
        <v>457</v>
      </c>
      <c r="G271" s="100" t="s">
        <v>1700</v>
      </c>
      <c r="H271" s="98" t="s">
        <v>20</v>
      </c>
      <c r="I271" s="106">
        <v>42736</v>
      </c>
      <c r="J271" s="98">
        <v>10</v>
      </c>
      <c r="K271" s="98" t="s">
        <v>325</v>
      </c>
      <c r="L271" s="101">
        <f>VLOOKUP($C271&amp;$E271,'Updated SES'!A:N,14,0)</f>
        <v>25.340000000000003</v>
      </c>
      <c r="M271" s="102">
        <f>VLOOKUP($K271,'Genre Penetration'!A:B,2,0)*VLOOKUP($C271&amp;$E271,'Updated SES'!A:I,9,0)</f>
        <v>0.47559999999999991</v>
      </c>
      <c r="N271" s="102">
        <f>VLOOKUP(K:K,'Genre Penetration'!A:C,3,0)*VLOOKUP($C271&amp;$E271,'Updated SES'!A:J,10,0)</f>
        <v>7.5600000000000001E-2</v>
      </c>
      <c r="O271" s="102" t="e">
        <f>VLOOKUP($B271,'Language Penetration'!$B$1:$AY$14,MATCH('Compile data Working'!#REF!,'Language Penetration'!$B$1:$AY$1,0),0)</f>
        <v>#REF!</v>
      </c>
      <c r="P271" s="103" t="str">
        <f t="shared" ca="1" si="8"/>
        <v>3%</v>
      </c>
      <c r="Q271" s="101" t="e">
        <f t="shared" ca="1" si="9"/>
        <v>#REF!</v>
      </c>
      <c r="R271" s="104">
        <f>VLOOKUP(D:D,ranking!W:X,2,0)</f>
        <v>0.6</v>
      </c>
      <c r="S271" s="59">
        <v>3.3521779199999997E-2</v>
      </c>
    </row>
    <row r="272" spans="1:19" ht="15.75" x14ac:dyDescent="0.25">
      <c r="A272" s="46" t="s">
        <v>1057</v>
      </c>
      <c r="B272" s="46" t="s">
        <v>85</v>
      </c>
      <c r="C272" s="99" t="s">
        <v>117</v>
      </c>
      <c r="D272" s="46" t="s">
        <v>434</v>
      </c>
      <c r="E272" s="100" t="s">
        <v>211</v>
      </c>
      <c r="F272" s="98" t="s">
        <v>458</v>
      </c>
      <c r="G272" s="100" t="s">
        <v>1540</v>
      </c>
      <c r="H272" s="98" t="s">
        <v>26</v>
      </c>
      <c r="I272" s="53">
        <v>45968</v>
      </c>
      <c r="J272" s="98">
        <v>1</v>
      </c>
      <c r="K272" s="98" t="s">
        <v>103</v>
      </c>
      <c r="L272" s="101">
        <f>VLOOKUP($C272&amp;$E272,'Updated SES'!A:N,14,0)</f>
        <v>0.15089999999999998</v>
      </c>
      <c r="M272" s="102">
        <f>VLOOKUP($K272,'Genre Penetration'!A:B,2,0)*VLOOKUP($C272&amp;$E272,'Updated SES'!A:I,9,0)</f>
        <v>0.52539999999999998</v>
      </c>
      <c r="N272" s="102">
        <f>VLOOKUP(K:K,'Genre Penetration'!A:C,3,0)*VLOOKUP($C272&amp;$E272,'Updated SES'!A:J,10,0)</f>
        <v>7.5399999999999995E-2</v>
      </c>
      <c r="O272" s="102" t="e">
        <f>VLOOKUP($B272,'Language Penetration'!$B$1:$AY$14,MATCH('Compile data Working'!#REF!,'Language Penetration'!$B$1:$AY$1,0),0)</f>
        <v>#REF!</v>
      </c>
      <c r="P272" s="103" t="str">
        <f t="shared" ca="1" si="8"/>
        <v>38%</v>
      </c>
      <c r="Q272" s="101" t="e">
        <f t="shared" ca="1" si="9"/>
        <v>#REF!</v>
      </c>
      <c r="R272" s="104">
        <f>VLOOKUP(D:D,ranking!W:X,2,0)</f>
        <v>0.7</v>
      </c>
      <c r="S272" s="59">
        <v>1.776950112E-3</v>
      </c>
    </row>
    <row r="273" spans="1:19" ht="15.75" x14ac:dyDescent="0.25">
      <c r="A273" s="46" t="s">
        <v>1057</v>
      </c>
      <c r="B273" s="46" t="s">
        <v>85</v>
      </c>
      <c r="C273" s="99" t="s">
        <v>117</v>
      </c>
      <c r="D273" s="46" t="s">
        <v>434</v>
      </c>
      <c r="E273" s="100" t="s">
        <v>211</v>
      </c>
      <c r="F273" s="98" t="s">
        <v>458</v>
      </c>
      <c r="G273" s="100" t="s">
        <v>1701</v>
      </c>
      <c r="H273" s="98" t="s">
        <v>26</v>
      </c>
      <c r="I273" s="53">
        <v>45976</v>
      </c>
      <c r="J273" s="98">
        <v>2</v>
      </c>
      <c r="K273" s="98" t="s">
        <v>216</v>
      </c>
      <c r="L273" s="101">
        <f>VLOOKUP($C273&amp;$E273,'Updated SES'!A:N,14,0)</f>
        <v>0.15089999999999998</v>
      </c>
      <c r="M273" s="102">
        <f>VLOOKUP($K273,'Genre Penetration'!A:B,2,0)*VLOOKUP($C273&amp;$E273,'Updated SES'!A:I,9,0)</f>
        <v>0.37</v>
      </c>
      <c r="N273" s="102">
        <f>VLOOKUP(K:K,'Genre Penetration'!A:C,3,0)*VLOOKUP($C273&amp;$E273,'Updated SES'!A:J,10,0)</f>
        <v>0.13</v>
      </c>
      <c r="O273" s="102" t="e">
        <f>VLOOKUP($B273,'Language Penetration'!$B$1:$AY$14,MATCH('Compile data Working'!#REF!,'Language Penetration'!$B$1:$AY$1,0),0)</f>
        <v>#REF!</v>
      </c>
      <c r="P273" s="103" t="str">
        <f t="shared" ca="1" si="8"/>
        <v>35%</v>
      </c>
      <c r="Q273" s="101" t="e">
        <f t="shared" ca="1" si="9"/>
        <v>#REF!</v>
      </c>
      <c r="R273" s="104">
        <f>VLOOKUP(D:D,ranking!W:X,2,0)</f>
        <v>0.7</v>
      </c>
      <c r="S273" s="59">
        <v>1.183056E-3</v>
      </c>
    </row>
    <row r="274" spans="1:19" ht="15.75" x14ac:dyDescent="0.25">
      <c r="A274" s="46" t="s">
        <v>1057</v>
      </c>
      <c r="B274" s="46" t="s">
        <v>85</v>
      </c>
      <c r="C274" s="99" t="s">
        <v>117</v>
      </c>
      <c r="D274" s="46" t="s">
        <v>434</v>
      </c>
      <c r="E274" s="100" t="s">
        <v>211</v>
      </c>
      <c r="F274" s="98" t="s">
        <v>458</v>
      </c>
      <c r="G274" s="100" t="s">
        <v>1383</v>
      </c>
      <c r="H274" s="98" t="s">
        <v>26</v>
      </c>
      <c r="I274" s="106">
        <v>45926</v>
      </c>
      <c r="J274" s="98">
        <v>3</v>
      </c>
      <c r="K274" s="98" t="s">
        <v>216</v>
      </c>
      <c r="L274" s="101">
        <f>VLOOKUP($C274&amp;$E274,'Updated SES'!A:N,14,0)</f>
        <v>0.15089999999999998</v>
      </c>
      <c r="M274" s="102">
        <f>VLOOKUP($K274,'Genre Penetration'!A:B,2,0)*VLOOKUP($C274&amp;$E274,'Updated SES'!A:I,9,0)</f>
        <v>0.37</v>
      </c>
      <c r="N274" s="102">
        <f>VLOOKUP(K:K,'Genre Penetration'!A:C,3,0)*VLOOKUP($C274&amp;$E274,'Updated SES'!A:J,10,0)</f>
        <v>0.13</v>
      </c>
      <c r="O274" s="102" t="e">
        <f>VLOOKUP($B274,'Language Penetration'!$B$1:$AY$14,MATCH('Compile data Working'!#REF!,'Language Penetration'!$B$1:$AY$1,0),0)</f>
        <v>#REF!</v>
      </c>
      <c r="P274" s="103" t="str">
        <f t="shared" ca="1" si="8"/>
        <v>28%</v>
      </c>
      <c r="Q274" s="101" t="e">
        <f t="shared" ca="1" si="9"/>
        <v>#REF!</v>
      </c>
      <c r="R274" s="104">
        <f>VLOOKUP(D:D,ranking!W:X,2,0)</f>
        <v>0.7</v>
      </c>
      <c r="S274" s="59">
        <v>1.035174E-3</v>
      </c>
    </row>
    <row r="275" spans="1:19" ht="15.75" x14ac:dyDescent="0.25">
      <c r="A275" s="46" t="s">
        <v>1057</v>
      </c>
      <c r="B275" s="46" t="s">
        <v>85</v>
      </c>
      <c r="C275" s="99" t="s">
        <v>117</v>
      </c>
      <c r="D275" s="46" t="s">
        <v>434</v>
      </c>
      <c r="E275" s="100" t="s">
        <v>211</v>
      </c>
      <c r="F275" s="98" t="s">
        <v>458</v>
      </c>
      <c r="G275" s="100" t="s">
        <v>1581</v>
      </c>
      <c r="H275" s="98" t="s">
        <v>26</v>
      </c>
      <c r="I275" s="53">
        <v>45969</v>
      </c>
      <c r="J275" s="98">
        <v>4</v>
      </c>
      <c r="K275" s="98" t="s">
        <v>167</v>
      </c>
      <c r="L275" s="101">
        <f>VLOOKUP($C275&amp;$E275,'Updated SES'!A:N,14,0)</f>
        <v>0.15089999999999998</v>
      </c>
      <c r="M275" s="102">
        <f>VLOOKUP($K275,'Genre Penetration'!A:B,2,0)*VLOOKUP($C275&amp;$E275,'Updated SES'!A:I,9,0)</f>
        <v>0.49580000000000002</v>
      </c>
      <c r="N275" s="102">
        <f>VLOOKUP(K:K,'Genre Penetration'!A:C,3,0)*VLOOKUP($C275&amp;$E275,'Updated SES'!A:J,10,0)</f>
        <v>8.5800000000000001E-2</v>
      </c>
      <c r="O275" s="102" t="e">
        <f>VLOOKUP($B275,'Language Penetration'!$B$1:$AY$14,MATCH('Compile data Working'!#REF!,'Language Penetration'!$B$1:$AY$1,0),0)</f>
        <v>#REF!</v>
      </c>
      <c r="P275" s="103" t="str">
        <f t="shared" ca="1" si="8"/>
        <v>23%</v>
      </c>
      <c r="Q275" s="101" t="e">
        <f t="shared" ca="1" si="9"/>
        <v>#REF!</v>
      </c>
      <c r="R275" s="104">
        <f>VLOOKUP(D:D,ranking!W:X,2,0)</f>
        <v>0.7</v>
      </c>
      <c r="S275" s="59">
        <v>8.6008171199999993E-4</v>
      </c>
    </row>
    <row r="276" spans="1:19" ht="15.75" x14ac:dyDescent="0.25">
      <c r="A276" s="46" t="s">
        <v>1057</v>
      </c>
      <c r="B276" s="46" t="s">
        <v>85</v>
      </c>
      <c r="C276" s="99" t="s">
        <v>117</v>
      </c>
      <c r="D276" s="46" t="s">
        <v>434</v>
      </c>
      <c r="E276" s="100" t="s">
        <v>211</v>
      </c>
      <c r="F276" s="100" t="s">
        <v>458</v>
      </c>
      <c r="G276" s="100" t="s">
        <v>1702</v>
      </c>
      <c r="H276" s="98" t="s">
        <v>26</v>
      </c>
      <c r="I276" s="53">
        <v>45962</v>
      </c>
      <c r="J276" s="98">
        <v>5</v>
      </c>
      <c r="K276" s="100" t="s">
        <v>172</v>
      </c>
      <c r="L276" s="101">
        <f>VLOOKUP($C276&amp;$E276,'Updated SES'!A:N,14,0)</f>
        <v>0.15089999999999998</v>
      </c>
      <c r="M276" s="102">
        <f>VLOOKUP($K276,'Genre Penetration'!A:B,2,0)*VLOOKUP($C276&amp;$E276,'Updated SES'!A:I,9,0)</f>
        <v>0.29599999999999999</v>
      </c>
      <c r="N276" s="102">
        <f>VLOOKUP(K:K,'Genre Penetration'!A:C,3,0)*VLOOKUP($C276&amp;$E276,'Updated SES'!A:J,10,0)</f>
        <v>0.156</v>
      </c>
      <c r="O276" s="102" t="e">
        <f>VLOOKUP($B276,'Language Penetration'!$B$1:$AY$14,MATCH('Compile data Working'!#REF!,'Language Penetration'!$B$1:$AY$1,0),0)</f>
        <v>#REF!</v>
      </c>
      <c r="P276" s="103" t="str">
        <f t="shared" ca="1" si="8"/>
        <v>18%</v>
      </c>
      <c r="Q276" s="101" t="e">
        <f t="shared" ca="1" si="9"/>
        <v>#REF!</v>
      </c>
      <c r="R276" s="104">
        <f>VLOOKUP(D:D,ranking!W:X,2,0)</f>
        <v>0.7</v>
      </c>
      <c r="S276" s="59">
        <v>5.6816264399999991E-4</v>
      </c>
    </row>
    <row r="277" spans="1:19" x14ac:dyDescent="0.25">
      <c r="A277" s="46" t="s">
        <v>1057</v>
      </c>
      <c r="B277" s="46" t="s">
        <v>85</v>
      </c>
      <c r="C277" s="46" t="s">
        <v>117</v>
      </c>
      <c r="D277" s="46" t="s">
        <v>434</v>
      </c>
      <c r="E277" s="98" t="s">
        <v>211</v>
      </c>
      <c r="F277" s="100" t="s">
        <v>458</v>
      </c>
      <c r="G277" s="98" t="s">
        <v>1451</v>
      </c>
      <c r="H277" s="98" t="s">
        <v>26</v>
      </c>
      <c r="I277" s="53">
        <v>45948</v>
      </c>
      <c r="J277" s="98">
        <v>6</v>
      </c>
      <c r="K277" s="98" t="s">
        <v>216</v>
      </c>
      <c r="L277" s="101">
        <f>VLOOKUP($C277&amp;$E277,'Updated SES'!A:N,14,0)</f>
        <v>0.15089999999999998</v>
      </c>
      <c r="M277" s="102">
        <f>VLOOKUP($K277,'Genre Penetration'!A:B,2,0)*VLOOKUP($C277&amp;$E277,'Updated SES'!A:I,9,0)</f>
        <v>0.37</v>
      </c>
      <c r="N277" s="102">
        <f>VLOOKUP(K:K,'Genre Penetration'!A:C,3,0)*VLOOKUP($C277&amp;$E277,'Updated SES'!A:J,10,0)</f>
        <v>0.13</v>
      </c>
      <c r="O277" s="102" t="e">
        <f>VLOOKUP($B277,'Language Penetration'!$B$1:$AY$14,MATCH('Compile data Working'!#REF!,'Language Penetration'!$B$1:$AY$1,0),0)</f>
        <v>#REF!</v>
      </c>
      <c r="P277" s="103" t="str">
        <f t="shared" ca="1" si="8"/>
        <v>15%</v>
      </c>
      <c r="Q277" s="101" t="e">
        <f t="shared" ca="1" si="9"/>
        <v>#REF!</v>
      </c>
      <c r="R277" s="104">
        <f>VLOOKUP(D:D,ranking!W:X,2,0)</f>
        <v>0.7</v>
      </c>
      <c r="S277" s="59">
        <v>4.4364599999999991E-4</v>
      </c>
    </row>
    <row r="278" spans="1:19" x14ac:dyDescent="0.25">
      <c r="A278" s="46" t="s">
        <v>1057</v>
      </c>
      <c r="B278" s="46" t="s">
        <v>85</v>
      </c>
      <c r="C278" s="46" t="s">
        <v>117</v>
      </c>
      <c r="D278" s="46" t="s">
        <v>434</v>
      </c>
      <c r="E278" s="46" t="s">
        <v>211</v>
      </c>
      <c r="F278" s="100" t="s">
        <v>458</v>
      </c>
      <c r="G278" s="46" t="s">
        <v>1326</v>
      </c>
      <c r="H278" s="98" t="s">
        <v>26</v>
      </c>
      <c r="I278" s="106">
        <v>45940</v>
      </c>
      <c r="J278" s="98">
        <v>7</v>
      </c>
      <c r="K278" s="100" t="s">
        <v>262</v>
      </c>
      <c r="L278" s="101">
        <f>VLOOKUP($C278&amp;$E278,'Updated SES'!A:N,14,0)</f>
        <v>0.15089999999999998</v>
      </c>
      <c r="M278" s="102">
        <f>VLOOKUP($K278,'Genre Penetration'!A:B,2,0)*VLOOKUP($C278&amp;$E278,'Updated SES'!A:I,9,0)</f>
        <v>0.49580000000000002</v>
      </c>
      <c r="N278" s="102">
        <f>VLOOKUP(K:K,'Genre Penetration'!A:C,3,0)*VLOOKUP($C278&amp;$E278,'Updated SES'!A:J,10,0)</f>
        <v>8.5800000000000001E-2</v>
      </c>
      <c r="O278" s="102" t="e">
        <f>VLOOKUP($B278,'Language Penetration'!$B$1:$AY$14,MATCH('Compile data Working'!#REF!,'Language Penetration'!$B$1:$AY$1,0),0)</f>
        <v>#REF!</v>
      </c>
      <c r="P278" s="103" t="str">
        <f t="shared" ca="1" si="8"/>
        <v>10%</v>
      </c>
      <c r="Q278" s="101" t="e">
        <f t="shared" ca="1" si="9"/>
        <v>#REF!</v>
      </c>
      <c r="R278" s="104">
        <f>VLOOKUP(D:D,ranking!W:X,2,0)</f>
        <v>0.7</v>
      </c>
      <c r="S278" s="59">
        <v>3.4403268479999994E-4</v>
      </c>
    </row>
    <row r="279" spans="1:19" x14ac:dyDescent="0.25">
      <c r="A279" s="46" t="s">
        <v>1057</v>
      </c>
      <c r="B279" s="46" t="s">
        <v>85</v>
      </c>
      <c r="C279" s="46" t="s">
        <v>117</v>
      </c>
      <c r="D279" s="46" t="s">
        <v>434</v>
      </c>
      <c r="E279" s="98" t="s">
        <v>211</v>
      </c>
      <c r="F279" s="100" t="s">
        <v>458</v>
      </c>
      <c r="G279" s="98" t="s">
        <v>1385</v>
      </c>
      <c r="H279" s="98" t="s">
        <v>26</v>
      </c>
      <c r="I279" s="106">
        <v>45883</v>
      </c>
      <c r="J279" s="98">
        <v>8</v>
      </c>
      <c r="K279" s="100" t="s">
        <v>124</v>
      </c>
      <c r="L279" s="101">
        <f>VLOOKUP($C279&amp;$E279,'Updated SES'!A:N,14,0)</f>
        <v>0.15089999999999998</v>
      </c>
      <c r="M279" s="102">
        <f>VLOOKUP($K279,'Genre Penetration'!A:B,2,0)*VLOOKUP($C279&amp;$E279,'Updated SES'!A:I,9,0)</f>
        <v>0.33300000000000002</v>
      </c>
      <c r="N279" s="102">
        <f>VLOOKUP(K:K,'Genre Penetration'!A:C,3,0)*VLOOKUP($C279&amp;$E279,'Updated SES'!A:J,10,0)</f>
        <v>0.14300000000000002</v>
      </c>
      <c r="O279" s="102" t="e">
        <f>VLOOKUP($B279,'Language Penetration'!$B$1:$AY$14,MATCH('Compile data Working'!#REF!,'Language Penetration'!$B$1:$AY$1,0),0)</f>
        <v>#REF!</v>
      </c>
      <c r="P279" s="103" t="str">
        <f t="shared" ca="1" si="8"/>
        <v>6%</v>
      </c>
      <c r="Q279" s="101" t="e">
        <f t="shared" ca="1" si="9"/>
        <v>#REF!</v>
      </c>
      <c r="R279" s="104">
        <f>VLOOKUP(D:D,ranking!W:X,2,0)</f>
        <v>0.7</v>
      </c>
      <c r="S279" s="59">
        <v>2.4637141200000004E-4</v>
      </c>
    </row>
    <row r="280" spans="1:19" x14ac:dyDescent="0.25">
      <c r="A280" s="46" t="s">
        <v>1057</v>
      </c>
      <c r="B280" s="46" t="s">
        <v>85</v>
      </c>
      <c r="C280" s="46" t="s">
        <v>117</v>
      </c>
      <c r="D280" s="46" t="s">
        <v>434</v>
      </c>
      <c r="E280" s="98" t="s">
        <v>211</v>
      </c>
      <c r="F280" s="100" t="s">
        <v>458</v>
      </c>
      <c r="G280" s="46" t="s">
        <v>1511</v>
      </c>
      <c r="H280" s="98" t="s">
        <v>26</v>
      </c>
      <c r="I280" s="106">
        <v>45849</v>
      </c>
      <c r="J280" s="98">
        <v>9</v>
      </c>
      <c r="K280" s="100" t="s">
        <v>279</v>
      </c>
      <c r="L280" s="101">
        <f>VLOOKUP($C280&amp;$E280,'Updated SES'!A:N,14,0)</f>
        <v>0.15089999999999998</v>
      </c>
      <c r="M280" s="102">
        <f>VLOOKUP($K280,'Genre Penetration'!A:B,2,0)*VLOOKUP($C280&amp;$E280,'Updated SES'!A:I,9,0)</f>
        <v>0.33300000000000002</v>
      </c>
      <c r="N280" s="102">
        <f>VLOOKUP(K:K,'Genre Penetration'!A:C,3,0)*VLOOKUP($C280&amp;$E280,'Updated SES'!A:J,10,0)</f>
        <v>0.14300000000000002</v>
      </c>
      <c r="O280" s="102" t="e">
        <f>VLOOKUP($B280,'Language Penetration'!$B$1:$AY$14,MATCH('Compile data Working'!#REF!,'Language Penetration'!$B$1:$AY$1,0),0)</f>
        <v>#REF!</v>
      </c>
      <c r="P280" s="103" t="str">
        <f t="shared" ca="1" si="8"/>
        <v>6%</v>
      </c>
      <c r="Q280" s="101" t="e">
        <f t="shared" ca="1" si="9"/>
        <v>#REF!</v>
      </c>
      <c r="R280" s="104">
        <f>VLOOKUP(D:D,ranking!W:X,2,0)</f>
        <v>0.7</v>
      </c>
      <c r="S280" s="59">
        <v>1.7597958000000003E-4</v>
      </c>
    </row>
    <row r="281" spans="1:19" x14ac:dyDescent="0.25">
      <c r="A281" s="46" t="s">
        <v>1057</v>
      </c>
      <c r="B281" s="46" t="s">
        <v>85</v>
      </c>
      <c r="C281" s="46" t="s">
        <v>117</v>
      </c>
      <c r="D281" s="46" t="s">
        <v>432</v>
      </c>
      <c r="E281" s="98" t="s">
        <v>211</v>
      </c>
      <c r="F281" s="100" t="s">
        <v>458</v>
      </c>
      <c r="G281" s="98" t="s">
        <v>1384</v>
      </c>
      <c r="H281" s="98" t="s">
        <v>26</v>
      </c>
      <c r="I281" s="106">
        <v>45928</v>
      </c>
      <c r="J281" s="98">
        <v>10</v>
      </c>
      <c r="K281" s="100" t="s">
        <v>176</v>
      </c>
      <c r="L281" s="101">
        <f>VLOOKUP($C281&amp;$E281,'Updated SES'!A:N,14,0)</f>
        <v>0.15089999999999998</v>
      </c>
      <c r="M281" s="102">
        <f>VLOOKUP($K281,'Genre Penetration'!A:B,2,0)*VLOOKUP($C281&amp;$E281,'Updated SES'!A:I,9,0)</f>
        <v>0.45879999999999999</v>
      </c>
      <c r="N281" s="102">
        <f>VLOOKUP(K:K,'Genre Penetration'!A:C,3,0)*VLOOKUP($C281&amp;$E281,'Updated SES'!A:J,10,0)</f>
        <v>9.8799999999999999E-2</v>
      </c>
      <c r="O281" s="102" t="e">
        <f>VLOOKUP($B281,'Language Penetration'!$B$1:$AY$14,MATCH('Compile data Working'!#REF!,'Language Penetration'!$B$1:$AY$1,0),0)</f>
        <v>#REF!</v>
      </c>
      <c r="P281" s="103" t="str">
        <f t="shared" ca="1" si="8"/>
        <v>4%</v>
      </c>
      <c r="Q281" s="101" t="e">
        <f t="shared" ca="1" si="9"/>
        <v>#REF!</v>
      </c>
      <c r="R281" s="104">
        <f>VLOOKUP(D:D,ranking!W:X,2,0)</f>
        <v>0.8</v>
      </c>
      <c r="S281" s="59">
        <v>9.4238860799999993E-5</v>
      </c>
    </row>
    <row r="282" spans="1:19" x14ac:dyDescent="0.25">
      <c r="A282" s="46" t="s">
        <v>1057</v>
      </c>
      <c r="B282" s="46" t="s">
        <v>85</v>
      </c>
      <c r="C282" s="46" t="s">
        <v>117</v>
      </c>
      <c r="D282" s="46" t="s">
        <v>433</v>
      </c>
      <c r="E282" s="98" t="s">
        <v>219</v>
      </c>
      <c r="F282" s="98" t="s">
        <v>457</v>
      </c>
      <c r="G282" s="98" t="s">
        <v>1623</v>
      </c>
      <c r="H282" s="98" t="s">
        <v>26</v>
      </c>
      <c r="I282" s="53">
        <v>45975</v>
      </c>
      <c r="J282" s="98">
        <v>1</v>
      </c>
      <c r="K282" s="98" t="s">
        <v>124</v>
      </c>
      <c r="L282" s="101">
        <f>VLOOKUP($C282&amp;$E282,'Updated SES'!A:N,14,0)</f>
        <v>0.15089999999999998</v>
      </c>
      <c r="M282" s="102">
        <f>VLOOKUP($K282,'Genre Penetration'!A:B,2,0)*VLOOKUP($C282&amp;$E282,'Updated SES'!A:I,9,0)</f>
        <v>0.33300000000000002</v>
      </c>
      <c r="N282" s="102">
        <f>VLOOKUP(K:K,'Genre Penetration'!A:C,3,0)*VLOOKUP($C282&amp;$E282,'Updated SES'!A:J,10,0)</f>
        <v>0.14300000000000002</v>
      </c>
      <c r="O282" s="102" t="e">
        <f>VLOOKUP($B282,'Language Penetration'!$B$1:$AY$14,MATCH('Compile data Working'!#REF!,'Language Penetration'!$B$1:$AY$1,0),0)</f>
        <v>#REF!</v>
      </c>
      <c r="P282" s="103" t="str">
        <f t="shared" ca="1" si="8"/>
        <v>37%</v>
      </c>
      <c r="Q282" s="101" t="e">
        <f t="shared" ca="1" si="9"/>
        <v>#REF!</v>
      </c>
      <c r="R282" s="104">
        <f>VLOOKUP(D:D,ranking!W:X,2,0)</f>
        <v>0.6</v>
      </c>
      <c r="S282" s="59">
        <v>1.086045408E-3</v>
      </c>
    </row>
    <row r="283" spans="1:19" x14ac:dyDescent="0.25">
      <c r="A283" s="46" t="s">
        <v>1057</v>
      </c>
      <c r="B283" s="46" t="s">
        <v>85</v>
      </c>
      <c r="C283" s="46" t="s">
        <v>117</v>
      </c>
      <c r="D283" s="46" t="s">
        <v>456</v>
      </c>
      <c r="E283" s="46" t="s">
        <v>219</v>
      </c>
      <c r="F283" s="98" t="s">
        <v>457</v>
      </c>
      <c r="G283" s="46" t="s">
        <v>1703</v>
      </c>
      <c r="H283" s="98" t="s">
        <v>26</v>
      </c>
      <c r="I283" s="53">
        <v>45971</v>
      </c>
      <c r="J283" s="98">
        <v>2</v>
      </c>
      <c r="K283" s="98" t="s">
        <v>216</v>
      </c>
      <c r="L283" s="101">
        <f>VLOOKUP($C283&amp;$E283,'Updated SES'!A:N,14,0)</f>
        <v>0.15089999999999998</v>
      </c>
      <c r="M283" s="102">
        <f>VLOOKUP($K283,'Genre Penetration'!A:B,2,0)*VLOOKUP($C283&amp;$E283,'Updated SES'!A:I,9,0)</f>
        <v>0.37</v>
      </c>
      <c r="N283" s="102">
        <f>VLOOKUP(K:K,'Genre Penetration'!A:C,3,0)*VLOOKUP($C283&amp;$E283,'Updated SES'!A:J,10,0)</f>
        <v>0.13</v>
      </c>
      <c r="O283" s="102" t="e">
        <f>VLOOKUP($B283,'Language Penetration'!$B$1:$AY$14,MATCH('Compile data Working'!#REF!,'Language Penetration'!$B$1:$AY$1,0),0)</f>
        <v>#REF!</v>
      </c>
      <c r="P283" s="103" t="str">
        <f t="shared" ca="1" si="8"/>
        <v>33%</v>
      </c>
      <c r="Q283" s="101" t="e">
        <f t="shared" ca="1" si="9"/>
        <v>#REF!</v>
      </c>
      <c r="R283" s="104">
        <f>VLOOKUP(D:D,ranking!W:X,2,0)</f>
        <v>0.3</v>
      </c>
      <c r="S283" s="59">
        <v>5.2286849999999996E-4</v>
      </c>
    </row>
    <row r="284" spans="1:19" x14ac:dyDescent="0.25">
      <c r="A284" s="46" t="s">
        <v>1057</v>
      </c>
      <c r="B284" s="46" t="s">
        <v>85</v>
      </c>
      <c r="C284" s="46" t="s">
        <v>117</v>
      </c>
      <c r="D284" s="46" t="s">
        <v>456</v>
      </c>
      <c r="E284" s="98" t="s">
        <v>219</v>
      </c>
      <c r="F284" s="98" t="s">
        <v>457</v>
      </c>
      <c r="G284" s="98" t="s">
        <v>1704</v>
      </c>
      <c r="H284" s="98" t="s">
        <v>26</v>
      </c>
      <c r="I284" s="106">
        <v>45089</v>
      </c>
      <c r="J284" s="98">
        <v>3</v>
      </c>
      <c r="K284" s="98" t="s">
        <v>1195</v>
      </c>
      <c r="L284" s="101">
        <f>VLOOKUP($C284&amp;$E284,'Updated SES'!A:N,14,0)</f>
        <v>0.15089999999999998</v>
      </c>
      <c r="M284" s="102">
        <f>VLOOKUP($K284,'Genre Penetration'!A:B,2,0)*VLOOKUP($C284&amp;$E284,'Updated SES'!A:I,9,0)</f>
        <v>0.38480000000000003</v>
      </c>
      <c r="N284" s="102">
        <f>VLOOKUP(K:K,'Genre Penetration'!A:C,3,0)*VLOOKUP($C284&amp;$E284,'Updated SES'!A:J,10,0)</f>
        <v>0.12479999999999999</v>
      </c>
      <c r="O284" s="102" t="e">
        <f>VLOOKUP($B284,'Language Penetration'!$B$1:$AY$14,MATCH('Compile data Working'!#REF!,'Language Penetration'!$B$1:$AY$1,0),0)</f>
        <v>#REF!</v>
      </c>
      <c r="P284" s="103" t="str">
        <f t="shared" ca="1" si="8"/>
        <v>27%</v>
      </c>
      <c r="Q284" s="101" t="e">
        <f t="shared" ca="1" si="9"/>
        <v>#REF!</v>
      </c>
      <c r="R284" s="104">
        <f>VLOOKUP(D:D,ranking!W:X,2,0)</f>
        <v>0.3</v>
      </c>
      <c r="S284" s="59">
        <v>4.5216400320000007E-4</v>
      </c>
    </row>
    <row r="285" spans="1:19" x14ac:dyDescent="0.25">
      <c r="A285" s="46" t="s">
        <v>1057</v>
      </c>
      <c r="B285" s="46" t="s">
        <v>85</v>
      </c>
      <c r="C285" s="46" t="s">
        <v>117</v>
      </c>
      <c r="D285" s="46" t="s">
        <v>456</v>
      </c>
      <c r="E285" s="98" t="s">
        <v>219</v>
      </c>
      <c r="F285" s="98" t="s">
        <v>457</v>
      </c>
      <c r="G285" s="46" t="s">
        <v>1705</v>
      </c>
      <c r="H285" s="98" t="s">
        <v>26</v>
      </c>
      <c r="I285" s="106">
        <v>44364</v>
      </c>
      <c r="J285" s="98">
        <v>4</v>
      </c>
      <c r="K285" s="98" t="s">
        <v>124</v>
      </c>
      <c r="L285" s="101">
        <f>VLOOKUP($C285&amp;$E285,'Updated SES'!A:N,14,0)</f>
        <v>0.15089999999999998</v>
      </c>
      <c r="M285" s="102">
        <f>VLOOKUP($K285,'Genre Penetration'!A:B,2,0)*VLOOKUP($C285&amp;$E285,'Updated SES'!A:I,9,0)</f>
        <v>0.33300000000000002</v>
      </c>
      <c r="N285" s="102">
        <f>VLOOKUP(K:K,'Genre Penetration'!A:C,3,0)*VLOOKUP($C285&amp;$E285,'Updated SES'!A:J,10,0)</f>
        <v>0.14300000000000002</v>
      </c>
      <c r="O285" s="102" t="e">
        <f>VLOOKUP($B285,'Language Penetration'!$B$1:$AY$14,MATCH('Compile data Working'!#REF!,'Language Penetration'!$B$1:$AY$1,0),0)</f>
        <v>#REF!</v>
      </c>
      <c r="P285" s="103" t="str">
        <f t="shared" ca="1" si="8"/>
        <v>20%</v>
      </c>
      <c r="Q285" s="101" t="e">
        <f t="shared" ca="1" si="9"/>
        <v>#REF!</v>
      </c>
      <c r="R285" s="104">
        <f>VLOOKUP(D:D,ranking!W:X,2,0)</f>
        <v>0.3</v>
      </c>
      <c r="S285" s="59">
        <v>3.3184720800000001E-4</v>
      </c>
    </row>
    <row r="286" spans="1:19" x14ac:dyDescent="0.25">
      <c r="A286" s="46" t="s">
        <v>1057</v>
      </c>
      <c r="B286" s="46" t="s">
        <v>85</v>
      </c>
      <c r="C286" s="46" t="s">
        <v>117</v>
      </c>
      <c r="D286" s="46" t="s">
        <v>456</v>
      </c>
      <c r="E286" s="98" t="s">
        <v>219</v>
      </c>
      <c r="F286" s="98" t="s">
        <v>457</v>
      </c>
      <c r="G286" s="98" t="s">
        <v>1706</v>
      </c>
      <c r="H286" s="98" t="s">
        <v>26</v>
      </c>
      <c r="I286" s="106">
        <v>45572</v>
      </c>
      <c r="J286" s="100">
        <v>5</v>
      </c>
      <c r="K286" s="98" t="s">
        <v>216</v>
      </c>
      <c r="L286" s="101">
        <f>VLOOKUP($C286&amp;$E286,'Updated SES'!A:N,14,0)</f>
        <v>0.15089999999999998</v>
      </c>
      <c r="M286" s="102">
        <f>VLOOKUP($K286,'Genre Penetration'!A:B,2,0)*VLOOKUP($C286&amp;$E286,'Updated SES'!A:I,9,0)</f>
        <v>0.37</v>
      </c>
      <c r="N286" s="102">
        <f>VLOOKUP(K:K,'Genre Penetration'!A:C,3,0)*VLOOKUP($C286&amp;$E286,'Updated SES'!A:J,10,0)</f>
        <v>0.13</v>
      </c>
      <c r="O286" s="102" t="e">
        <f>VLOOKUP($B286,'Language Penetration'!$B$1:$AY$14,MATCH('Compile data Working'!#REF!,'Language Penetration'!$B$1:$AY$1,0),0)</f>
        <v>#REF!</v>
      </c>
      <c r="P286" s="103" t="str">
        <f t="shared" ca="1" si="8"/>
        <v>20%</v>
      </c>
      <c r="Q286" s="101" t="e">
        <f t="shared" ca="1" si="9"/>
        <v>#REF!</v>
      </c>
      <c r="R286" s="104">
        <f>VLOOKUP(D:D,ranking!W:X,2,0)</f>
        <v>0.3</v>
      </c>
      <c r="S286" s="59">
        <v>3.1689000000000001E-4</v>
      </c>
    </row>
    <row r="287" spans="1:19" x14ac:dyDescent="0.25">
      <c r="A287" s="46" t="s">
        <v>1057</v>
      </c>
      <c r="B287" s="46" t="s">
        <v>85</v>
      </c>
      <c r="C287" s="46" t="s">
        <v>117</v>
      </c>
      <c r="D287" s="46" t="s">
        <v>456</v>
      </c>
      <c r="E287" s="98" t="s">
        <v>219</v>
      </c>
      <c r="F287" s="98" t="s">
        <v>457</v>
      </c>
      <c r="G287" s="98" t="s">
        <v>1707</v>
      </c>
      <c r="H287" s="98" t="s">
        <v>26</v>
      </c>
      <c r="I287" s="106">
        <v>45866</v>
      </c>
      <c r="J287" s="100">
        <v>6</v>
      </c>
      <c r="K287" s="98" t="s">
        <v>216</v>
      </c>
      <c r="L287" s="101">
        <f>VLOOKUP($C287&amp;$E287,'Updated SES'!A:N,14,0)</f>
        <v>0.15089999999999998</v>
      </c>
      <c r="M287" s="102">
        <f>VLOOKUP($K287,'Genre Penetration'!A:B,2,0)*VLOOKUP($C287&amp;$E287,'Updated SES'!A:I,9,0)</f>
        <v>0.37</v>
      </c>
      <c r="N287" s="102">
        <f>VLOOKUP(K:K,'Genre Penetration'!A:C,3,0)*VLOOKUP($C287&amp;$E287,'Updated SES'!A:J,10,0)</f>
        <v>0.13</v>
      </c>
      <c r="O287" s="102" t="e">
        <f>VLOOKUP($B287,'Language Penetration'!$B$1:$AY$14,MATCH('Compile data Working'!#REF!,'Language Penetration'!$B$1:$AY$1,0),0)</f>
        <v>#REF!</v>
      </c>
      <c r="P287" s="103" t="str">
        <f t="shared" ca="1" si="8"/>
        <v>13%</v>
      </c>
      <c r="Q287" s="101" t="e">
        <f t="shared" ca="1" si="9"/>
        <v>#REF!</v>
      </c>
      <c r="R287" s="104">
        <f>VLOOKUP(D:D,ranking!W:X,2,0)</f>
        <v>0.3</v>
      </c>
      <c r="S287" s="59">
        <v>2.3766749999999995E-4</v>
      </c>
    </row>
    <row r="288" spans="1:19" x14ac:dyDescent="0.25">
      <c r="A288" s="46" t="s">
        <v>1057</v>
      </c>
      <c r="B288" s="46" t="s">
        <v>85</v>
      </c>
      <c r="C288" s="46" t="s">
        <v>117</v>
      </c>
      <c r="D288" s="46" t="s">
        <v>456</v>
      </c>
      <c r="E288" s="46" t="s">
        <v>219</v>
      </c>
      <c r="F288" s="98" t="s">
        <v>457</v>
      </c>
      <c r="G288" s="46" t="s">
        <v>1708</v>
      </c>
      <c r="H288" s="98" t="s">
        <v>26</v>
      </c>
      <c r="I288" s="106">
        <v>45951</v>
      </c>
      <c r="J288" s="100">
        <v>7</v>
      </c>
      <c r="K288" s="98" t="s">
        <v>939</v>
      </c>
      <c r="L288" s="101">
        <f>VLOOKUP($C288&amp;$E288,'Updated SES'!A:N,14,0)</f>
        <v>0.15089999999999998</v>
      </c>
      <c r="M288" s="102">
        <f>VLOOKUP($K288,'Genre Penetration'!A:B,2,0)*VLOOKUP($C288&amp;$E288,'Updated SES'!A:I,9,0)</f>
        <v>0.37</v>
      </c>
      <c r="N288" s="102">
        <f>VLOOKUP(K:K,'Genre Penetration'!A:C,3,0)*VLOOKUP($C288&amp;$E288,'Updated SES'!A:J,10,0)</f>
        <v>0.13</v>
      </c>
      <c r="O288" s="102" t="e">
        <f>VLOOKUP($B288,'Language Penetration'!$B$1:$AY$14,MATCH('Compile data Working'!#REF!,'Language Penetration'!$B$1:$AY$1,0),0)</f>
        <v>#REF!</v>
      </c>
      <c r="P288" s="103" t="str">
        <f t="shared" ca="1" si="8"/>
        <v>9%</v>
      </c>
      <c r="Q288" s="101" t="e">
        <f t="shared" ca="1" si="9"/>
        <v>#REF!</v>
      </c>
      <c r="R288" s="104">
        <f>VLOOKUP(D:D,ranking!W:X,2,0)</f>
        <v>0.3</v>
      </c>
      <c r="S288" s="59">
        <v>1.4260049999999998E-4</v>
      </c>
    </row>
    <row r="289" spans="1:19" x14ac:dyDescent="0.25">
      <c r="A289" s="46" t="s">
        <v>1057</v>
      </c>
      <c r="B289" s="46" t="s">
        <v>85</v>
      </c>
      <c r="C289" s="46" t="s">
        <v>117</v>
      </c>
      <c r="D289" s="46" t="s">
        <v>433</v>
      </c>
      <c r="E289" s="98" t="s">
        <v>219</v>
      </c>
      <c r="F289" s="98" t="s">
        <v>457</v>
      </c>
      <c r="G289" s="98" t="s">
        <v>1561</v>
      </c>
      <c r="H289" s="98" t="s">
        <v>26</v>
      </c>
      <c r="I289" s="106">
        <v>45939</v>
      </c>
      <c r="J289" s="100">
        <v>8</v>
      </c>
      <c r="K289" s="98" t="s">
        <v>1196</v>
      </c>
      <c r="L289" s="101">
        <f>VLOOKUP($C289&amp;$E289,'Updated SES'!A:N,14,0)</f>
        <v>0.15089999999999998</v>
      </c>
      <c r="M289" s="102">
        <f>VLOOKUP($K289,'Genre Penetration'!A:B,2,0)*VLOOKUP($C289&amp;$E289,'Updated SES'!A:I,9,0)</f>
        <v>0.37</v>
      </c>
      <c r="N289" s="102">
        <f>VLOOKUP(K:K,'Genre Penetration'!A:C,3,0)*VLOOKUP($C289&amp;$E289,'Updated SES'!A:J,10,0)</f>
        <v>0.13</v>
      </c>
      <c r="O289" s="102" t="e">
        <f>VLOOKUP($B289,'Language Penetration'!$B$1:$AY$14,MATCH('Compile data Working'!#REF!,'Language Penetration'!$B$1:$AY$1,0),0)</f>
        <v>#REF!</v>
      </c>
      <c r="P289" s="103" t="str">
        <f t="shared" ca="1" si="8"/>
        <v>6%</v>
      </c>
      <c r="Q289" s="101" t="e">
        <f t="shared" ca="1" si="9"/>
        <v>#REF!</v>
      </c>
      <c r="R289" s="104">
        <f>VLOOKUP(D:D,ranking!W:X,2,0)</f>
        <v>0.6</v>
      </c>
      <c r="S289" s="59">
        <v>1.9013399999999998E-4</v>
      </c>
    </row>
    <row r="290" spans="1:19" x14ac:dyDescent="0.25">
      <c r="A290" s="46" t="s">
        <v>1057</v>
      </c>
      <c r="B290" s="46" t="s">
        <v>85</v>
      </c>
      <c r="C290" s="46" t="s">
        <v>117</v>
      </c>
      <c r="D290" s="46" t="s">
        <v>456</v>
      </c>
      <c r="E290" s="98" t="s">
        <v>219</v>
      </c>
      <c r="F290" s="98" t="s">
        <v>457</v>
      </c>
      <c r="G290" s="98" t="s">
        <v>1709</v>
      </c>
      <c r="H290" s="98" t="s">
        <v>26</v>
      </c>
      <c r="I290" s="106">
        <v>45768</v>
      </c>
      <c r="J290" s="100">
        <v>9</v>
      </c>
      <c r="K290" s="98" t="s">
        <v>216</v>
      </c>
      <c r="L290" s="101">
        <f>VLOOKUP($C290&amp;$E290,'Updated SES'!A:N,14,0)</f>
        <v>0.15089999999999998</v>
      </c>
      <c r="M290" s="102">
        <f>VLOOKUP($K290,'Genre Penetration'!A:B,2,0)*VLOOKUP($C290&amp;$E290,'Updated SES'!A:I,9,0)</f>
        <v>0.37</v>
      </c>
      <c r="N290" s="102">
        <f>VLOOKUP(K:K,'Genre Penetration'!A:C,3,0)*VLOOKUP($C290&amp;$E290,'Updated SES'!A:J,10,0)</f>
        <v>0.13</v>
      </c>
      <c r="O290" s="102" t="e">
        <f>VLOOKUP($B290,'Language Penetration'!$B$1:$AY$14,MATCH('Compile data Working'!#REF!,'Language Penetration'!$B$1:$AY$1,0),0)</f>
        <v>#REF!</v>
      </c>
      <c r="P290" s="103" t="str">
        <f t="shared" ca="1" si="8"/>
        <v>6%</v>
      </c>
      <c r="Q290" s="101" t="e">
        <f t="shared" ca="1" si="9"/>
        <v>#REF!</v>
      </c>
      <c r="R290" s="104">
        <f>VLOOKUP(D:D,ranking!W:X,2,0)</f>
        <v>0.3</v>
      </c>
      <c r="S290" s="59">
        <v>9.506699999999999E-5</v>
      </c>
    </row>
    <row r="291" spans="1:19" x14ac:dyDescent="0.25">
      <c r="A291" s="46" t="s">
        <v>1057</v>
      </c>
      <c r="B291" s="46" t="s">
        <v>85</v>
      </c>
      <c r="C291" s="46" t="s">
        <v>117</v>
      </c>
      <c r="D291" s="46" t="s">
        <v>456</v>
      </c>
      <c r="E291" s="98" t="s">
        <v>219</v>
      </c>
      <c r="F291" s="98" t="s">
        <v>457</v>
      </c>
      <c r="G291" s="98" t="s">
        <v>1710</v>
      </c>
      <c r="H291" s="98" t="s">
        <v>26</v>
      </c>
      <c r="I291" s="106">
        <v>45889</v>
      </c>
      <c r="J291" s="100">
        <v>10</v>
      </c>
      <c r="K291" s="98" t="s">
        <v>1196</v>
      </c>
      <c r="L291" s="101">
        <f>VLOOKUP($C291&amp;$E291,'Updated SES'!A:N,14,0)</f>
        <v>0.15089999999999998</v>
      </c>
      <c r="M291" s="102">
        <f>VLOOKUP($K291,'Genre Penetration'!A:B,2,0)*VLOOKUP($C291&amp;$E291,'Updated SES'!A:I,9,0)</f>
        <v>0.37</v>
      </c>
      <c r="N291" s="102">
        <f>VLOOKUP(K:K,'Genre Penetration'!A:C,3,0)*VLOOKUP($C291&amp;$E291,'Updated SES'!A:J,10,0)</f>
        <v>0.13</v>
      </c>
      <c r="O291" s="102" t="e">
        <f>VLOOKUP($B291,'Language Penetration'!$B$1:$AY$14,MATCH('Compile data Working'!#REF!,'Language Penetration'!$B$1:$AY$1,0),0)</f>
        <v>#REF!</v>
      </c>
      <c r="P291" s="103" t="str">
        <f t="shared" ca="1" si="8"/>
        <v>2%</v>
      </c>
      <c r="Q291" s="101" t="e">
        <f t="shared" ca="1" si="9"/>
        <v>#REF!</v>
      </c>
      <c r="R291" s="104">
        <f>VLOOKUP(D:D,ranking!W:X,2,0)</f>
        <v>0.3</v>
      </c>
      <c r="S291" s="59">
        <v>4.7533499999999995E-5</v>
      </c>
    </row>
    <row r="292" spans="1:19" x14ac:dyDescent="0.25">
      <c r="A292" s="46" t="s">
        <v>1057</v>
      </c>
      <c r="B292" s="46" t="s">
        <v>85</v>
      </c>
      <c r="C292" s="46" t="s">
        <v>1229</v>
      </c>
      <c r="D292" s="46" t="s">
        <v>433</v>
      </c>
      <c r="E292" s="100" t="s">
        <v>219</v>
      </c>
      <c r="F292" s="98" t="s">
        <v>457</v>
      </c>
      <c r="G292" s="100" t="s">
        <v>1444</v>
      </c>
      <c r="H292" s="98" t="s">
        <v>19</v>
      </c>
      <c r="I292" s="107">
        <v>43143</v>
      </c>
      <c r="J292" s="100">
        <v>1</v>
      </c>
      <c r="K292" s="98" t="s">
        <v>216</v>
      </c>
      <c r="L292" s="101">
        <f>VLOOKUP($C292&amp;$E292,'Updated SES'!A:N,14,0)</f>
        <v>78.939870000000013</v>
      </c>
      <c r="M292" s="102">
        <f>VLOOKUP($K292,'Genre Penetration'!A:B,2,0)*VLOOKUP($C292&amp;$E292,'Updated SES'!A:I,9,0)</f>
        <v>0.4</v>
      </c>
      <c r="N292" s="102">
        <f>VLOOKUP(K:K,'Genre Penetration'!A:C,3,0)*VLOOKUP($C292&amp;$E292,'Updated SES'!A:J,10,0)</f>
        <v>0.1</v>
      </c>
      <c r="O292" s="102" t="e">
        <f>VLOOKUP($B292,'Language Penetration'!$B$1:$AY$14,MATCH('Compile data Working'!#REF!,'Language Penetration'!$B$1:$AY$1,0),0)</f>
        <v>#REF!</v>
      </c>
      <c r="P292" s="103" t="str">
        <f t="shared" ca="1" si="8"/>
        <v>36%</v>
      </c>
      <c r="Q292" s="101" t="e">
        <f t="shared" ca="1" si="9"/>
        <v>#REF!</v>
      </c>
      <c r="R292" s="104">
        <f>VLOOKUP(D:D,ranking!W:X,2,0)</f>
        <v>0.6</v>
      </c>
      <c r="S292" s="59">
        <v>3.2732118099999998</v>
      </c>
    </row>
    <row r="293" spans="1:19" x14ac:dyDescent="0.25">
      <c r="A293" s="46" t="s">
        <v>1057</v>
      </c>
      <c r="B293" s="46" t="s">
        <v>85</v>
      </c>
      <c r="C293" s="46" t="s">
        <v>1229</v>
      </c>
      <c r="D293" s="46" t="s">
        <v>433</v>
      </c>
      <c r="E293" s="100" t="s">
        <v>219</v>
      </c>
      <c r="F293" s="98" t="s">
        <v>457</v>
      </c>
      <c r="G293" s="100" t="s">
        <v>1445</v>
      </c>
      <c r="H293" s="98" t="s">
        <v>19</v>
      </c>
      <c r="I293" s="107">
        <v>45330</v>
      </c>
      <c r="J293" s="100">
        <v>2</v>
      </c>
      <c r="K293" s="46" t="s">
        <v>216</v>
      </c>
      <c r="L293" s="101">
        <f>VLOOKUP($C293&amp;$E293,'Updated SES'!A:N,14,0)</f>
        <v>78.939870000000013</v>
      </c>
      <c r="M293" s="102">
        <f>VLOOKUP($K293,'Genre Penetration'!A:B,2,0)*VLOOKUP($C293&amp;$E293,'Updated SES'!A:I,9,0)</f>
        <v>0.4</v>
      </c>
      <c r="N293" s="102">
        <f>VLOOKUP(K:K,'Genre Penetration'!A:C,3,0)*VLOOKUP($C293&amp;$E293,'Updated SES'!A:J,10,0)</f>
        <v>0.1</v>
      </c>
      <c r="O293" s="102" t="e">
        <f>VLOOKUP($B293,'Language Penetration'!$B$1:$AY$14,MATCH('Compile data Working'!#REF!,'Language Penetration'!$B$1:$AY$1,0),0)</f>
        <v>#REF!</v>
      </c>
      <c r="P293" s="103" t="str">
        <f t="shared" ca="1" si="8"/>
        <v>35%</v>
      </c>
      <c r="Q293" s="101" t="e">
        <f t="shared" ca="1" si="9"/>
        <v>#REF!</v>
      </c>
      <c r="R293" s="104">
        <f>VLOOKUP(D:D,ranking!W:X,2,0)</f>
        <v>0.6</v>
      </c>
      <c r="S293" s="59">
        <v>4.9732118100000005</v>
      </c>
    </row>
    <row r="294" spans="1:19" x14ac:dyDescent="0.25">
      <c r="A294" s="46" t="s">
        <v>1057</v>
      </c>
      <c r="B294" s="46" t="s">
        <v>85</v>
      </c>
      <c r="C294" s="46" t="s">
        <v>1229</v>
      </c>
      <c r="D294" s="46" t="s">
        <v>433</v>
      </c>
      <c r="E294" s="100" t="s">
        <v>219</v>
      </c>
      <c r="F294" s="98" t="s">
        <v>457</v>
      </c>
      <c r="G294" s="100" t="s">
        <v>1323</v>
      </c>
      <c r="H294" s="100" t="s">
        <v>19</v>
      </c>
      <c r="I294" s="53">
        <v>45939</v>
      </c>
      <c r="J294" s="98">
        <v>3</v>
      </c>
      <c r="K294" s="98" t="s">
        <v>138</v>
      </c>
      <c r="L294" s="101">
        <f>VLOOKUP($C294&amp;$E294,'Updated SES'!A:N,14,0)</f>
        <v>78.939870000000013</v>
      </c>
      <c r="M294" s="102">
        <f>VLOOKUP($K294,'Genre Penetration'!A:B,2,0)*VLOOKUP($C294&amp;$E294,'Updated SES'!A:I,9,0)</f>
        <v>0.376</v>
      </c>
      <c r="N294" s="102">
        <f>VLOOKUP(K:K,'Genre Penetration'!A:C,3,0)*VLOOKUP($C294&amp;$E294,'Updated SES'!A:J,10,0)</f>
        <v>0.10600000000000001</v>
      </c>
      <c r="O294" s="102">
        <f>VLOOKUP($B294,'Language Penetration'!$B$1:$AY$14,MATCH('Compile data Working'!$H67,'Language Penetration'!$B$1:$AY$1,0),0)</f>
        <v>0.2</v>
      </c>
      <c r="P294" s="103" t="str">
        <f t="shared" ca="1" si="8"/>
        <v>25%</v>
      </c>
      <c r="Q294" s="101">
        <f t="shared" ca="1" si="9"/>
        <v>1.9024508670000004</v>
      </c>
      <c r="R294" s="104">
        <f>VLOOKUP(D:D,ranking!W:X,2,0)</f>
        <v>0.6</v>
      </c>
      <c r="S294" s="59">
        <v>3.5613880230240009</v>
      </c>
    </row>
    <row r="295" spans="1:19" x14ac:dyDescent="0.25">
      <c r="A295" s="46" t="s">
        <v>1057</v>
      </c>
      <c r="B295" s="46" t="s">
        <v>85</v>
      </c>
      <c r="C295" s="46" t="s">
        <v>1229</v>
      </c>
      <c r="D295" s="46" t="s">
        <v>433</v>
      </c>
      <c r="E295" s="100" t="s">
        <v>219</v>
      </c>
      <c r="F295" s="98" t="s">
        <v>457</v>
      </c>
      <c r="G295" s="100" t="s">
        <v>1288</v>
      </c>
      <c r="H295" s="100" t="s">
        <v>19</v>
      </c>
      <c r="I295" s="53">
        <v>45925</v>
      </c>
      <c r="J295" s="46">
        <v>4</v>
      </c>
      <c r="K295" s="98" t="s">
        <v>167</v>
      </c>
      <c r="L295" s="101">
        <f>VLOOKUP($C295&amp;$E295,'Updated SES'!A:N,14,0)</f>
        <v>78.939870000000013</v>
      </c>
      <c r="M295" s="102">
        <f>VLOOKUP($K295,'Genre Penetration'!A:B,2,0)*VLOOKUP($C295&amp;$E295,'Updated SES'!A:I,9,0)</f>
        <v>0.53600000000000003</v>
      </c>
      <c r="N295" s="102">
        <f>VLOOKUP(K:K,'Genre Penetration'!A:C,3,0)*VLOOKUP($C295&amp;$E295,'Updated SES'!A:J,10,0)</f>
        <v>6.6000000000000003E-2</v>
      </c>
      <c r="O295" s="102" t="e">
        <f>VLOOKUP($B295,'Language Penetration'!$B$1:$AY$14,MATCH('Compile data Working'!#REF!,'Language Penetration'!$B$1:$AY$1,0),0)</f>
        <v>#REF!</v>
      </c>
      <c r="P295" s="103" t="str">
        <f t="shared" ca="1" si="8"/>
        <v>22%</v>
      </c>
      <c r="Q295" s="101" t="e">
        <f t="shared" ca="1" si="9"/>
        <v>#REF!</v>
      </c>
      <c r="R295" s="104">
        <f>VLOOKUP(D:D,ranking!W:X,2,0)</f>
        <v>0.6</v>
      </c>
      <c r="S295" s="59">
        <v>4.1058836703360004</v>
      </c>
    </row>
    <row r="296" spans="1:19" x14ac:dyDescent="0.25">
      <c r="A296" s="46" t="s">
        <v>1057</v>
      </c>
      <c r="B296" s="46" t="s">
        <v>85</v>
      </c>
      <c r="C296" s="46" t="s">
        <v>1229</v>
      </c>
      <c r="D296" s="46" t="s">
        <v>433</v>
      </c>
      <c r="E296" s="98" t="s">
        <v>219</v>
      </c>
      <c r="F296" s="98" t="s">
        <v>457</v>
      </c>
      <c r="G296" s="98" t="s">
        <v>1118</v>
      </c>
      <c r="H296" s="100" t="s">
        <v>19</v>
      </c>
      <c r="I296" s="53">
        <v>45906</v>
      </c>
      <c r="J296" s="46">
        <v>5</v>
      </c>
      <c r="K296" s="98" t="s">
        <v>1024</v>
      </c>
      <c r="L296" s="101">
        <f>VLOOKUP($C296&amp;$E296,'Updated SES'!A:N,14,0)</f>
        <v>78.939870000000013</v>
      </c>
      <c r="M296" s="102">
        <f>VLOOKUP($K296,'Genre Penetration'!A:B,2,0)*VLOOKUP($C296&amp;$E296,'Updated SES'!A:I,9,0)</f>
        <v>0.32000000000000006</v>
      </c>
      <c r="N296" s="102">
        <f>VLOOKUP(K:K,'Genre Penetration'!A:C,3,0)*VLOOKUP($C296&amp;$E296,'Updated SES'!A:J,10,0)</f>
        <v>0.12</v>
      </c>
      <c r="O296" s="102">
        <f>VLOOKUP($B296,'Language Penetration'!$B$1:$AY$14,MATCH('Compile data Working'!$H68,'Language Penetration'!$B$1:$AY$1,0),0)</f>
        <v>0.6</v>
      </c>
      <c r="P296" s="103" t="str">
        <f t="shared" ca="1" si="8"/>
        <v>15%</v>
      </c>
      <c r="Q296" s="101">
        <f t="shared" ca="1" si="9"/>
        <v>3.1260188520000005</v>
      </c>
      <c r="R296" s="104">
        <f>VLOOKUP(D:D,ranking!W:X,2,0)</f>
        <v>0.6</v>
      </c>
      <c r="S296" s="59">
        <v>2.0006520652800002</v>
      </c>
    </row>
    <row r="297" spans="1:19" x14ac:dyDescent="0.25">
      <c r="A297" s="46" t="s">
        <v>1057</v>
      </c>
      <c r="B297" s="46" t="s">
        <v>85</v>
      </c>
      <c r="C297" s="46" t="s">
        <v>1229</v>
      </c>
      <c r="D297" s="46" t="s">
        <v>433</v>
      </c>
      <c r="E297" s="98" t="s">
        <v>219</v>
      </c>
      <c r="F297" s="98" t="s">
        <v>457</v>
      </c>
      <c r="G297" s="98" t="s">
        <v>1227</v>
      </c>
      <c r="H297" s="100" t="s">
        <v>19</v>
      </c>
      <c r="I297" s="53">
        <v>45896</v>
      </c>
      <c r="J297" s="46">
        <v>6</v>
      </c>
      <c r="K297" s="98" t="s">
        <v>216</v>
      </c>
      <c r="L297" s="101">
        <f>VLOOKUP($C297&amp;$E297,'Updated SES'!A:N,14,0)</f>
        <v>78.939870000000013</v>
      </c>
      <c r="M297" s="102">
        <f>VLOOKUP($K297,'Genre Penetration'!A:B,2,0)*VLOOKUP($C297&amp;$E297,'Updated SES'!A:I,9,0)</f>
        <v>0.4</v>
      </c>
      <c r="N297" s="102">
        <f>VLOOKUP(K:K,'Genre Penetration'!A:C,3,0)*VLOOKUP($C297&amp;$E297,'Updated SES'!A:J,10,0)</f>
        <v>0.1</v>
      </c>
      <c r="O297" s="102" t="e">
        <f>VLOOKUP($B297,'Language Penetration'!$B$1:$AY$14,MATCH('Compile data Working'!#REF!,'Language Penetration'!$B$1:$AY$1,0),0)</f>
        <v>#REF!</v>
      </c>
      <c r="P297" s="103" t="str">
        <f t="shared" ca="1" si="8"/>
        <v>10%</v>
      </c>
      <c r="Q297" s="101" t="e">
        <f t="shared" ca="1" si="9"/>
        <v>#REF!</v>
      </c>
      <c r="R297" s="104">
        <f>VLOOKUP(D:D,ranking!W:X,2,0)</f>
        <v>0.6</v>
      </c>
      <c r="S297" s="59">
        <v>1.5630094260000003</v>
      </c>
    </row>
    <row r="298" spans="1:19" x14ac:dyDescent="0.25">
      <c r="A298" s="46" t="s">
        <v>1057</v>
      </c>
      <c r="B298" s="46" t="s">
        <v>85</v>
      </c>
      <c r="C298" s="46" t="s">
        <v>1229</v>
      </c>
      <c r="D298" s="46" t="s">
        <v>433</v>
      </c>
      <c r="E298" s="98" t="s">
        <v>219</v>
      </c>
      <c r="F298" s="98" t="s">
        <v>457</v>
      </c>
      <c r="G298" s="98" t="s">
        <v>1225</v>
      </c>
      <c r="H298" s="100" t="s">
        <v>19</v>
      </c>
      <c r="I298" s="53">
        <v>45882</v>
      </c>
      <c r="J298" s="46">
        <v>7</v>
      </c>
      <c r="K298" s="98" t="s">
        <v>216</v>
      </c>
      <c r="L298" s="101">
        <f>VLOOKUP($C298&amp;$E298,'Updated SES'!A:N,14,0)</f>
        <v>78.939870000000013</v>
      </c>
      <c r="M298" s="102">
        <f>VLOOKUP($K298,'Genre Penetration'!A:B,2,0)*VLOOKUP($C298&amp;$E298,'Updated SES'!A:I,9,0)</f>
        <v>0.4</v>
      </c>
      <c r="N298" s="102">
        <f>VLOOKUP(K:K,'Genre Penetration'!A:C,3,0)*VLOOKUP($C298&amp;$E298,'Updated SES'!A:J,10,0)</f>
        <v>0.1</v>
      </c>
      <c r="O298" s="102">
        <f>VLOOKUP($B298,'Language Penetration'!$B$1:$AY$14,MATCH('Compile data Working'!$H69,'Language Penetration'!$B$1:$AY$1,0),0)</f>
        <v>0.2</v>
      </c>
      <c r="P298" s="103" t="str">
        <f t="shared" ca="1" si="8"/>
        <v>10%</v>
      </c>
      <c r="Q298" s="101">
        <f t="shared" ca="1" si="9"/>
        <v>0.78939870000000023</v>
      </c>
      <c r="R298" s="104">
        <f>VLOOKUP(D:D,ranking!W:X,2,0)</f>
        <v>0.6</v>
      </c>
      <c r="S298" s="59">
        <v>1.1367341280000001</v>
      </c>
    </row>
    <row r="299" spans="1:19" x14ac:dyDescent="0.25">
      <c r="A299" s="46" t="s">
        <v>1057</v>
      </c>
      <c r="B299" s="46" t="s">
        <v>85</v>
      </c>
      <c r="C299" s="46" t="s">
        <v>1229</v>
      </c>
      <c r="D299" s="46" t="s">
        <v>433</v>
      </c>
      <c r="E299" s="98" t="s">
        <v>219</v>
      </c>
      <c r="F299" s="98" t="s">
        <v>457</v>
      </c>
      <c r="G299" s="98" t="s">
        <v>1226</v>
      </c>
      <c r="H299" s="100" t="s">
        <v>19</v>
      </c>
      <c r="I299" s="53">
        <v>45877</v>
      </c>
      <c r="J299" s="46">
        <v>8</v>
      </c>
      <c r="K299" s="98" t="s">
        <v>138</v>
      </c>
      <c r="L299" s="101">
        <f>VLOOKUP($C299&amp;$E299,'Updated SES'!A:N,14,0)</f>
        <v>78.939870000000013</v>
      </c>
      <c r="M299" s="102">
        <f>VLOOKUP($K299,'Genre Penetration'!A:B,2,0)*VLOOKUP($C299&amp;$E299,'Updated SES'!A:I,9,0)</f>
        <v>0.376</v>
      </c>
      <c r="N299" s="102">
        <f>VLOOKUP(K:K,'Genre Penetration'!A:C,3,0)*VLOOKUP($C299&amp;$E299,'Updated SES'!A:J,10,0)</f>
        <v>0.10600000000000001</v>
      </c>
      <c r="O299" s="102" t="e">
        <f>VLOOKUP($B299,'Language Penetration'!$B$1:$AY$14,MATCH('Compile data Working'!#REF!,'Language Penetration'!$B$1:$AY$1,0),0)</f>
        <v>#REF!</v>
      </c>
      <c r="P299" s="103" t="str">
        <f t="shared" ca="1" si="8"/>
        <v>8%</v>
      </c>
      <c r="Q299" s="101" t="e">
        <f t="shared" ca="1" si="9"/>
        <v>#REF!</v>
      </c>
      <c r="R299" s="104">
        <f>VLOOKUP(D:D,ranking!W:X,2,0)</f>
        <v>0.6</v>
      </c>
      <c r="S299" s="59">
        <v>0.82185877454400003</v>
      </c>
    </row>
    <row r="300" spans="1:19" x14ac:dyDescent="0.25">
      <c r="A300" s="46" t="s">
        <v>1057</v>
      </c>
      <c r="B300" s="46" t="s">
        <v>85</v>
      </c>
      <c r="C300" s="46" t="s">
        <v>1229</v>
      </c>
      <c r="D300" s="46" t="s">
        <v>433</v>
      </c>
      <c r="E300" s="98" t="s">
        <v>219</v>
      </c>
      <c r="F300" s="98" t="s">
        <v>457</v>
      </c>
      <c r="G300" s="98" t="s">
        <v>1306</v>
      </c>
      <c r="H300" s="100" t="s">
        <v>40</v>
      </c>
      <c r="I300" s="53">
        <v>45862</v>
      </c>
      <c r="J300" s="98">
        <v>9</v>
      </c>
      <c r="K300" s="98" t="s">
        <v>90</v>
      </c>
      <c r="L300" s="101">
        <f>VLOOKUP($C300&amp;$E300,'Updated SES'!A:N,14,0)</f>
        <v>78.939870000000013</v>
      </c>
      <c r="M300" s="102">
        <f>VLOOKUP($K300,'Genre Penetration'!A:B,2,0)*VLOOKUP($C300&amp;$E300,'Updated SES'!A:I,9,0)</f>
        <v>0.57599999999999996</v>
      </c>
      <c r="N300" s="102">
        <f>VLOOKUP(K:K,'Genre Penetration'!A:C,3,0)*VLOOKUP($C300&amp;$E300,'Updated SES'!A:J,10,0)</f>
        <v>5.6000000000000008E-2</v>
      </c>
      <c r="O300" s="102" t="e">
        <f>VLOOKUP($B300,'Language Penetration'!$B$1:$AY$14,MATCH('Compile data Working'!$H70,'Language Penetration'!$B$1:$AY$1,0),0)</f>
        <v>#N/A</v>
      </c>
      <c r="P300" s="103" t="str">
        <f t="shared" ca="1" si="8"/>
        <v>6%</v>
      </c>
      <c r="Q300" s="101" t="e">
        <f t="shared" ca="1" si="9"/>
        <v>#N/A</v>
      </c>
      <c r="R300" s="104">
        <f>VLOOKUP(D:D,ranking!W:X,2,0)</f>
        <v>0.6</v>
      </c>
      <c r="S300" s="59">
        <v>0.50887797796799994</v>
      </c>
    </row>
    <row r="301" spans="1:19" x14ac:dyDescent="0.25">
      <c r="A301" s="46" t="s">
        <v>1057</v>
      </c>
      <c r="B301" s="46" t="s">
        <v>85</v>
      </c>
      <c r="C301" s="46" t="s">
        <v>1229</v>
      </c>
      <c r="D301" s="46" t="s">
        <v>433</v>
      </c>
      <c r="E301" s="98" t="s">
        <v>219</v>
      </c>
      <c r="F301" s="100" t="s">
        <v>457</v>
      </c>
      <c r="G301" s="98" t="s">
        <v>1228</v>
      </c>
      <c r="H301" s="100" t="s">
        <v>19</v>
      </c>
      <c r="I301" s="53">
        <v>45855</v>
      </c>
      <c r="J301" s="46">
        <v>10</v>
      </c>
      <c r="K301" s="100" t="s">
        <v>145</v>
      </c>
      <c r="L301" s="101">
        <f>VLOOKUP($C301&amp;$E301,'Updated SES'!A:N,14,0)</f>
        <v>78.939870000000013</v>
      </c>
      <c r="M301" s="102">
        <f>VLOOKUP($K301,'Genre Penetration'!A:B,2,0)*VLOOKUP($C301&amp;$E301,'Updated SES'!A:I,9,0)</f>
        <v>0.29599999999999999</v>
      </c>
      <c r="N301" s="102">
        <f>VLOOKUP(K:K,'Genre Penetration'!A:C,3,0)*VLOOKUP($C301&amp;$E301,'Updated SES'!A:J,10,0)</f>
        <v>0.126</v>
      </c>
      <c r="O301" s="102" t="e">
        <f>VLOOKUP($B301,'Language Penetration'!$B$1:$AY$14,MATCH('Compile data Working'!$H71,'Language Penetration'!$B$1:$AY$1,0),0)</f>
        <v>#N/A</v>
      </c>
      <c r="P301" s="103" t="str">
        <f t="shared" ca="1" si="8"/>
        <v>3%</v>
      </c>
      <c r="Q301" s="101" t="e">
        <f t="shared" ca="1" si="9"/>
        <v>#N/A</v>
      </c>
      <c r="R301" s="104">
        <f>VLOOKUP(D:D,ranking!W:X,2,0)</f>
        <v>0.6</v>
      </c>
      <c r="S301" s="59">
        <v>0.23985090100799999</v>
      </c>
    </row>
    <row r="302" spans="1:19" x14ac:dyDescent="0.25">
      <c r="A302" s="46" t="s">
        <v>1057</v>
      </c>
      <c r="B302" s="46" t="s">
        <v>85</v>
      </c>
      <c r="C302" s="46" t="s">
        <v>123</v>
      </c>
      <c r="D302" s="46" t="s">
        <v>434</v>
      </c>
      <c r="E302" s="98" t="s">
        <v>211</v>
      </c>
      <c r="F302" s="98" t="s">
        <v>458</v>
      </c>
      <c r="G302" s="98" t="s">
        <v>1628</v>
      </c>
      <c r="H302" s="98" t="s">
        <v>19</v>
      </c>
      <c r="I302" s="53">
        <v>45975</v>
      </c>
      <c r="J302" s="46">
        <v>1</v>
      </c>
      <c r="K302" s="98" t="s">
        <v>138</v>
      </c>
      <c r="L302" s="101">
        <f>VLOOKUP($C302&amp;$E302,'Updated SES'!A:N,14,0)</f>
        <v>55.459200000000003</v>
      </c>
      <c r="M302" s="102">
        <f>VLOOKUP($K302,'Genre Penetration'!A:B,2,0)*VLOOKUP($C302&amp;$E302,'Updated SES'!A:I,9,0)</f>
        <v>0.23029999999999998</v>
      </c>
      <c r="N302" s="102">
        <f>VLOOKUP(K:K,'Genre Penetration'!A:C,3,0)*VLOOKUP($C302&amp;$E302,'Updated SES'!A:J,10,0)</f>
        <v>0.27030000000000004</v>
      </c>
      <c r="O302" s="102" t="e">
        <f>VLOOKUP($B302,'Language Penetration'!$B$1:$AY$14,MATCH('Compile data Working'!$H72,'Language Penetration'!$B$1:$AY$1,0),0)</f>
        <v>#N/A</v>
      </c>
      <c r="P302" s="103" t="str">
        <f t="shared" ca="1" si="8"/>
        <v>35%</v>
      </c>
      <c r="Q302" s="101" t="e">
        <f t="shared" ca="1" si="9"/>
        <v>#N/A</v>
      </c>
      <c r="R302" s="104">
        <f>VLOOKUP(D:D,ranking!W:X,2,0)</f>
        <v>0.7</v>
      </c>
      <c r="S302" s="59">
        <v>4.5475590101760011</v>
      </c>
    </row>
    <row r="303" spans="1:19" x14ac:dyDescent="0.25">
      <c r="A303" s="46" t="s">
        <v>1057</v>
      </c>
      <c r="B303" s="46" t="s">
        <v>85</v>
      </c>
      <c r="C303" s="46" t="s">
        <v>123</v>
      </c>
      <c r="D303" s="46" t="s">
        <v>434</v>
      </c>
      <c r="E303" s="98" t="s">
        <v>211</v>
      </c>
      <c r="F303" s="98" t="s">
        <v>458</v>
      </c>
      <c r="G303" s="98" t="s">
        <v>1624</v>
      </c>
      <c r="H303" s="98" t="s">
        <v>246</v>
      </c>
      <c r="I303" s="53">
        <v>45975</v>
      </c>
      <c r="J303" s="46">
        <v>2</v>
      </c>
      <c r="K303" s="98" t="s">
        <v>145</v>
      </c>
      <c r="L303" s="101">
        <f>VLOOKUP($C303&amp;$E303,'Updated SES'!A:N,14,0)</f>
        <v>55.459200000000003</v>
      </c>
      <c r="M303" s="102">
        <f>VLOOKUP($K303,'Genre Penetration'!A:B,2,0)*VLOOKUP($C303&amp;$E303,'Updated SES'!A:I,9,0)</f>
        <v>0.18129999999999999</v>
      </c>
      <c r="N303" s="102">
        <f>VLOOKUP(K:K,'Genre Penetration'!A:C,3,0)*VLOOKUP($C303&amp;$E303,'Updated SES'!A:J,10,0)</f>
        <v>0.32130000000000003</v>
      </c>
      <c r="O303" s="102">
        <v>0.7</v>
      </c>
      <c r="P303" s="103" t="str">
        <f t="shared" ca="1" si="8"/>
        <v>35%</v>
      </c>
      <c r="Q303" s="101">
        <f t="shared" ca="1" si="9"/>
        <v>6.8290795104000006</v>
      </c>
      <c r="R303" s="104">
        <f>VLOOKUP(D:D,ranking!W:X,2,0)</f>
        <v>0.7</v>
      </c>
      <c r="S303" s="59">
        <v>4.0974477062399997</v>
      </c>
    </row>
    <row r="304" spans="1:19" x14ac:dyDescent="0.25">
      <c r="A304" s="46" t="s">
        <v>1057</v>
      </c>
      <c r="B304" s="46" t="s">
        <v>85</v>
      </c>
      <c r="C304" s="46" t="s">
        <v>123</v>
      </c>
      <c r="D304" s="46" t="s">
        <v>434</v>
      </c>
      <c r="E304" s="98" t="s">
        <v>211</v>
      </c>
      <c r="F304" s="98" t="s">
        <v>458</v>
      </c>
      <c r="G304" s="98" t="s">
        <v>1640</v>
      </c>
      <c r="H304" s="98" t="s">
        <v>246</v>
      </c>
      <c r="I304" s="53">
        <v>45975</v>
      </c>
      <c r="J304" s="46">
        <v>3</v>
      </c>
      <c r="K304" s="98" t="s">
        <v>216</v>
      </c>
      <c r="L304" s="101">
        <f>VLOOKUP($C304&amp;$E304,'Updated SES'!A:N,14,0)</f>
        <v>55.459200000000003</v>
      </c>
      <c r="M304" s="102">
        <f>VLOOKUP($K304,'Genre Penetration'!A:B,2,0)*VLOOKUP($C304&amp;$E304,'Updated SES'!A:I,9,0)</f>
        <v>0.245</v>
      </c>
      <c r="N304" s="102">
        <f>VLOOKUP(K:K,'Genre Penetration'!A:C,3,0)*VLOOKUP($C304&amp;$E304,'Updated SES'!A:J,10,0)</f>
        <v>0.255</v>
      </c>
      <c r="O304" s="102">
        <v>0.7</v>
      </c>
      <c r="P304" s="103" t="str">
        <f t="shared" ca="1" si="8"/>
        <v>26%</v>
      </c>
      <c r="Q304" s="101">
        <f t="shared" ca="1" si="9"/>
        <v>5.0467872000000007</v>
      </c>
      <c r="R304" s="104">
        <f>VLOOKUP(D:D,ranking!W:X,2,0)</f>
        <v>0.7</v>
      </c>
      <c r="S304" s="59">
        <v>3.9403761599999996</v>
      </c>
    </row>
    <row r="305" spans="1:19" x14ac:dyDescent="0.25">
      <c r="A305" s="46" t="s">
        <v>1057</v>
      </c>
      <c r="B305" s="46" t="s">
        <v>85</v>
      </c>
      <c r="C305" s="46" t="s">
        <v>123</v>
      </c>
      <c r="D305" s="46" t="s">
        <v>432</v>
      </c>
      <c r="E305" s="98" t="s">
        <v>211</v>
      </c>
      <c r="F305" s="98" t="s">
        <v>458</v>
      </c>
      <c r="G305" s="98" t="s">
        <v>1537</v>
      </c>
      <c r="H305" s="46" t="s">
        <v>28</v>
      </c>
      <c r="I305" s="53">
        <v>45968</v>
      </c>
      <c r="J305" s="98">
        <v>4</v>
      </c>
      <c r="K305" s="46" t="s">
        <v>167</v>
      </c>
      <c r="L305" s="101">
        <f>VLOOKUP($C305&amp;$E305,'Updated SES'!A:N,14,0)</f>
        <v>55.459200000000003</v>
      </c>
      <c r="M305" s="102">
        <f>VLOOKUP($K305,'Genre Penetration'!A:B,2,0)*VLOOKUP($C305&amp;$E305,'Updated SES'!A:I,9,0)</f>
        <v>0.32830000000000004</v>
      </c>
      <c r="N305" s="102">
        <f>VLOOKUP(K:K,'Genre Penetration'!A:C,3,0)*VLOOKUP($C305&amp;$E305,'Updated SES'!A:J,10,0)</f>
        <v>0.16830000000000001</v>
      </c>
      <c r="O305" s="102" t="e">
        <f>VLOOKUP($B305,'Language Penetration'!$B$1:$AY$14,MATCH('Compile data Working'!#REF!,'Language Penetration'!$B$1:$AY$1,0),0)</f>
        <v>#REF!</v>
      </c>
      <c r="P305" s="103" t="str">
        <f t="shared" ca="1" si="8"/>
        <v>24%</v>
      </c>
      <c r="Q305" s="101" t="e">
        <f t="shared" ca="1" si="9"/>
        <v>#REF!</v>
      </c>
      <c r="R305" s="104">
        <f>VLOOKUP(D:D,ranking!W:X,2,0)</f>
        <v>0.8</v>
      </c>
      <c r="S305" s="59">
        <v>1.1457072107520003</v>
      </c>
    </row>
    <row r="306" spans="1:19" x14ac:dyDescent="0.25">
      <c r="A306" s="46" t="s">
        <v>1057</v>
      </c>
      <c r="B306" s="46" t="s">
        <v>85</v>
      </c>
      <c r="C306" s="46" t="s">
        <v>123</v>
      </c>
      <c r="D306" s="46" t="s">
        <v>434</v>
      </c>
      <c r="E306" s="46" t="s">
        <v>211</v>
      </c>
      <c r="F306" s="98" t="s">
        <v>458</v>
      </c>
      <c r="G306" s="46" t="s">
        <v>1479</v>
      </c>
      <c r="H306" s="98" t="s">
        <v>246</v>
      </c>
      <c r="I306" s="53">
        <v>45959</v>
      </c>
      <c r="J306" s="46">
        <v>5</v>
      </c>
      <c r="K306" s="98" t="s">
        <v>138</v>
      </c>
      <c r="L306" s="101">
        <f>VLOOKUP($C306&amp;$E306,'Updated SES'!A:N,14,0)</f>
        <v>55.459200000000003</v>
      </c>
      <c r="M306" s="102">
        <f>VLOOKUP($K306,'Genre Penetration'!A:B,2,0)*VLOOKUP($C306&amp;$E306,'Updated SES'!A:I,9,0)</f>
        <v>0.23029999999999998</v>
      </c>
      <c r="N306" s="102">
        <f>VLOOKUP(K:K,'Genre Penetration'!A:C,3,0)*VLOOKUP($C306&amp;$E306,'Updated SES'!A:J,10,0)</f>
        <v>0.27030000000000004</v>
      </c>
      <c r="O306" s="102">
        <v>0.7</v>
      </c>
      <c r="P306" s="103" t="str">
        <f t="shared" ca="1" si="8"/>
        <v>15%</v>
      </c>
      <c r="Q306" s="101">
        <f t="shared" ca="1" si="9"/>
        <v>2.9151019296000005</v>
      </c>
      <c r="R306" s="104">
        <f>VLOOKUP(D:D,ranking!W:X,2,0)</f>
        <v>0.7</v>
      </c>
      <c r="S306" s="59">
        <v>2.0405713507200001</v>
      </c>
    </row>
    <row r="307" spans="1:19" x14ac:dyDescent="0.25">
      <c r="A307" s="46" t="s">
        <v>1057</v>
      </c>
      <c r="B307" s="46" t="s">
        <v>85</v>
      </c>
      <c r="C307" s="46" t="s">
        <v>123</v>
      </c>
      <c r="D307" s="46" t="s">
        <v>432</v>
      </c>
      <c r="E307" s="46" t="s">
        <v>211</v>
      </c>
      <c r="F307" s="98" t="s">
        <v>458</v>
      </c>
      <c r="G307" s="46" t="s">
        <v>1539</v>
      </c>
      <c r="H307" s="46" t="s">
        <v>28</v>
      </c>
      <c r="I307" s="53">
        <v>45968</v>
      </c>
      <c r="J307" s="46">
        <v>6</v>
      </c>
      <c r="K307" s="46" t="s">
        <v>899</v>
      </c>
      <c r="L307" s="101">
        <f>VLOOKUP($C307&amp;$E307,'Updated SES'!A:N,14,0)</f>
        <v>55.459200000000003</v>
      </c>
      <c r="M307" s="102">
        <f>VLOOKUP($K307,'Genre Penetration'!A:B,2,0)*VLOOKUP($C307&amp;$E307,'Updated SES'!A:I,9,0)</f>
        <v>0.27929999999999999</v>
      </c>
      <c r="N307" s="102">
        <f>VLOOKUP(K:K,'Genre Penetration'!A:C,3,0)*VLOOKUP($C307&amp;$E307,'Updated SES'!A:J,10,0)</f>
        <v>0.21929999999999999</v>
      </c>
      <c r="O307" s="102" t="e">
        <f>VLOOKUP($B307,'Language Penetration'!$B$1:$AY$14,MATCH('Compile data Working'!#REF!,'Language Penetration'!$B$1:$AY$1,0),0)</f>
        <v>#REF!</v>
      </c>
      <c r="P307" s="103" t="str">
        <f t="shared" ca="1" si="8"/>
        <v>14%</v>
      </c>
      <c r="Q307" s="101" t="e">
        <f t="shared" ca="1" si="9"/>
        <v>#REF!</v>
      </c>
      <c r="R307" s="104">
        <f>VLOOKUP(D:D,ranking!W:X,2,0)</f>
        <v>0.8</v>
      </c>
      <c r="S307" s="59">
        <v>0.86274106214400015</v>
      </c>
    </row>
    <row r="308" spans="1:19" x14ac:dyDescent="0.25">
      <c r="A308" s="46" t="s">
        <v>1057</v>
      </c>
      <c r="B308" s="46" t="s">
        <v>85</v>
      </c>
      <c r="C308" s="46" t="s">
        <v>123</v>
      </c>
      <c r="D308" s="46" t="s">
        <v>434</v>
      </c>
      <c r="E308" s="46" t="s">
        <v>211</v>
      </c>
      <c r="F308" s="98" t="s">
        <v>458</v>
      </c>
      <c r="G308" s="46" t="s">
        <v>1538</v>
      </c>
      <c r="H308" s="46" t="s">
        <v>19</v>
      </c>
      <c r="I308" s="53">
        <v>45968</v>
      </c>
      <c r="J308" s="46">
        <v>7</v>
      </c>
      <c r="K308" s="46" t="s">
        <v>124</v>
      </c>
      <c r="L308" s="101">
        <f>VLOOKUP($C308&amp;$E308,'Updated SES'!A:N,14,0)</f>
        <v>55.459200000000003</v>
      </c>
      <c r="M308" s="102">
        <f>VLOOKUP($K308,'Genre Penetration'!A:B,2,0)*VLOOKUP($C308&amp;$E308,'Updated SES'!A:I,9,0)</f>
        <v>0.2205</v>
      </c>
      <c r="N308" s="102">
        <f>VLOOKUP(K:K,'Genre Penetration'!A:C,3,0)*VLOOKUP($C308&amp;$E308,'Updated SES'!A:J,10,0)</f>
        <v>0.28050000000000003</v>
      </c>
      <c r="O308" s="102" t="e">
        <f>VLOOKUP($B308,'Language Penetration'!$B$1:$AY$14,MATCH('Compile data Working'!#REF!,'Language Penetration'!$B$1:$AY$1,0),0)</f>
        <v>#REF!</v>
      </c>
      <c r="P308" s="103" t="str">
        <f t="shared" ca="1" si="8"/>
        <v>10%</v>
      </c>
      <c r="Q308" s="101" t="e">
        <f t="shared" ca="1" si="9"/>
        <v>#REF!</v>
      </c>
      <c r="R308" s="104">
        <f>VLOOKUP(D:D,ranking!W:X,2,0)</f>
        <v>0.7</v>
      </c>
      <c r="S308" s="59">
        <v>1.05027523776</v>
      </c>
    </row>
    <row r="309" spans="1:19" x14ac:dyDescent="0.25">
      <c r="A309" s="46" t="s">
        <v>1057</v>
      </c>
      <c r="B309" s="46" t="s">
        <v>85</v>
      </c>
      <c r="C309" s="46" t="s">
        <v>123</v>
      </c>
      <c r="D309" s="46" t="s">
        <v>434</v>
      </c>
      <c r="E309" s="46" t="s">
        <v>211</v>
      </c>
      <c r="F309" s="98" t="s">
        <v>458</v>
      </c>
      <c r="G309" s="46" t="s">
        <v>1454</v>
      </c>
      <c r="H309" s="98" t="s">
        <v>41</v>
      </c>
      <c r="I309" s="53">
        <v>45953</v>
      </c>
      <c r="J309" s="46">
        <v>8</v>
      </c>
      <c r="K309" s="98" t="s">
        <v>87</v>
      </c>
      <c r="L309" s="101">
        <f>VLOOKUP($C309&amp;$E309,'Updated SES'!A:N,14,0)</f>
        <v>55.459200000000003</v>
      </c>
      <c r="M309" s="102">
        <f>VLOOKUP($K309,'Genre Penetration'!A:B,2,0)*VLOOKUP($C309&amp;$E309,'Updated SES'!A:I,9,0)</f>
        <v>0.2989</v>
      </c>
      <c r="N309" s="102">
        <f>VLOOKUP(K:K,'Genre Penetration'!A:C,3,0)*VLOOKUP($C309&amp;$E309,'Updated SES'!A:J,10,0)</f>
        <v>0.19890000000000002</v>
      </c>
      <c r="O309" s="102">
        <v>0.7</v>
      </c>
      <c r="P309" s="103" t="str">
        <f t="shared" ca="1" si="8"/>
        <v>8%</v>
      </c>
      <c r="Q309" s="101">
        <f t="shared" ca="1" si="9"/>
        <v>1.5460250265600002</v>
      </c>
      <c r="R309" s="104">
        <f>VLOOKUP(D:D,ranking!W:X,2,0)</f>
        <v>0.7</v>
      </c>
      <c r="S309" s="59">
        <v>1.083087118848</v>
      </c>
    </row>
    <row r="310" spans="1:19" x14ac:dyDescent="0.25">
      <c r="A310" s="46" t="s">
        <v>1057</v>
      </c>
      <c r="B310" s="46" t="s">
        <v>85</v>
      </c>
      <c r="C310" s="46" t="s">
        <v>123</v>
      </c>
      <c r="D310" s="46" t="s">
        <v>432</v>
      </c>
      <c r="E310" s="46" t="s">
        <v>211</v>
      </c>
      <c r="F310" s="98" t="s">
        <v>458</v>
      </c>
      <c r="G310" s="46" t="s">
        <v>1626</v>
      </c>
      <c r="H310" s="46" t="s">
        <v>28</v>
      </c>
      <c r="I310" s="53">
        <v>45975</v>
      </c>
      <c r="J310" s="46">
        <v>9</v>
      </c>
      <c r="K310" s="46" t="s">
        <v>398</v>
      </c>
      <c r="L310" s="101">
        <f>VLOOKUP($C310&amp;$E310,'Updated SES'!A:N,14,0)</f>
        <v>55.459200000000003</v>
      </c>
      <c r="M310" s="102">
        <f>VLOOKUP($K310,'Genre Penetration'!A:B,2,0)*VLOOKUP($C310&amp;$E310,'Updated SES'!A:I,9,0)</f>
        <v>0.245</v>
      </c>
      <c r="N310" s="102">
        <f>VLOOKUP(K:K,'Genre Penetration'!A:C,3,0)*VLOOKUP($C310&amp;$E310,'Updated SES'!A:J,10,0)</f>
        <v>0.255</v>
      </c>
      <c r="O310" s="102" t="e">
        <f>VLOOKUP($B310,'Language Penetration'!$B$1:$AY$14,MATCH('Compile data Working'!#REF!,'Language Penetration'!$B$1:$AY$1,0),0)</f>
        <v>#REF!</v>
      </c>
      <c r="P310" s="103" t="str">
        <f t="shared" ca="1" si="8"/>
        <v>4%</v>
      </c>
      <c r="Q310" s="101" t="e">
        <f t="shared" ca="1" si="9"/>
        <v>#REF!</v>
      </c>
      <c r="R310" s="104">
        <f>VLOOKUP(D:D,ranking!W:X,2,0)</f>
        <v>0.8</v>
      </c>
      <c r="S310" s="59">
        <v>0.28838784000000006</v>
      </c>
    </row>
    <row r="311" spans="1:19" x14ac:dyDescent="0.25">
      <c r="A311" s="46" t="s">
        <v>1057</v>
      </c>
      <c r="B311" s="46" t="s">
        <v>85</v>
      </c>
      <c r="C311" s="46" t="s">
        <v>123</v>
      </c>
      <c r="D311" s="46" t="s">
        <v>434</v>
      </c>
      <c r="E311" s="46" t="s">
        <v>211</v>
      </c>
      <c r="F311" s="98" t="s">
        <v>458</v>
      </c>
      <c r="G311" s="46" t="s">
        <v>1255</v>
      </c>
      <c r="H311" s="46" t="s">
        <v>453</v>
      </c>
      <c r="I311" s="53">
        <v>45919</v>
      </c>
      <c r="J311" s="46">
        <v>10</v>
      </c>
      <c r="K311" s="46" t="s">
        <v>1258</v>
      </c>
      <c r="L311" s="101">
        <f>VLOOKUP($C311&amp;$E311,'Updated SES'!A:N,14,0)</f>
        <v>55.459200000000003</v>
      </c>
      <c r="M311" s="102">
        <f>VLOOKUP($K311,'Genre Penetration'!A:B,2,0)*VLOOKUP($C311&amp;$E311,'Updated SES'!A:I,9,0)</f>
        <v>0.25969999999999999</v>
      </c>
      <c r="N311" s="102">
        <f>VLOOKUP(K:K,'Genre Penetration'!A:C,3,0)*VLOOKUP($C311&amp;$E311,'Updated SES'!A:J,10,0)</f>
        <v>0.2397</v>
      </c>
      <c r="O311" s="102">
        <v>0.7</v>
      </c>
      <c r="P311" s="103" t="str">
        <f t="shared" ca="1" si="8"/>
        <v>4%</v>
      </c>
      <c r="Q311" s="101">
        <f t="shared" ca="1" si="9"/>
        <v>0.77549708543999984</v>
      </c>
      <c r="R311" s="104">
        <f>VLOOKUP(D:D,ranking!W:X,2,0)</f>
        <v>0.7</v>
      </c>
      <c r="S311" s="59">
        <v>0.54284795980799982</v>
      </c>
    </row>
    <row r="312" spans="1:19" x14ac:dyDescent="0.25">
      <c r="A312" s="46" t="s">
        <v>1057</v>
      </c>
      <c r="B312" s="46" t="s">
        <v>85</v>
      </c>
      <c r="C312" s="46" t="s">
        <v>123</v>
      </c>
      <c r="D312" s="46" t="s">
        <v>431</v>
      </c>
      <c r="E312" s="46" t="s">
        <v>211</v>
      </c>
      <c r="F312" s="46" t="s">
        <v>457</v>
      </c>
      <c r="G312" s="46" t="s">
        <v>1605</v>
      </c>
      <c r="H312" s="46" t="s">
        <v>28</v>
      </c>
      <c r="I312" s="53">
        <v>45974</v>
      </c>
      <c r="J312" s="46">
        <v>1</v>
      </c>
      <c r="K312" s="46" t="s">
        <v>170</v>
      </c>
      <c r="L312" s="101">
        <f>VLOOKUP($C312&amp;$E312,'Updated SES'!A:N,14,0)</f>
        <v>55.459200000000003</v>
      </c>
      <c r="M312" s="102">
        <f>VLOOKUP($K312,'Genre Penetration'!A:B,2,0)*VLOOKUP($C312&amp;$E312,'Updated SES'!A:I,9,0)</f>
        <v>0.28419999999999995</v>
      </c>
      <c r="N312" s="102">
        <f>VLOOKUP(K:K,'Genre Penetration'!A:C,3,0)*VLOOKUP($C312&amp;$E312,'Updated SES'!A:J,10,0)</f>
        <v>0.2142</v>
      </c>
      <c r="O312" s="102" t="e">
        <f>VLOOKUP($B312,'Language Penetration'!$B$1:$AY$14,MATCH('Compile data Working'!#REF!,'Language Penetration'!$B$1:$AY$1,0),0)</f>
        <v>#REF!</v>
      </c>
      <c r="P312" s="103" t="str">
        <f t="shared" ca="1" si="8"/>
        <v>37%</v>
      </c>
      <c r="Q312" s="101" t="e">
        <f t="shared" ca="1" si="9"/>
        <v>#REF!</v>
      </c>
      <c r="R312" s="104">
        <f>VLOOKUP(D:D,ranking!W:X,2,0)</f>
        <v>0.6</v>
      </c>
      <c r="S312" s="59">
        <v>1.7247899934719999</v>
      </c>
    </row>
    <row r="313" spans="1:19" x14ac:dyDescent="0.25">
      <c r="A313" s="46" t="s">
        <v>1057</v>
      </c>
      <c r="B313" s="46" t="s">
        <v>85</v>
      </c>
      <c r="C313" s="46" t="s">
        <v>123</v>
      </c>
      <c r="D313" s="46" t="s">
        <v>431</v>
      </c>
      <c r="E313" s="46" t="s">
        <v>211</v>
      </c>
      <c r="F313" s="98" t="s">
        <v>457</v>
      </c>
      <c r="G313" s="46" t="s">
        <v>1607</v>
      </c>
      <c r="H313" s="100" t="s">
        <v>19</v>
      </c>
      <c r="I313" s="53">
        <v>45974</v>
      </c>
      <c r="J313" s="46">
        <v>2</v>
      </c>
      <c r="K313" s="98" t="s">
        <v>145</v>
      </c>
      <c r="L313" s="101">
        <f>VLOOKUP($C313&amp;$E313,'Updated SES'!A:N,14,0)</f>
        <v>55.459200000000003</v>
      </c>
      <c r="M313" s="102">
        <f>VLOOKUP($K313,'Genre Penetration'!A:B,2,0)*VLOOKUP($C313&amp;$E313,'Updated SES'!A:I,9,0)</f>
        <v>0.18129999999999999</v>
      </c>
      <c r="N313" s="102">
        <f>VLOOKUP(K:K,'Genre Penetration'!A:C,3,0)*VLOOKUP($C313&amp;$E313,'Updated SES'!A:J,10,0)</f>
        <v>0.32130000000000003</v>
      </c>
      <c r="O313" s="102" t="e">
        <f>VLOOKUP($B313,'Language Penetration'!$B$1:$AY$14,MATCH('Compile data Working'!#REF!,'Language Penetration'!$B$1:$AY$1,0),0)</f>
        <v>#REF!</v>
      </c>
      <c r="P313" s="103" t="str">
        <f t="shared" ca="1" si="8"/>
        <v>34%</v>
      </c>
      <c r="Q313" s="101" t="e">
        <f t="shared" ca="1" si="9"/>
        <v>#REF!</v>
      </c>
      <c r="R313" s="104">
        <f>VLOOKUP(D:D,ranking!W:X,2,0)</f>
        <v>0.6</v>
      </c>
      <c r="S313" s="59">
        <v>3.3114067176959998</v>
      </c>
    </row>
    <row r="314" spans="1:19" x14ac:dyDescent="0.25">
      <c r="A314" s="46" t="s">
        <v>1057</v>
      </c>
      <c r="B314" s="46" t="s">
        <v>85</v>
      </c>
      <c r="C314" s="46" t="s">
        <v>123</v>
      </c>
      <c r="D314" s="46" t="s">
        <v>431</v>
      </c>
      <c r="E314" s="46" t="s">
        <v>211</v>
      </c>
      <c r="F314" s="100" t="s">
        <v>457</v>
      </c>
      <c r="G314" s="46" t="s">
        <v>1611</v>
      </c>
      <c r="H314" s="100" t="s">
        <v>28</v>
      </c>
      <c r="I314" s="53">
        <v>45974</v>
      </c>
      <c r="J314" s="46">
        <v>3</v>
      </c>
      <c r="K314" s="100" t="s">
        <v>97</v>
      </c>
      <c r="L314" s="101">
        <f>VLOOKUP($C314&amp;$E314,'Updated SES'!A:N,14,0)</f>
        <v>55.459200000000003</v>
      </c>
      <c r="M314" s="102">
        <f>VLOOKUP($K314,'Genre Penetration'!A:B,2,0)*VLOOKUP($C314&amp;$E314,'Updated SES'!A:I,9,0)</f>
        <v>0.3332</v>
      </c>
      <c r="N314" s="102">
        <f>VLOOKUP(K:K,'Genre Penetration'!A:C,3,0)*VLOOKUP($C314&amp;$E314,'Updated SES'!A:J,10,0)</f>
        <v>0.16320000000000001</v>
      </c>
      <c r="O314" s="102" t="e">
        <f>VLOOKUP($B314,'Language Penetration'!$B$1:$AY$14,MATCH('Compile data Working'!#REF!,'Language Penetration'!$B$1:$AY$1,0),0)</f>
        <v>#REF!</v>
      </c>
      <c r="P314" s="103" t="str">
        <f t="shared" ca="1" si="8"/>
        <v>28%</v>
      </c>
      <c r="Q314" s="101" t="e">
        <f t="shared" ca="1" si="9"/>
        <v>#REF!</v>
      </c>
      <c r="R314" s="104">
        <f>VLOOKUP(D:D,ranking!W:X,2,0)</f>
        <v>0.6</v>
      </c>
      <c r="S314" s="59">
        <v>1.2025080797184</v>
      </c>
    </row>
    <row r="315" spans="1:19" x14ac:dyDescent="0.25">
      <c r="A315" s="46" t="s">
        <v>1057</v>
      </c>
      <c r="B315" s="46" t="s">
        <v>85</v>
      </c>
      <c r="C315" s="46" t="s">
        <v>123</v>
      </c>
      <c r="D315" s="46" t="s">
        <v>431</v>
      </c>
      <c r="E315" s="46" t="s">
        <v>211</v>
      </c>
      <c r="F315" s="100" t="s">
        <v>457</v>
      </c>
      <c r="G315" s="46" t="s">
        <v>1456</v>
      </c>
      <c r="H315" s="100" t="s">
        <v>459</v>
      </c>
      <c r="I315" s="53">
        <v>45954</v>
      </c>
      <c r="J315" s="98">
        <v>4</v>
      </c>
      <c r="K315" s="46" t="s">
        <v>243</v>
      </c>
      <c r="L315" s="101">
        <f>VLOOKUP($C315&amp;$E315,'Updated SES'!A:N,14,0)</f>
        <v>55.459200000000003</v>
      </c>
      <c r="M315" s="102">
        <f>VLOOKUP($K315,'Genre Penetration'!A:B,2,0)*VLOOKUP($C315&amp;$E315,'Updated SES'!A:I,9,0)</f>
        <v>0.2646</v>
      </c>
      <c r="N315" s="102">
        <f>VLOOKUP(K:K,'Genre Penetration'!A:C,3,0)*VLOOKUP($C315&amp;$E315,'Updated SES'!A:J,10,0)</f>
        <v>0.23459999999999998</v>
      </c>
      <c r="O315" s="102">
        <v>0.7</v>
      </c>
      <c r="P315" s="103" t="str">
        <f t="shared" ca="1" si="8"/>
        <v>20%</v>
      </c>
      <c r="Q315" s="101">
        <f t="shared" ca="1" si="9"/>
        <v>3.8759325695999998</v>
      </c>
      <c r="R315" s="104">
        <f>VLOOKUP(D:D,ranking!W:X,2,0)</f>
        <v>0.6</v>
      </c>
      <c r="S315" s="59">
        <v>2.4418375188479993</v>
      </c>
    </row>
    <row r="316" spans="1:19" x14ac:dyDescent="0.25">
      <c r="A316" s="46" t="s">
        <v>1057</v>
      </c>
      <c r="B316" s="46" t="s">
        <v>85</v>
      </c>
      <c r="C316" s="46" t="s">
        <v>123</v>
      </c>
      <c r="D316" s="46" t="s">
        <v>431</v>
      </c>
      <c r="E316" s="46" t="s">
        <v>211</v>
      </c>
      <c r="F316" s="100" t="s">
        <v>457</v>
      </c>
      <c r="G316" s="46" t="s">
        <v>1536</v>
      </c>
      <c r="H316" s="100" t="s">
        <v>850</v>
      </c>
      <c r="I316" s="53">
        <v>45968</v>
      </c>
      <c r="J316" s="46">
        <v>5</v>
      </c>
      <c r="K316" s="46" t="s">
        <v>202</v>
      </c>
      <c r="L316" s="101">
        <f>VLOOKUP($C316&amp;$E316,'Updated SES'!A:N,14,0)</f>
        <v>55.459200000000003</v>
      </c>
      <c r="M316" s="102">
        <f>VLOOKUP($K316,'Genre Penetration'!A:B,2,0)*VLOOKUP($C316&amp;$E316,'Updated SES'!A:I,9,0)</f>
        <v>0.3528</v>
      </c>
      <c r="N316" s="102">
        <f>VLOOKUP(K:K,'Genre Penetration'!A:C,3,0)*VLOOKUP($C316&amp;$E316,'Updated SES'!A:J,10,0)</f>
        <v>0.14280000000000001</v>
      </c>
      <c r="O316" s="102" t="e">
        <f>VLOOKUP($B316,'Language Penetration'!$B$1:$AY$14,MATCH('Compile data Working'!#REF!,'Language Penetration'!$B$1:$AY$1,0),0)</f>
        <v>#REF!</v>
      </c>
      <c r="P316" s="103" t="str">
        <f t="shared" ca="1" si="8"/>
        <v>15%</v>
      </c>
      <c r="Q316" s="101" t="e">
        <f t="shared" ca="1" si="9"/>
        <v>#REF!</v>
      </c>
      <c r="R316" s="104">
        <f>VLOOKUP(D:D,ranking!W:X,2,0)</f>
        <v>0.6</v>
      </c>
      <c r="S316" s="59">
        <v>0.94000681958400012</v>
      </c>
    </row>
    <row r="317" spans="1:19" x14ac:dyDescent="0.25">
      <c r="A317" s="46" t="s">
        <v>1057</v>
      </c>
      <c r="B317" s="46" t="s">
        <v>85</v>
      </c>
      <c r="C317" s="46" t="s">
        <v>123</v>
      </c>
      <c r="D317" s="46" t="s">
        <v>431</v>
      </c>
      <c r="E317" s="46" t="s">
        <v>211</v>
      </c>
      <c r="F317" s="100" t="s">
        <v>457</v>
      </c>
      <c r="G317" s="46" t="s">
        <v>1512</v>
      </c>
      <c r="H317" s="100" t="s">
        <v>28</v>
      </c>
      <c r="I317" s="53">
        <v>42566</v>
      </c>
      <c r="J317" s="46">
        <v>6</v>
      </c>
      <c r="K317" s="100" t="s">
        <v>1528</v>
      </c>
      <c r="L317" s="101">
        <f>VLOOKUP($C317&amp;$E317,'Updated SES'!A:N,14,0)</f>
        <v>55.459200000000003</v>
      </c>
      <c r="M317" s="102">
        <f>VLOOKUP($K317,'Genre Penetration'!A:B,2,0)*VLOOKUP($C317&amp;$E317,'Updated SES'!A:I,9,0)</f>
        <v>0.26950000000000002</v>
      </c>
      <c r="N317" s="102">
        <f>VLOOKUP(K:K,'Genre Penetration'!A:C,3,0)*VLOOKUP($C317&amp;$E317,'Updated SES'!A:J,10,0)</f>
        <v>0.22950000000000001</v>
      </c>
      <c r="O317" s="102">
        <f>VLOOKUP($B317,'Language Penetration'!$B$1:$AY$14,MATCH('Compile data Working'!$H74,'Language Penetration'!$B$1:$AY$1,0),0)</f>
        <v>0.6</v>
      </c>
      <c r="P317" s="103" t="str">
        <f t="shared" ca="1" si="8"/>
        <v>15%</v>
      </c>
      <c r="Q317" s="101">
        <f t="shared" ca="1" si="9"/>
        <v>2.4906726720000001</v>
      </c>
      <c r="R317" s="104">
        <f>VLOOKUP(D:D,ranking!W:X,2,0)</f>
        <v>0.6</v>
      </c>
      <c r="S317" s="59">
        <v>0.43171659648000005</v>
      </c>
    </row>
    <row r="318" spans="1:19" x14ac:dyDescent="0.25">
      <c r="A318" s="46" t="s">
        <v>1057</v>
      </c>
      <c r="B318" s="46" t="s">
        <v>85</v>
      </c>
      <c r="C318" s="46" t="s">
        <v>123</v>
      </c>
      <c r="D318" s="46" t="s">
        <v>431</v>
      </c>
      <c r="E318" s="46" t="s">
        <v>211</v>
      </c>
      <c r="F318" s="98" t="s">
        <v>457</v>
      </c>
      <c r="G318" s="46" t="s">
        <v>1562</v>
      </c>
      <c r="H318" s="100" t="s">
        <v>21</v>
      </c>
      <c r="I318" s="53">
        <v>45975</v>
      </c>
      <c r="J318" s="46">
        <v>7</v>
      </c>
      <c r="K318" s="98" t="s">
        <v>902</v>
      </c>
      <c r="L318" s="101">
        <f>VLOOKUP($C318&amp;$E318,'Updated SES'!A:N,14,0)</f>
        <v>55.459200000000003</v>
      </c>
      <c r="M318" s="102">
        <f>VLOOKUP($K318,'Genre Penetration'!A:B,2,0)*VLOOKUP($C318&amp;$E318,'Updated SES'!A:I,9,0)</f>
        <v>0.36749999999999999</v>
      </c>
      <c r="N318" s="102">
        <f>VLOOKUP(K:K,'Genre Penetration'!A:C,3,0)*VLOOKUP($C318&amp;$E318,'Updated SES'!A:J,10,0)</f>
        <v>0.1275</v>
      </c>
      <c r="O318" s="102" t="e">
        <f>VLOOKUP($B318,'Language Penetration'!$B$1:$AY$14,MATCH('Compile data Working'!#REF!,'Language Penetration'!$B$1:$AY$1,0),0)</f>
        <v>#REF!</v>
      </c>
      <c r="P318" s="103" t="str">
        <f t="shared" ca="1" si="8"/>
        <v>9%</v>
      </c>
      <c r="Q318" s="101" t="e">
        <f t="shared" ca="1" si="9"/>
        <v>#REF!</v>
      </c>
      <c r="R318" s="104">
        <f>VLOOKUP(D:D,ranking!W:X,2,0)</f>
        <v>0.6</v>
      </c>
      <c r="S318" s="59">
        <v>0.52708423680000016</v>
      </c>
    </row>
    <row r="319" spans="1:19" x14ac:dyDescent="0.25">
      <c r="A319" s="46" t="s">
        <v>1057</v>
      </c>
      <c r="B319" s="46" t="s">
        <v>85</v>
      </c>
      <c r="C319" s="46" t="s">
        <v>123</v>
      </c>
      <c r="D319" s="46" t="s">
        <v>431</v>
      </c>
      <c r="E319" s="46" t="s">
        <v>211</v>
      </c>
      <c r="F319" s="100" t="s">
        <v>457</v>
      </c>
      <c r="G319" s="46" t="s">
        <v>1254</v>
      </c>
      <c r="H319" s="100" t="s">
        <v>459</v>
      </c>
      <c r="I319" s="53">
        <v>45918</v>
      </c>
      <c r="J319" s="46">
        <v>8</v>
      </c>
      <c r="K319" s="100" t="s">
        <v>901</v>
      </c>
      <c r="L319" s="101">
        <f>VLOOKUP($C319&amp;$E319,'Updated SES'!A:N,14,0)</f>
        <v>55.459200000000003</v>
      </c>
      <c r="M319" s="102">
        <f>VLOOKUP($K319,'Genre Penetration'!A:B,2,0)*VLOOKUP($C319&amp;$E319,'Updated SES'!A:I,9,0)</f>
        <v>0.27440000000000003</v>
      </c>
      <c r="N319" s="102">
        <f>VLOOKUP(K:K,'Genre Penetration'!A:C,3,0)*VLOOKUP($C319&amp;$E319,'Updated SES'!A:J,10,0)</f>
        <v>0.22440000000000002</v>
      </c>
      <c r="O319" s="102">
        <v>0.7</v>
      </c>
      <c r="P319" s="103" t="str">
        <f t="shared" ca="1" si="8"/>
        <v>7%</v>
      </c>
      <c r="Q319" s="101">
        <f t="shared" ca="1" si="9"/>
        <v>1.3554893990400003</v>
      </c>
      <c r="R319" s="104">
        <f>VLOOKUP(D:D,ranking!W:X,2,0)</f>
        <v>0.6</v>
      </c>
      <c r="S319" s="59">
        <v>0.92947844505600008</v>
      </c>
    </row>
    <row r="320" spans="1:19" x14ac:dyDescent="0.25">
      <c r="A320" s="46" t="s">
        <v>1057</v>
      </c>
      <c r="B320" s="46" t="s">
        <v>85</v>
      </c>
      <c r="C320" s="46" t="s">
        <v>123</v>
      </c>
      <c r="D320" s="46" t="s">
        <v>431</v>
      </c>
      <c r="E320" s="46" t="s">
        <v>211</v>
      </c>
      <c r="F320" s="100" t="s">
        <v>457</v>
      </c>
      <c r="G320" s="46" t="s">
        <v>1481</v>
      </c>
      <c r="H320" s="100" t="s">
        <v>21</v>
      </c>
      <c r="I320" s="53">
        <v>45960</v>
      </c>
      <c r="J320" s="46">
        <v>9</v>
      </c>
      <c r="K320" s="100" t="s">
        <v>62</v>
      </c>
      <c r="L320" s="101">
        <f>VLOOKUP($C320&amp;$E320,'Updated SES'!A:N,14,0)</f>
        <v>55.459200000000003</v>
      </c>
      <c r="M320" s="102">
        <f>VLOOKUP($K320,'Genre Penetration'!A:B,2,0)*VLOOKUP($C320&amp;$E320,'Updated SES'!A:I,9,0)</f>
        <v>0.28419999999999995</v>
      </c>
      <c r="N320" s="102">
        <f>VLOOKUP(K:K,'Genre Penetration'!A:C,3,0)*VLOOKUP($C320&amp;$E320,'Updated SES'!A:J,10,0)</f>
        <v>0.2142</v>
      </c>
      <c r="O320" s="102" t="e">
        <f>VLOOKUP($B320,'Language Penetration'!$B$1:$AY$14,MATCH('Compile data Working'!#REF!,'Language Penetration'!$B$1:$AY$1,0),0)</f>
        <v>#REF!</v>
      </c>
      <c r="P320" s="103" t="str">
        <f t="shared" ca="1" si="8"/>
        <v>4%</v>
      </c>
      <c r="Q320" s="101" t="e">
        <f t="shared" ca="1" si="9"/>
        <v>#REF!</v>
      </c>
      <c r="R320" s="104">
        <f>VLOOKUP(D:D,ranking!W:X,2,0)</f>
        <v>0.6</v>
      </c>
      <c r="S320" s="59">
        <v>0.33169038335999995</v>
      </c>
    </row>
    <row r="321" spans="1:19" x14ac:dyDescent="0.25">
      <c r="A321" s="46" t="s">
        <v>1057</v>
      </c>
      <c r="B321" s="46" t="s">
        <v>85</v>
      </c>
      <c r="C321" s="46" t="s">
        <v>123</v>
      </c>
      <c r="D321" s="46" t="s">
        <v>1012</v>
      </c>
      <c r="E321" s="46" t="s">
        <v>211</v>
      </c>
      <c r="F321" s="100" t="s">
        <v>457</v>
      </c>
      <c r="G321" s="46" t="s">
        <v>1614</v>
      </c>
      <c r="H321" s="100" t="s">
        <v>28</v>
      </c>
      <c r="I321" s="53">
        <v>45974</v>
      </c>
      <c r="J321" s="46">
        <v>10</v>
      </c>
      <c r="K321" s="100" t="s">
        <v>173</v>
      </c>
      <c r="L321" s="101">
        <f>VLOOKUP($C321&amp;$E321,'Updated SES'!A:N,14,0)</f>
        <v>55.459200000000003</v>
      </c>
      <c r="M321" s="102">
        <f>VLOOKUP($K321,'Genre Penetration'!A:B,2,0)*VLOOKUP($C321&amp;$E321,'Updated SES'!A:I,9,0)</f>
        <v>0.26950000000000002</v>
      </c>
      <c r="N321" s="102">
        <f>VLOOKUP(K:K,'Genre Penetration'!A:C,3,0)*VLOOKUP($C321&amp;$E321,'Updated SES'!A:J,10,0)</f>
        <v>0.22950000000000001</v>
      </c>
      <c r="O321" s="102" t="e">
        <f>VLOOKUP($B321,'Language Penetration'!$B$1:$AY$14,MATCH('Compile data Working'!$H76,'Language Penetration'!$B$1:$AY$1,0),0)</f>
        <v>#N/A</v>
      </c>
      <c r="P321" s="103" t="str">
        <f t="shared" ca="1" si="8"/>
        <v>4%</v>
      </c>
      <c r="Q321" s="101" t="e">
        <f t="shared" ca="1" si="9"/>
        <v>#N/A</v>
      </c>
      <c r="R321" s="104">
        <f>VLOOKUP(D:D,ranking!W:X,2,0)</f>
        <v>0.6</v>
      </c>
      <c r="S321" s="59">
        <v>0.17268663859200001</v>
      </c>
    </row>
    <row r="322" spans="1:19" x14ac:dyDescent="0.25">
      <c r="A322" s="46" t="s">
        <v>1057</v>
      </c>
      <c r="B322" s="46" t="s">
        <v>85</v>
      </c>
      <c r="C322" s="46" t="s">
        <v>125</v>
      </c>
      <c r="D322" s="46" t="s">
        <v>432</v>
      </c>
      <c r="E322" s="46" t="s">
        <v>211</v>
      </c>
      <c r="F322" s="100" t="s">
        <v>458</v>
      </c>
      <c r="G322" s="46" t="s">
        <v>1532</v>
      </c>
      <c r="H322" s="100" t="s">
        <v>26</v>
      </c>
      <c r="I322" s="53">
        <v>45961</v>
      </c>
      <c r="J322" s="46">
        <v>1</v>
      </c>
      <c r="K322" s="100" t="s">
        <v>216</v>
      </c>
      <c r="L322" s="101">
        <f>VLOOKUP($C322&amp;$E322,'Updated SES'!A:N,14,0)</f>
        <v>8.7000000000000008E-2</v>
      </c>
      <c r="M322" s="102">
        <f>VLOOKUP($K322,'Genre Penetration'!A:B,2,0)*VLOOKUP($C322&amp;$E322,'Updated SES'!A:I,9,0)</f>
        <v>0.35</v>
      </c>
      <c r="N322" s="102">
        <f>VLOOKUP(K:K,'Genre Penetration'!A:C,3,0)*VLOOKUP($C322&amp;$E322,'Updated SES'!A:J,10,0)</f>
        <v>0.15</v>
      </c>
      <c r="O322" s="102" t="e">
        <f>VLOOKUP($B322,'Language Penetration'!$B$1:$AY$14,MATCH('Compile data Working'!#REF!,'Language Penetration'!$B$1:$AY$1,0),0)</f>
        <v>#REF!</v>
      </c>
      <c r="P322" s="103" t="str">
        <f t="shared" ca="1" si="8"/>
        <v>38%</v>
      </c>
      <c r="Q322" s="101" t="e">
        <f t="shared" ca="1" si="9"/>
        <v>#REF!</v>
      </c>
      <c r="R322" s="104">
        <f>VLOOKUP(D:D,ranking!W:X,2,0)</f>
        <v>0.8</v>
      </c>
      <c r="S322" s="59">
        <v>9.2568000000000012E-4</v>
      </c>
    </row>
    <row r="323" spans="1:19" x14ac:dyDescent="0.25">
      <c r="A323" s="46" t="s">
        <v>1057</v>
      </c>
      <c r="B323" s="46" t="s">
        <v>85</v>
      </c>
      <c r="C323" s="46" t="s">
        <v>125</v>
      </c>
      <c r="D323" s="46" t="s">
        <v>434</v>
      </c>
      <c r="E323" s="46" t="s">
        <v>211</v>
      </c>
      <c r="F323" s="100" t="s">
        <v>458</v>
      </c>
      <c r="G323" s="46" t="s">
        <v>1711</v>
      </c>
      <c r="H323" s="100" t="s">
        <v>26</v>
      </c>
      <c r="I323" s="53">
        <v>45974</v>
      </c>
      <c r="J323" s="46">
        <v>2</v>
      </c>
      <c r="K323" s="100" t="s">
        <v>262</v>
      </c>
      <c r="L323" s="101">
        <f>VLOOKUP($C323&amp;$E323,'Updated SES'!A:N,14,0)</f>
        <v>8.7000000000000008E-2</v>
      </c>
      <c r="M323" s="102">
        <f>VLOOKUP($K323,'Genre Penetration'!A:B,2,0)*VLOOKUP($C323&amp;$E323,'Updated SES'!A:I,9,0)</f>
        <v>0.46899999999999997</v>
      </c>
      <c r="N323" s="102">
        <f>VLOOKUP(K:K,'Genre Penetration'!A:C,3,0)*VLOOKUP($C323&amp;$E323,'Updated SES'!A:J,10,0)</f>
        <v>9.9000000000000005E-2</v>
      </c>
      <c r="O323" s="102" t="e">
        <f>VLOOKUP($B323,'Language Penetration'!$B$1:$AY$14,MATCH('Compile data Working'!#REF!,'Language Penetration'!$B$1:$AY$1,0),0)</f>
        <v>#REF!</v>
      </c>
      <c r="P323" s="103" t="str">
        <f t="shared" ca="1" si="8"/>
        <v>34%</v>
      </c>
      <c r="Q323" s="101" t="e">
        <f t="shared" ca="1" si="9"/>
        <v>#REF!</v>
      </c>
      <c r="R323" s="104">
        <f>VLOOKUP(D:D,ranking!W:X,2,0)</f>
        <v>0.7</v>
      </c>
      <c r="S323" s="59">
        <v>8.4748439999999994E-4</v>
      </c>
    </row>
    <row r="324" spans="1:19" x14ac:dyDescent="0.25">
      <c r="A324" s="46" t="s">
        <v>1057</v>
      </c>
      <c r="B324" s="46" t="s">
        <v>85</v>
      </c>
      <c r="C324" s="46" t="s">
        <v>125</v>
      </c>
      <c r="D324" s="46" t="s">
        <v>434</v>
      </c>
      <c r="E324" s="46" t="s">
        <v>211</v>
      </c>
      <c r="F324" s="100" t="s">
        <v>458</v>
      </c>
      <c r="G324" s="46" t="s">
        <v>1386</v>
      </c>
      <c r="H324" s="100" t="s">
        <v>26</v>
      </c>
      <c r="I324" s="106">
        <v>45919</v>
      </c>
      <c r="J324" s="46">
        <v>3</v>
      </c>
      <c r="K324" s="100" t="s">
        <v>173</v>
      </c>
      <c r="L324" s="101">
        <f>VLOOKUP($C324&amp;$E324,'Updated SES'!A:N,14,0)</f>
        <v>8.7000000000000008E-2</v>
      </c>
      <c r="M324" s="102">
        <f>VLOOKUP($K324,'Genre Penetration'!A:B,2,0)*VLOOKUP($C324&amp;$E324,'Updated SES'!A:I,9,0)</f>
        <v>0.38500000000000001</v>
      </c>
      <c r="N324" s="102">
        <f>VLOOKUP(K:K,'Genre Penetration'!A:C,3,0)*VLOOKUP($C324&amp;$E324,'Updated SES'!A:J,10,0)</f>
        <v>0.13500000000000001</v>
      </c>
      <c r="O324" s="102" t="e">
        <f>VLOOKUP($B324,'Language Penetration'!$B$1:$AY$14,MATCH('Compile data Working'!#REF!,'Language Penetration'!$B$1:$AY$1,0),0)</f>
        <v>#REF!</v>
      </c>
      <c r="P324" s="103" t="str">
        <f t="shared" ca="1" si="8"/>
        <v>26%</v>
      </c>
      <c r="Q324" s="101" t="e">
        <f t="shared" ca="1" si="9"/>
        <v>#REF!</v>
      </c>
      <c r="R324" s="104">
        <f>VLOOKUP(D:D,ranking!W:X,2,0)</f>
        <v>0.7</v>
      </c>
      <c r="S324" s="59">
        <v>5.985252000000001E-4</v>
      </c>
    </row>
    <row r="325" spans="1:19" x14ac:dyDescent="0.25">
      <c r="A325" s="46" t="s">
        <v>1057</v>
      </c>
      <c r="B325" s="46" t="s">
        <v>85</v>
      </c>
      <c r="C325" s="46" t="s">
        <v>125</v>
      </c>
      <c r="D325" s="46" t="s">
        <v>434</v>
      </c>
      <c r="E325" s="46" t="s">
        <v>211</v>
      </c>
      <c r="F325" s="100" t="s">
        <v>458</v>
      </c>
      <c r="G325" s="46" t="s">
        <v>1563</v>
      </c>
      <c r="H325" s="100" t="s">
        <v>26</v>
      </c>
      <c r="I325" s="53">
        <v>45948</v>
      </c>
      <c r="J325" s="46">
        <v>4</v>
      </c>
      <c r="K325" s="100" t="s">
        <v>262</v>
      </c>
      <c r="L325" s="101">
        <f>VLOOKUP($C325&amp;$E325,'Updated SES'!A:N,14,0)</f>
        <v>8.7000000000000008E-2</v>
      </c>
      <c r="M325" s="102">
        <f>VLOOKUP($K325,'Genre Penetration'!A:B,2,0)*VLOOKUP($C325&amp;$E325,'Updated SES'!A:I,9,0)</f>
        <v>0.46899999999999997</v>
      </c>
      <c r="N325" s="102">
        <f>VLOOKUP(K:K,'Genre Penetration'!A:C,3,0)*VLOOKUP($C325&amp;$E325,'Updated SES'!A:J,10,0)</f>
        <v>9.9000000000000005E-2</v>
      </c>
      <c r="O325" s="102" t="e">
        <f>VLOOKUP($B325,'Language Penetration'!$B$1:$AY$14,MATCH('Compile data Working'!#REF!,'Language Penetration'!$B$1:$AY$1,0),0)</f>
        <v>#REF!</v>
      </c>
      <c r="P325" s="103" t="str">
        <f t="shared" ref="P325:P388" ca="1" si="10">IF(ISBLANK(J325),RANDBETWEEN(1,2)&amp;"%",IF(J325=1,RANDBETWEEN(35,40)&amp;"%",IF(J325=2,RANDBETWEEN(30,35)&amp;"%",IF(J325=3,RANDBETWEEN(25,30)&amp;"%",IF(J325=4,RANDBETWEEN(20,25)&amp;"%",IF(J325=5,RANDBETWEEN(15,20)&amp;"%",IF(J325=6,RANDBETWEEN(10,15)&amp;"%",IF(J325=7,RANDBETWEEN(8,10)&amp;"%",IF(J325=8,RANDBETWEEN(6,8)&amp;"%",IF(J325=9,RANDBETWEEN(4,6)&amp;"%",IF(J325=10,RANDBETWEEN(2,4)&amp;"%","")))))))))))</f>
        <v>23%</v>
      </c>
      <c r="Q325" s="101" t="e">
        <f t="shared" ref="Q325:Q388" ca="1" si="11">IFERROR(L325*(M325+N325)*O325*P325,RANDBETWEEN(1,2)%*L325*(M325+N325)*O325)</f>
        <v>#REF!</v>
      </c>
      <c r="R325" s="104">
        <f>VLOOKUP(D:D,ranking!W:X,2,0)</f>
        <v>0.7</v>
      </c>
      <c r="S325" s="59">
        <v>5.0849064000000005E-4</v>
      </c>
    </row>
    <row r="326" spans="1:19" x14ac:dyDescent="0.25">
      <c r="A326" s="46" t="s">
        <v>1057</v>
      </c>
      <c r="B326" s="46" t="s">
        <v>85</v>
      </c>
      <c r="C326" s="46" t="s">
        <v>125</v>
      </c>
      <c r="D326" s="46" t="s">
        <v>434</v>
      </c>
      <c r="E326" s="46" t="s">
        <v>211</v>
      </c>
      <c r="F326" s="100" t="s">
        <v>458</v>
      </c>
      <c r="G326" s="46" t="s">
        <v>1514</v>
      </c>
      <c r="H326" s="100" t="s">
        <v>26</v>
      </c>
      <c r="I326" s="53">
        <v>45940</v>
      </c>
      <c r="J326" s="46">
        <v>5</v>
      </c>
      <c r="K326" s="100" t="s">
        <v>262</v>
      </c>
      <c r="L326" s="101">
        <f>VLOOKUP($C326&amp;$E326,'Updated SES'!A:N,14,0)</f>
        <v>8.7000000000000008E-2</v>
      </c>
      <c r="M326" s="102">
        <f>VLOOKUP($K326,'Genre Penetration'!A:B,2,0)*VLOOKUP($C326&amp;$E326,'Updated SES'!A:I,9,0)</f>
        <v>0.46899999999999997</v>
      </c>
      <c r="N326" s="102">
        <f>VLOOKUP(K:K,'Genre Penetration'!A:C,3,0)*VLOOKUP($C326&amp;$E326,'Updated SES'!A:J,10,0)</f>
        <v>9.9000000000000005E-2</v>
      </c>
      <c r="O326" s="102" t="e">
        <f>VLOOKUP($B326,'Language Penetration'!$B$1:$AY$14,MATCH('Compile data Working'!#REF!,'Language Penetration'!$B$1:$AY$1,0),0)</f>
        <v>#REF!</v>
      </c>
      <c r="P326" s="103" t="str">
        <f t="shared" ca="1" si="10"/>
        <v>16%</v>
      </c>
      <c r="Q326" s="101" t="e">
        <f t="shared" ca="1" si="11"/>
        <v>#REF!</v>
      </c>
      <c r="R326" s="104">
        <f>VLOOKUP(D:D,ranking!W:X,2,0)</f>
        <v>0.7</v>
      </c>
      <c r="S326" s="59">
        <v>3.8742144000000002E-4</v>
      </c>
    </row>
    <row r="327" spans="1:19" x14ac:dyDescent="0.25">
      <c r="A327" s="46" t="s">
        <v>1057</v>
      </c>
      <c r="B327" s="46" t="s">
        <v>85</v>
      </c>
      <c r="C327" s="46" t="s">
        <v>125</v>
      </c>
      <c r="D327" s="46" t="s">
        <v>434</v>
      </c>
      <c r="E327" s="46" t="s">
        <v>211</v>
      </c>
      <c r="F327" s="100" t="s">
        <v>458</v>
      </c>
      <c r="G327" s="46" t="s">
        <v>1387</v>
      </c>
      <c r="H327" s="100" t="s">
        <v>26</v>
      </c>
      <c r="I327" s="106">
        <v>45890</v>
      </c>
      <c r="J327" s="46">
        <v>6</v>
      </c>
      <c r="K327" s="100" t="s">
        <v>124</v>
      </c>
      <c r="L327" s="101">
        <f>VLOOKUP($C327&amp;$E327,'Updated SES'!A:N,14,0)</f>
        <v>8.7000000000000008E-2</v>
      </c>
      <c r="M327" s="102">
        <f>VLOOKUP($K327,'Genre Penetration'!A:B,2,0)*VLOOKUP($C327&amp;$E327,'Updated SES'!A:I,9,0)</f>
        <v>0.315</v>
      </c>
      <c r="N327" s="102">
        <f>VLOOKUP(K:K,'Genre Penetration'!A:C,3,0)*VLOOKUP($C327&amp;$E327,'Updated SES'!A:J,10,0)</f>
        <v>0.16500000000000001</v>
      </c>
      <c r="O327" s="102" t="e">
        <f>VLOOKUP($B327,'Language Penetration'!$B$1:$AY$14,MATCH('Compile data Working'!#REF!,'Language Penetration'!$B$1:$AY$1,0),0)</f>
        <v>#REF!</v>
      </c>
      <c r="P327" s="103" t="str">
        <f t="shared" ca="1" si="10"/>
        <v>15%</v>
      </c>
      <c r="Q327" s="101" t="e">
        <f t="shared" ca="1" si="11"/>
        <v>#REF!</v>
      </c>
      <c r="R327" s="104">
        <f>VLOOKUP(D:D,ranking!W:X,2,0)</f>
        <v>0.7</v>
      </c>
      <c r="S327" s="59">
        <v>2.0462400000000007E-4</v>
      </c>
    </row>
    <row r="328" spans="1:19" x14ac:dyDescent="0.25">
      <c r="A328" s="46" t="s">
        <v>1057</v>
      </c>
      <c r="B328" s="46" t="s">
        <v>85</v>
      </c>
      <c r="C328" s="46" t="s">
        <v>125</v>
      </c>
      <c r="D328" s="46" t="s">
        <v>434</v>
      </c>
      <c r="E328" s="46" t="s">
        <v>211</v>
      </c>
      <c r="F328" s="100" t="s">
        <v>458</v>
      </c>
      <c r="G328" s="46" t="s">
        <v>1390</v>
      </c>
      <c r="H328" s="100" t="s">
        <v>26</v>
      </c>
      <c r="I328" s="53">
        <v>45828</v>
      </c>
      <c r="J328" s="46">
        <v>7</v>
      </c>
      <c r="K328" s="46" t="s">
        <v>382</v>
      </c>
      <c r="L328" s="101">
        <f>VLOOKUP($C328&amp;$E328,'Updated SES'!A:N,14,0)</f>
        <v>8.7000000000000008E-2</v>
      </c>
      <c r="M328" s="102">
        <f>VLOOKUP($K328,'Genre Penetration'!A:B,2,0)*VLOOKUP($C328&amp;$E328,'Updated SES'!A:I,9,0)</f>
        <v>0.40599999999999997</v>
      </c>
      <c r="N328" s="102">
        <f>VLOOKUP(K:K,'Genre Penetration'!A:C,3,0)*VLOOKUP($C328&amp;$E328,'Updated SES'!A:J,10,0)</f>
        <v>0.126</v>
      </c>
      <c r="O328" s="102" t="e">
        <f>VLOOKUP($B328,'Language Penetration'!$B$1:$AY$14,MATCH('Compile data Working'!#REF!,'Language Penetration'!$B$1:$AY$1,0),0)</f>
        <v>#REF!</v>
      </c>
      <c r="P328" s="103" t="str">
        <f t="shared" ca="1" si="10"/>
        <v>8%</v>
      </c>
      <c r="Q328" s="101" t="e">
        <f t="shared" ca="1" si="11"/>
        <v>#REF!</v>
      </c>
      <c r="R328" s="104">
        <f>VLOOKUP(D:D,ranking!W:X,2,0)</f>
        <v>0.7</v>
      </c>
      <c r="S328" s="59">
        <v>2.0411244000000003E-4</v>
      </c>
    </row>
    <row r="329" spans="1:19" x14ac:dyDescent="0.25">
      <c r="A329" s="46" t="s">
        <v>1057</v>
      </c>
      <c r="B329" s="46" t="s">
        <v>85</v>
      </c>
      <c r="C329" s="46" t="s">
        <v>125</v>
      </c>
      <c r="D329" s="46" t="s">
        <v>434</v>
      </c>
      <c r="E329" s="46" t="s">
        <v>211</v>
      </c>
      <c r="F329" s="100" t="s">
        <v>458</v>
      </c>
      <c r="G329" s="46" t="s">
        <v>1389</v>
      </c>
      <c r="H329" s="100" t="s">
        <v>26</v>
      </c>
      <c r="I329" s="106">
        <v>45903</v>
      </c>
      <c r="J329" s="46">
        <v>8</v>
      </c>
      <c r="K329" s="46" t="s">
        <v>382</v>
      </c>
      <c r="L329" s="101">
        <f>VLOOKUP($C329&amp;$E329,'Updated SES'!A:N,14,0)</f>
        <v>8.7000000000000008E-2</v>
      </c>
      <c r="M329" s="102">
        <f>VLOOKUP($K329,'Genre Penetration'!A:B,2,0)*VLOOKUP($C329&amp;$E329,'Updated SES'!A:I,9,0)</f>
        <v>0.40599999999999997</v>
      </c>
      <c r="N329" s="102">
        <f>VLOOKUP(K:K,'Genre Penetration'!A:C,3,0)*VLOOKUP($C329&amp;$E329,'Updated SES'!A:J,10,0)</f>
        <v>0.126</v>
      </c>
      <c r="O329" s="102" t="e">
        <f>VLOOKUP($B329,'Language Penetration'!$B$1:$AY$14,MATCH('Compile data Working'!#REF!,'Language Penetration'!$B$1:$AY$1,0),0)</f>
        <v>#REF!</v>
      </c>
      <c r="P329" s="103" t="str">
        <f t="shared" ca="1" si="10"/>
        <v>6%</v>
      </c>
      <c r="Q329" s="101" t="e">
        <f t="shared" ca="1" si="11"/>
        <v>#REF!</v>
      </c>
      <c r="R329" s="104">
        <f>VLOOKUP(D:D,ranking!W:X,2,0)</f>
        <v>0.7</v>
      </c>
      <c r="S329" s="59">
        <v>1.8143328000000002E-4</v>
      </c>
    </row>
    <row r="330" spans="1:19" x14ac:dyDescent="0.25">
      <c r="A330" s="46" t="s">
        <v>1057</v>
      </c>
      <c r="B330" s="46" t="s">
        <v>85</v>
      </c>
      <c r="C330" s="46" t="s">
        <v>125</v>
      </c>
      <c r="D330" s="46" t="s">
        <v>434</v>
      </c>
      <c r="E330" s="46" t="s">
        <v>211</v>
      </c>
      <c r="F330" s="100" t="s">
        <v>458</v>
      </c>
      <c r="G330" s="46" t="s">
        <v>1513</v>
      </c>
      <c r="H330" s="100" t="s">
        <v>26</v>
      </c>
      <c r="I330" s="53">
        <v>45933</v>
      </c>
      <c r="J330" s="46">
        <v>9</v>
      </c>
      <c r="K330" s="46" t="s">
        <v>216</v>
      </c>
      <c r="L330" s="101">
        <f>VLOOKUP($C330&amp;$E330,'Updated SES'!A:N,14,0)</f>
        <v>8.7000000000000008E-2</v>
      </c>
      <c r="M330" s="102">
        <f>VLOOKUP($K330,'Genre Penetration'!A:B,2,0)*VLOOKUP($C330&amp;$E330,'Updated SES'!A:I,9,0)</f>
        <v>0.35</v>
      </c>
      <c r="N330" s="102">
        <f>VLOOKUP(K:K,'Genre Penetration'!A:C,3,0)*VLOOKUP($C330&amp;$E330,'Updated SES'!A:J,10,0)</f>
        <v>0.15</v>
      </c>
      <c r="O330" s="102" t="e">
        <f>VLOOKUP($B330,'Language Penetration'!$B$1:$AY$14,MATCH('Compile data Working'!#REF!,'Language Penetration'!$B$1:$AY$1,0),0)</f>
        <v>#REF!</v>
      </c>
      <c r="P330" s="103" t="str">
        <f t="shared" ca="1" si="10"/>
        <v>5%</v>
      </c>
      <c r="Q330" s="101" t="e">
        <f t="shared" ca="1" si="11"/>
        <v>#REF!</v>
      </c>
      <c r="R330" s="104">
        <f>VLOOKUP(D:D,ranking!W:X,2,0)</f>
        <v>0.7</v>
      </c>
      <c r="S330" s="59">
        <v>1.2789E-4</v>
      </c>
    </row>
    <row r="331" spans="1:19" x14ac:dyDescent="0.25">
      <c r="A331" s="46" t="s">
        <v>1057</v>
      </c>
      <c r="B331" s="46" t="s">
        <v>85</v>
      </c>
      <c r="C331" s="46" t="s">
        <v>125</v>
      </c>
      <c r="D331" s="46" t="s">
        <v>434</v>
      </c>
      <c r="E331" s="46" t="s">
        <v>211</v>
      </c>
      <c r="F331" s="98" t="s">
        <v>458</v>
      </c>
      <c r="G331" s="46" t="s">
        <v>1388</v>
      </c>
      <c r="H331" s="98" t="s">
        <v>26</v>
      </c>
      <c r="I331" s="106">
        <v>45922</v>
      </c>
      <c r="J331" s="46">
        <v>10</v>
      </c>
      <c r="K331" s="98" t="s">
        <v>173</v>
      </c>
      <c r="L331" s="101">
        <f>VLOOKUP($C331&amp;$E331,'Updated SES'!A:N,14,0)</f>
        <v>8.7000000000000008E-2</v>
      </c>
      <c r="M331" s="102">
        <f>VLOOKUP($K331,'Genre Penetration'!A:B,2,0)*VLOOKUP($C331&amp;$E331,'Updated SES'!A:I,9,0)</f>
        <v>0.38500000000000001</v>
      </c>
      <c r="N331" s="102">
        <f>VLOOKUP(K:K,'Genre Penetration'!A:C,3,0)*VLOOKUP($C331&amp;$E331,'Updated SES'!A:J,10,0)</f>
        <v>0.13500000000000001</v>
      </c>
      <c r="O331" s="102" t="e">
        <f>VLOOKUP($B331,'Language Penetration'!$B$1:$AY$14,MATCH('Compile data Working'!#REF!,'Language Penetration'!$B$1:$AY$1,0),0)</f>
        <v>#REF!</v>
      </c>
      <c r="P331" s="103" t="str">
        <f t="shared" ca="1" si="10"/>
        <v>2%</v>
      </c>
      <c r="Q331" s="101" t="e">
        <f t="shared" ca="1" si="11"/>
        <v>#REF!</v>
      </c>
      <c r="R331" s="104">
        <f>VLOOKUP(D:D,ranking!W:X,2,0)</f>
        <v>0.7</v>
      </c>
      <c r="S331" s="59">
        <v>4.4335200000000002E-5</v>
      </c>
    </row>
    <row r="332" spans="1:19" x14ac:dyDescent="0.25">
      <c r="A332" s="46" t="s">
        <v>1057</v>
      </c>
      <c r="B332" s="46" t="s">
        <v>85</v>
      </c>
      <c r="C332" s="46" t="s">
        <v>127</v>
      </c>
      <c r="D332" s="46" t="s">
        <v>434</v>
      </c>
      <c r="E332" s="46" t="s">
        <v>211</v>
      </c>
      <c r="F332" s="100" t="s">
        <v>458</v>
      </c>
      <c r="G332" s="46" t="s">
        <v>1712</v>
      </c>
      <c r="H332" s="100" t="s">
        <v>30</v>
      </c>
      <c r="I332" s="53">
        <v>45946</v>
      </c>
      <c r="J332" s="46">
        <v>1</v>
      </c>
      <c r="K332" s="100" t="s">
        <v>124</v>
      </c>
      <c r="L332" s="101">
        <f>VLOOKUP($C332&amp;$E332,'Updated SES'!A:N,14,0)</f>
        <v>15.819999999999999</v>
      </c>
      <c r="M332" s="102">
        <f>VLOOKUP($K332,'Genre Penetration'!A:B,2,0)*VLOOKUP($C332&amp;$E332,'Updated SES'!A:I,9,0)</f>
        <v>0.33750000000000002</v>
      </c>
      <c r="N332" s="102">
        <f>VLOOKUP(K:K,'Genre Penetration'!A:C,3,0)*VLOOKUP($C332&amp;$E332,'Updated SES'!A:J,10,0)</f>
        <v>0.13750000000000001</v>
      </c>
      <c r="O332" s="102" t="e">
        <f>VLOOKUP($B332,'Language Penetration'!$B$1:$AY$14,MATCH('Compile data Working'!#REF!,'Language Penetration'!$B$1:$AY$1,0),0)</f>
        <v>#REF!</v>
      </c>
      <c r="P332" s="103" t="str">
        <f t="shared" ca="1" si="10"/>
        <v>39%</v>
      </c>
      <c r="Q332" s="101" t="e">
        <f t="shared" ca="1" si="11"/>
        <v>#REF!</v>
      </c>
      <c r="R332" s="104">
        <f>VLOOKUP(D:D,ranking!W:X,2,0)</f>
        <v>0.7</v>
      </c>
      <c r="S332" s="59">
        <v>0.28404809999999997</v>
      </c>
    </row>
    <row r="333" spans="1:19" x14ac:dyDescent="0.25">
      <c r="A333" s="46" t="s">
        <v>1057</v>
      </c>
      <c r="B333" s="46" t="s">
        <v>85</v>
      </c>
      <c r="C333" s="46" t="s">
        <v>127</v>
      </c>
      <c r="D333" s="46" t="s">
        <v>434</v>
      </c>
      <c r="E333" s="46" t="s">
        <v>211</v>
      </c>
      <c r="F333" s="100" t="s">
        <v>458</v>
      </c>
      <c r="G333" s="46" t="s">
        <v>1713</v>
      </c>
      <c r="H333" s="100" t="s">
        <v>30</v>
      </c>
      <c r="I333" s="106">
        <v>45883</v>
      </c>
      <c r="J333" s="46">
        <v>2</v>
      </c>
      <c r="K333" s="46" t="s">
        <v>124</v>
      </c>
      <c r="L333" s="101">
        <f>VLOOKUP($C333&amp;$E333,'Updated SES'!A:N,14,0)</f>
        <v>15.819999999999999</v>
      </c>
      <c r="M333" s="102">
        <f>VLOOKUP($K333,'Genre Penetration'!A:B,2,0)*VLOOKUP($C333&amp;$E333,'Updated SES'!A:I,9,0)</f>
        <v>0.33750000000000002</v>
      </c>
      <c r="N333" s="102">
        <f>VLOOKUP(K:K,'Genre Penetration'!A:C,3,0)*VLOOKUP($C333&amp;$E333,'Updated SES'!A:J,10,0)</f>
        <v>0.13750000000000001</v>
      </c>
      <c r="O333" s="102" t="e">
        <f>VLOOKUP($B333,'Language Penetration'!$B$1:$AY$14,MATCH('Compile data Working'!#REF!,'Language Penetration'!$B$1:$AY$1,0),0)</f>
        <v>#REF!</v>
      </c>
      <c r="P333" s="103" t="str">
        <f t="shared" ca="1" si="10"/>
        <v>35%</v>
      </c>
      <c r="Q333" s="101" t="e">
        <f t="shared" ca="1" si="11"/>
        <v>#REF!</v>
      </c>
      <c r="R333" s="104">
        <f>VLOOKUP(D:D,ranking!W:X,2,0)</f>
        <v>0.7</v>
      </c>
      <c r="S333" s="59">
        <v>0.25248720000000002</v>
      </c>
    </row>
    <row r="334" spans="1:19" x14ac:dyDescent="0.25">
      <c r="A334" s="46" t="s">
        <v>1057</v>
      </c>
      <c r="B334" s="46" t="s">
        <v>85</v>
      </c>
      <c r="C334" s="46" t="s">
        <v>127</v>
      </c>
      <c r="D334" s="46" t="s">
        <v>434</v>
      </c>
      <c r="E334" s="46" t="s">
        <v>211</v>
      </c>
      <c r="F334" s="100" t="s">
        <v>458</v>
      </c>
      <c r="G334" s="46" t="s">
        <v>1714</v>
      </c>
      <c r="H334" s="100" t="s">
        <v>30</v>
      </c>
      <c r="I334" s="106">
        <v>45911</v>
      </c>
      <c r="J334" s="46">
        <v>3</v>
      </c>
      <c r="K334" s="46" t="s">
        <v>216</v>
      </c>
      <c r="L334" s="101">
        <f>VLOOKUP($C334&amp;$E334,'Updated SES'!A:N,14,0)</f>
        <v>15.819999999999999</v>
      </c>
      <c r="M334" s="102">
        <f>VLOOKUP($K334,'Genre Penetration'!A:B,2,0)*VLOOKUP($C334&amp;$E334,'Updated SES'!A:I,9,0)</f>
        <v>0.375</v>
      </c>
      <c r="N334" s="102">
        <f>VLOOKUP(K:K,'Genre Penetration'!A:C,3,0)*VLOOKUP($C334&amp;$E334,'Updated SES'!A:J,10,0)</f>
        <v>0.125</v>
      </c>
      <c r="O334" s="102" t="e">
        <f>VLOOKUP($B334,'Language Penetration'!$B$1:$AY$14,MATCH('Compile data Working'!#REF!,'Language Penetration'!$B$1:$AY$1,0),0)</f>
        <v>#REF!</v>
      </c>
      <c r="P334" s="103" t="str">
        <f t="shared" ca="1" si="10"/>
        <v>26%</v>
      </c>
      <c r="Q334" s="101" t="e">
        <f t="shared" ca="1" si="11"/>
        <v>#REF!</v>
      </c>
      <c r="R334" s="104">
        <f>VLOOKUP(D:D,ranking!W:X,2,0)</f>
        <v>0.7</v>
      </c>
      <c r="S334" s="59">
        <v>0.23255399999999998</v>
      </c>
    </row>
    <row r="335" spans="1:19" x14ac:dyDescent="0.25">
      <c r="A335" s="46" t="s">
        <v>1057</v>
      </c>
      <c r="B335" s="46" t="s">
        <v>85</v>
      </c>
      <c r="C335" s="46" t="s">
        <v>127</v>
      </c>
      <c r="D335" s="46" t="s">
        <v>434</v>
      </c>
      <c r="E335" s="46" t="s">
        <v>211</v>
      </c>
      <c r="F335" s="100" t="s">
        <v>458</v>
      </c>
      <c r="G335" s="46" t="s">
        <v>1715</v>
      </c>
      <c r="H335" s="98" t="s">
        <v>30</v>
      </c>
      <c r="I335" s="106">
        <v>45862</v>
      </c>
      <c r="J335" s="46">
        <v>4</v>
      </c>
      <c r="K335" s="98" t="s">
        <v>216</v>
      </c>
      <c r="L335" s="101">
        <f>VLOOKUP($C335&amp;$E335,'Updated SES'!A:N,14,0)</f>
        <v>15.819999999999999</v>
      </c>
      <c r="M335" s="102">
        <f>VLOOKUP($K335,'Genre Penetration'!A:B,2,0)*VLOOKUP($C335&amp;$E335,'Updated SES'!A:I,9,0)</f>
        <v>0.375</v>
      </c>
      <c r="N335" s="102">
        <f>VLOOKUP(K:K,'Genre Penetration'!A:C,3,0)*VLOOKUP($C335&amp;$E335,'Updated SES'!A:J,10,0)</f>
        <v>0.125</v>
      </c>
      <c r="O335" s="102" t="e">
        <f>VLOOKUP($B335,'Language Penetration'!$B$1:$AY$14,MATCH('Compile data Working'!#REF!,'Language Penetration'!$B$1:$AY$1,0),0)</f>
        <v>#REF!</v>
      </c>
      <c r="P335" s="103" t="str">
        <f t="shared" ca="1" si="10"/>
        <v>22%</v>
      </c>
      <c r="Q335" s="101" t="e">
        <f t="shared" ca="1" si="11"/>
        <v>#REF!</v>
      </c>
      <c r="R335" s="104">
        <f>VLOOKUP(D:D,ranking!W:X,2,0)</f>
        <v>0.7</v>
      </c>
      <c r="S335" s="59">
        <v>0.16610999999999998</v>
      </c>
    </row>
    <row r="336" spans="1:19" x14ac:dyDescent="0.25">
      <c r="A336" s="46" t="s">
        <v>1057</v>
      </c>
      <c r="B336" s="46" t="s">
        <v>85</v>
      </c>
      <c r="C336" s="46" t="s">
        <v>127</v>
      </c>
      <c r="D336" s="46" t="s">
        <v>434</v>
      </c>
      <c r="E336" s="46" t="s">
        <v>211</v>
      </c>
      <c r="F336" s="100" t="s">
        <v>458</v>
      </c>
      <c r="G336" s="46" t="s">
        <v>1716</v>
      </c>
      <c r="H336" s="98" t="s">
        <v>30</v>
      </c>
      <c r="I336" s="106">
        <v>45827</v>
      </c>
      <c r="J336" s="46">
        <v>5</v>
      </c>
      <c r="K336" s="46" t="s">
        <v>124</v>
      </c>
      <c r="L336" s="101">
        <f>VLOOKUP($C336&amp;$E336,'Updated SES'!A:N,14,0)</f>
        <v>15.819999999999999</v>
      </c>
      <c r="M336" s="102">
        <f>VLOOKUP($K336,'Genre Penetration'!A:B,2,0)*VLOOKUP($C336&amp;$E336,'Updated SES'!A:I,9,0)</f>
        <v>0.33750000000000002</v>
      </c>
      <c r="N336" s="102">
        <f>VLOOKUP(K:K,'Genre Penetration'!A:C,3,0)*VLOOKUP($C336&amp;$E336,'Updated SES'!A:J,10,0)</f>
        <v>0.13750000000000001</v>
      </c>
      <c r="O336" s="102" t="e">
        <f>VLOOKUP($B336,'Language Penetration'!$B$1:$AY$14,MATCH('Compile data Working'!#REF!,'Language Penetration'!$B$1:$AY$1,0),0)</f>
        <v>#REF!</v>
      </c>
      <c r="P336" s="103" t="str">
        <f t="shared" ca="1" si="10"/>
        <v>20%</v>
      </c>
      <c r="Q336" s="101" t="e">
        <f t="shared" ca="1" si="11"/>
        <v>#REF!</v>
      </c>
      <c r="R336" s="104">
        <f>VLOOKUP(D:D,ranking!W:X,2,0)</f>
        <v>0.7</v>
      </c>
      <c r="S336" s="59">
        <v>0.14202404999999999</v>
      </c>
    </row>
    <row r="337" spans="1:19" x14ac:dyDescent="0.25">
      <c r="A337" s="46" t="s">
        <v>1057</v>
      </c>
      <c r="B337" s="46" t="s">
        <v>85</v>
      </c>
      <c r="C337" s="46" t="s">
        <v>127</v>
      </c>
      <c r="D337" s="46" t="s">
        <v>434</v>
      </c>
      <c r="E337" s="46" t="s">
        <v>211</v>
      </c>
      <c r="F337" s="100" t="s">
        <v>458</v>
      </c>
      <c r="G337" s="46" t="s">
        <v>1717</v>
      </c>
      <c r="H337" s="98" t="s">
        <v>30</v>
      </c>
      <c r="I337" s="106">
        <v>45771</v>
      </c>
      <c r="J337" s="46">
        <v>6</v>
      </c>
      <c r="K337" s="98" t="s">
        <v>124</v>
      </c>
      <c r="L337" s="101">
        <f>VLOOKUP($C337&amp;$E337,'Updated SES'!A:N,14,0)</f>
        <v>15.819999999999999</v>
      </c>
      <c r="M337" s="102">
        <f>VLOOKUP($K337,'Genre Penetration'!A:B,2,0)*VLOOKUP($C337&amp;$E337,'Updated SES'!A:I,9,0)</f>
        <v>0.33750000000000002</v>
      </c>
      <c r="N337" s="102">
        <f>VLOOKUP(K:K,'Genre Penetration'!A:C,3,0)*VLOOKUP($C337&amp;$E337,'Updated SES'!A:J,10,0)</f>
        <v>0.13750000000000001</v>
      </c>
      <c r="O337" s="102" t="e">
        <f>VLOOKUP($B337,'Language Penetration'!$B$1:$AY$14,MATCH('Compile data Working'!#REF!,'Language Penetration'!$B$1:$AY$1,0),0)</f>
        <v>#REF!</v>
      </c>
      <c r="P337" s="103" t="str">
        <f t="shared" ca="1" si="10"/>
        <v>15%</v>
      </c>
      <c r="Q337" s="101" t="e">
        <f t="shared" ca="1" si="11"/>
        <v>#REF!</v>
      </c>
      <c r="R337" s="104">
        <f>VLOOKUP(D:D,ranking!W:X,2,0)</f>
        <v>0.7</v>
      </c>
      <c r="S337" s="59">
        <v>7.8902250000000007E-2</v>
      </c>
    </row>
    <row r="338" spans="1:19" x14ac:dyDescent="0.25">
      <c r="A338" s="46" t="s">
        <v>1057</v>
      </c>
      <c r="B338" s="46" t="s">
        <v>85</v>
      </c>
      <c r="C338" s="46" t="s">
        <v>127</v>
      </c>
      <c r="D338" s="46" t="s">
        <v>434</v>
      </c>
      <c r="E338" s="46" t="s">
        <v>211</v>
      </c>
      <c r="F338" s="100" t="s">
        <v>458</v>
      </c>
      <c r="G338" s="46" t="s">
        <v>1718</v>
      </c>
      <c r="H338" s="98" t="s">
        <v>30</v>
      </c>
      <c r="I338" s="106">
        <v>45085</v>
      </c>
      <c r="J338" s="46">
        <v>7</v>
      </c>
      <c r="K338" s="46" t="s">
        <v>216</v>
      </c>
      <c r="L338" s="101">
        <f>VLOOKUP($C338&amp;$E338,'Updated SES'!A:N,14,0)</f>
        <v>15.819999999999999</v>
      </c>
      <c r="M338" s="102">
        <f>VLOOKUP($K338,'Genre Penetration'!A:B,2,0)*VLOOKUP($C338&amp;$E338,'Updated SES'!A:I,9,0)</f>
        <v>0.375</v>
      </c>
      <c r="N338" s="102">
        <f>VLOOKUP(K:K,'Genre Penetration'!A:C,3,0)*VLOOKUP($C338&amp;$E338,'Updated SES'!A:J,10,0)</f>
        <v>0.125</v>
      </c>
      <c r="O338" s="102" t="e">
        <f>VLOOKUP($B338,'Language Penetration'!$B$1:$AY$14,MATCH('Compile data Working'!#REF!,'Language Penetration'!$B$1:$AY$1,0),0)</f>
        <v>#REF!</v>
      </c>
      <c r="P338" s="103" t="str">
        <f t="shared" ca="1" si="10"/>
        <v>8%</v>
      </c>
      <c r="Q338" s="101" t="e">
        <f t="shared" ca="1" si="11"/>
        <v>#REF!</v>
      </c>
      <c r="R338" s="104">
        <f>VLOOKUP(D:D,ranking!W:X,2,0)</f>
        <v>0.7</v>
      </c>
      <c r="S338" s="59">
        <v>7.4749499999999983E-2</v>
      </c>
    </row>
    <row r="339" spans="1:19" x14ac:dyDescent="0.25">
      <c r="A339" s="46" t="s">
        <v>1057</v>
      </c>
      <c r="B339" s="46" t="s">
        <v>85</v>
      </c>
      <c r="C339" s="46" t="s">
        <v>127</v>
      </c>
      <c r="D339" s="46" t="s">
        <v>434</v>
      </c>
      <c r="E339" s="46" t="s">
        <v>211</v>
      </c>
      <c r="F339" s="100" t="s">
        <v>458</v>
      </c>
      <c r="G339" s="46" t="s">
        <v>760</v>
      </c>
      <c r="H339" s="98" t="s">
        <v>30</v>
      </c>
      <c r="I339" s="106">
        <v>44792</v>
      </c>
      <c r="J339" s="46">
        <v>8</v>
      </c>
      <c r="K339" s="98" t="s">
        <v>124</v>
      </c>
      <c r="L339" s="101">
        <f>VLOOKUP($C339&amp;$E339,'Updated SES'!A:N,14,0)</f>
        <v>15.819999999999999</v>
      </c>
      <c r="M339" s="102">
        <f>VLOOKUP($K339,'Genre Penetration'!A:B,2,0)*VLOOKUP($C339&amp;$E339,'Updated SES'!A:I,9,0)</f>
        <v>0.33750000000000002</v>
      </c>
      <c r="N339" s="102">
        <f>VLOOKUP(K:K,'Genre Penetration'!A:C,3,0)*VLOOKUP($C339&amp;$E339,'Updated SES'!A:J,10,0)</f>
        <v>0.13750000000000001</v>
      </c>
      <c r="O339" s="102" t="e">
        <f>VLOOKUP($B339,'Language Penetration'!$B$1:$AY$14,MATCH('Compile data Working'!#REF!,'Language Penetration'!$B$1:$AY$1,0),0)</f>
        <v>#REF!</v>
      </c>
      <c r="P339" s="103" t="str">
        <f t="shared" ca="1" si="10"/>
        <v>7%</v>
      </c>
      <c r="Q339" s="101" t="e">
        <f t="shared" ca="1" si="11"/>
        <v>#REF!</v>
      </c>
      <c r="R339" s="104">
        <f>VLOOKUP(D:D,ranking!W:X,2,0)</f>
        <v>0.7</v>
      </c>
      <c r="S339" s="59">
        <v>6.3121800000000006E-2</v>
      </c>
    </row>
    <row r="340" spans="1:19" x14ac:dyDescent="0.25">
      <c r="A340" s="46" t="s">
        <v>1057</v>
      </c>
      <c r="B340" s="46" t="s">
        <v>85</v>
      </c>
      <c r="C340" s="46" t="s">
        <v>127</v>
      </c>
      <c r="D340" s="46" t="s">
        <v>434</v>
      </c>
      <c r="E340" s="46" t="s">
        <v>211</v>
      </c>
      <c r="F340" s="98" t="s">
        <v>458</v>
      </c>
      <c r="G340" s="46" t="s">
        <v>1719</v>
      </c>
      <c r="H340" s="98" t="s">
        <v>30</v>
      </c>
      <c r="I340" s="106">
        <v>45638</v>
      </c>
      <c r="J340" s="46">
        <v>9</v>
      </c>
      <c r="K340" s="98" t="s">
        <v>124</v>
      </c>
      <c r="L340" s="101">
        <f>VLOOKUP($C340&amp;$E340,'Updated SES'!A:N,14,0)</f>
        <v>15.819999999999999</v>
      </c>
      <c r="M340" s="102">
        <f>VLOOKUP($K340,'Genre Penetration'!A:B,2,0)*VLOOKUP($C340&amp;$E340,'Updated SES'!A:I,9,0)</f>
        <v>0.33750000000000002</v>
      </c>
      <c r="N340" s="102">
        <f>VLOOKUP(K:K,'Genre Penetration'!A:C,3,0)*VLOOKUP($C340&amp;$E340,'Updated SES'!A:J,10,0)</f>
        <v>0.13750000000000001</v>
      </c>
      <c r="O340" s="102" t="e">
        <f>VLOOKUP($B340,'Language Penetration'!$B$1:$AY$14,MATCH('Compile data Working'!#REF!,'Language Penetration'!$B$1:$AY$1,0),0)</f>
        <v>#REF!</v>
      </c>
      <c r="P340" s="103" t="str">
        <f t="shared" ca="1" si="10"/>
        <v>6%</v>
      </c>
      <c r="Q340" s="101" t="e">
        <f t="shared" ca="1" si="11"/>
        <v>#REF!</v>
      </c>
      <c r="R340" s="104">
        <f>VLOOKUP(D:D,ranking!W:X,2,0)</f>
        <v>0.7</v>
      </c>
      <c r="S340" s="59">
        <v>4.7341349999999997E-2</v>
      </c>
    </row>
    <row r="341" spans="1:19" x14ac:dyDescent="0.25">
      <c r="A341" s="46" t="s">
        <v>1057</v>
      </c>
      <c r="B341" s="46" t="s">
        <v>85</v>
      </c>
      <c r="C341" s="46" t="s">
        <v>127</v>
      </c>
      <c r="D341" s="46" t="s">
        <v>434</v>
      </c>
      <c r="E341" s="46" t="s">
        <v>211</v>
      </c>
      <c r="F341" s="98" t="s">
        <v>458</v>
      </c>
      <c r="G341" s="46" t="s">
        <v>759</v>
      </c>
      <c r="H341" s="46" t="s">
        <v>30</v>
      </c>
      <c r="I341" s="106">
        <v>45518</v>
      </c>
      <c r="J341" s="46">
        <v>10</v>
      </c>
      <c r="K341" s="46" t="s">
        <v>124</v>
      </c>
      <c r="L341" s="101">
        <f>VLOOKUP($C341&amp;$E341,'Updated SES'!A:N,14,0)</f>
        <v>15.819999999999999</v>
      </c>
      <c r="M341" s="102">
        <f>VLOOKUP($K341,'Genre Penetration'!A:B,2,0)*VLOOKUP($C341&amp;$E341,'Updated SES'!A:I,9,0)</f>
        <v>0.33750000000000002</v>
      </c>
      <c r="N341" s="102">
        <f>VLOOKUP(K:K,'Genre Penetration'!A:C,3,0)*VLOOKUP($C341&amp;$E341,'Updated SES'!A:J,10,0)</f>
        <v>0.13750000000000001</v>
      </c>
      <c r="O341" s="102" t="e">
        <f>VLOOKUP($B341,'Language Penetration'!$B$1:$AY$14,MATCH('Compile data Working'!#REF!,'Language Penetration'!$B$1:$AY$1,0),0)</f>
        <v>#REF!</v>
      </c>
      <c r="P341" s="103" t="str">
        <f t="shared" ca="1" si="10"/>
        <v>3%</v>
      </c>
      <c r="Q341" s="101" t="e">
        <f t="shared" ca="1" si="11"/>
        <v>#REF!</v>
      </c>
      <c r="R341" s="104">
        <f>VLOOKUP(D:D,ranking!W:X,2,0)</f>
        <v>0.7</v>
      </c>
      <c r="S341" s="59">
        <v>1.5780450000000001E-2</v>
      </c>
    </row>
    <row r="342" spans="1:19" x14ac:dyDescent="0.25">
      <c r="A342" s="46" t="s">
        <v>1057</v>
      </c>
      <c r="B342" s="46" t="s">
        <v>85</v>
      </c>
      <c r="C342" s="46" t="s">
        <v>127</v>
      </c>
      <c r="D342" s="46" t="s">
        <v>431</v>
      </c>
      <c r="E342" s="46" t="s">
        <v>211</v>
      </c>
      <c r="F342" s="98" t="s">
        <v>457</v>
      </c>
      <c r="G342" s="46" t="s">
        <v>1720</v>
      </c>
      <c r="H342" s="98" t="s">
        <v>19</v>
      </c>
      <c r="I342" s="106">
        <v>45931</v>
      </c>
      <c r="J342" s="46">
        <v>1</v>
      </c>
      <c r="K342" s="98" t="s">
        <v>178</v>
      </c>
      <c r="L342" s="101">
        <f>VLOOKUP($C342&amp;$E342,'Updated SES'!A:N,14,0)</f>
        <v>15.819999999999999</v>
      </c>
      <c r="M342" s="102">
        <f>VLOOKUP($K342,'Genre Penetration'!A:B,2,0)*VLOOKUP($C342&amp;$E342,'Updated SES'!A:I,9,0)</f>
        <v>0.45750000000000002</v>
      </c>
      <c r="N342" s="102">
        <f>VLOOKUP(K:K,'Genre Penetration'!A:C,3,0)*VLOOKUP($C342&amp;$E342,'Updated SES'!A:J,10,0)</f>
        <v>9.7500000000000003E-2</v>
      </c>
      <c r="O342" s="102" t="e">
        <f>VLOOKUP($B342,'Language Penetration'!$B$1:$AY$14,MATCH('Compile data Working'!#REF!,'Language Penetration'!$B$1:$AY$1,0),0)</f>
        <v>#REF!</v>
      </c>
      <c r="P342" s="103" t="str">
        <f t="shared" ca="1" si="10"/>
        <v>35%</v>
      </c>
      <c r="Q342" s="101" t="e">
        <f t="shared" ca="1" si="11"/>
        <v>#REF!</v>
      </c>
      <c r="R342" s="104">
        <f>VLOOKUP(D:D,ranking!W:X,2,0)</f>
        <v>0.6</v>
      </c>
      <c r="S342" s="59">
        <v>1.2643343999999999</v>
      </c>
    </row>
    <row r="343" spans="1:19" x14ac:dyDescent="0.25">
      <c r="A343" s="46" t="s">
        <v>1057</v>
      </c>
      <c r="B343" s="46" t="s">
        <v>85</v>
      </c>
      <c r="C343" s="46" t="s">
        <v>127</v>
      </c>
      <c r="D343" s="51" t="s">
        <v>431</v>
      </c>
      <c r="E343" s="46" t="s">
        <v>211</v>
      </c>
      <c r="F343" s="98" t="s">
        <v>457</v>
      </c>
      <c r="G343" s="46" t="s">
        <v>1721</v>
      </c>
      <c r="H343" s="98" t="s">
        <v>19</v>
      </c>
      <c r="I343" s="106">
        <v>45882</v>
      </c>
      <c r="J343" s="46">
        <v>2</v>
      </c>
      <c r="K343" s="98" t="s">
        <v>216</v>
      </c>
      <c r="L343" s="101">
        <f>VLOOKUP($C343&amp;$E343,'Updated SES'!A:N,14,0)</f>
        <v>15.819999999999999</v>
      </c>
      <c r="M343" s="102">
        <f>VLOOKUP($K343,'Genre Penetration'!A:B,2,0)*VLOOKUP($C343&amp;$E343,'Updated SES'!A:I,9,0)</f>
        <v>0.375</v>
      </c>
      <c r="N343" s="102">
        <f>VLOOKUP(K:K,'Genre Penetration'!A:C,3,0)*VLOOKUP($C343&amp;$E343,'Updated SES'!A:J,10,0)</f>
        <v>0.125</v>
      </c>
      <c r="O343" s="102" t="e">
        <f>VLOOKUP($B343,'Language Penetration'!$B$1:$AY$14,MATCH('Compile data Working'!#REF!,'Language Penetration'!$B$1:$AY$1,0),0)</f>
        <v>#REF!</v>
      </c>
      <c r="P343" s="103" t="str">
        <f t="shared" ca="1" si="10"/>
        <v>35%</v>
      </c>
      <c r="Q343" s="101" t="e">
        <f t="shared" ca="1" si="11"/>
        <v>#REF!</v>
      </c>
      <c r="R343" s="104">
        <f>VLOOKUP(D:D,ranking!W:X,2,0)</f>
        <v>0.6</v>
      </c>
      <c r="S343" s="59">
        <v>0.85427999999999982</v>
      </c>
    </row>
    <row r="344" spans="1:19" x14ac:dyDescent="0.25">
      <c r="A344" s="46" t="s">
        <v>1057</v>
      </c>
      <c r="B344" s="46" t="s">
        <v>85</v>
      </c>
      <c r="C344" s="46" t="s">
        <v>127</v>
      </c>
      <c r="D344" s="46" t="s">
        <v>431</v>
      </c>
      <c r="E344" s="46" t="s">
        <v>211</v>
      </c>
      <c r="F344" s="98" t="s">
        <v>457</v>
      </c>
      <c r="G344" s="46" t="s">
        <v>1722</v>
      </c>
      <c r="H344" s="98" t="s">
        <v>19</v>
      </c>
      <c r="I344" s="106">
        <v>45870</v>
      </c>
      <c r="J344" s="46">
        <v>3</v>
      </c>
      <c r="K344" s="98" t="s">
        <v>216</v>
      </c>
      <c r="L344" s="101">
        <f>VLOOKUP($C344&amp;$E344,'Updated SES'!A:N,14,0)</f>
        <v>15.819999999999999</v>
      </c>
      <c r="M344" s="102">
        <f>VLOOKUP($K344,'Genre Penetration'!A:B,2,0)*VLOOKUP($C344&amp;$E344,'Updated SES'!A:I,9,0)</f>
        <v>0.375</v>
      </c>
      <c r="N344" s="102">
        <f>VLOOKUP(K:K,'Genre Penetration'!A:C,3,0)*VLOOKUP($C344&amp;$E344,'Updated SES'!A:J,10,0)</f>
        <v>0.125</v>
      </c>
      <c r="O344" s="102" t="e">
        <f>VLOOKUP($B344,'Language Penetration'!$B$1:$AY$14,MATCH('Compile data Working'!#REF!,'Language Penetration'!$B$1:$AY$1,0),0)</f>
        <v>#REF!</v>
      </c>
      <c r="P344" s="103" t="str">
        <f t="shared" ca="1" si="10"/>
        <v>27%</v>
      </c>
      <c r="Q344" s="101" t="e">
        <f t="shared" ca="1" si="11"/>
        <v>#REF!</v>
      </c>
      <c r="R344" s="104">
        <f>VLOOKUP(D:D,ranking!W:X,2,0)</f>
        <v>0.6</v>
      </c>
      <c r="S344" s="59">
        <v>0.82580399999999976</v>
      </c>
    </row>
    <row r="345" spans="1:19" x14ac:dyDescent="0.25">
      <c r="A345" s="46" t="s">
        <v>1057</v>
      </c>
      <c r="B345" s="46" t="s">
        <v>85</v>
      </c>
      <c r="C345" s="46" t="s">
        <v>127</v>
      </c>
      <c r="D345" s="51" t="s">
        <v>431</v>
      </c>
      <c r="E345" s="46" t="s">
        <v>211</v>
      </c>
      <c r="F345" s="98" t="s">
        <v>457</v>
      </c>
      <c r="G345" s="46" t="s">
        <v>1723</v>
      </c>
      <c r="H345" s="98" t="s">
        <v>19</v>
      </c>
      <c r="I345" s="106">
        <v>45822</v>
      </c>
      <c r="J345" s="46">
        <v>4</v>
      </c>
      <c r="K345" s="98" t="s">
        <v>178</v>
      </c>
      <c r="L345" s="101">
        <f>VLOOKUP($C345&amp;$E345,'Updated SES'!A:N,14,0)</f>
        <v>15.819999999999999</v>
      </c>
      <c r="M345" s="102">
        <f>VLOOKUP($K345,'Genre Penetration'!A:B,2,0)*VLOOKUP($C345&amp;$E345,'Updated SES'!A:I,9,0)</f>
        <v>0.45750000000000002</v>
      </c>
      <c r="N345" s="102">
        <f>VLOOKUP(K:K,'Genre Penetration'!A:C,3,0)*VLOOKUP($C345&amp;$E345,'Updated SES'!A:J,10,0)</f>
        <v>9.7500000000000003E-2</v>
      </c>
      <c r="O345" s="102" t="e">
        <f>VLOOKUP($B345,'Language Penetration'!$B$1:$AY$14,MATCH('Compile data Working'!#REF!,'Language Penetration'!$B$1:$AY$1,0),0)</f>
        <v>#REF!</v>
      </c>
      <c r="P345" s="103" t="str">
        <f t="shared" ca="1" si="10"/>
        <v>23%</v>
      </c>
      <c r="Q345" s="101" t="e">
        <f t="shared" ca="1" si="11"/>
        <v>#REF!</v>
      </c>
      <c r="R345" s="104">
        <f>VLOOKUP(D:D,ranking!W:X,2,0)</f>
        <v>0.6</v>
      </c>
      <c r="S345" s="59">
        <v>0.72699227999999994</v>
      </c>
    </row>
    <row r="346" spans="1:19" x14ac:dyDescent="0.25">
      <c r="A346" s="46" t="s">
        <v>1057</v>
      </c>
      <c r="B346" s="46" t="s">
        <v>85</v>
      </c>
      <c r="C346" s="46" t="s">
        <v>127</v>
      </c>
      <c r="D346" s="46" t="s">
        <v>431</v>
      </c>
      <c r="E346" s="46" t="s">
        <v>211</v>
      </c>
      <c r="F346" s="98" t="s">
        <v>457</v>
      </c>
      <c r="G346" s="46" t="s">
        <v>1724</v>
      </c>
      <c r="H346" s="98" t="s">
        <v>30</v>
      </c>
      <c r="I346" s="106">
        <v>45940</v>
      </c>
      <c r="J346" s="46">
        <v>5</v>
      </c>
      <c r="K346" s="98" t="s">
        <v>178</v>
      </c>
      <c r="L346" s="101">
        <f>VLOOKUP($C346&amp;$E346,'Updated SES'!A:N,14,0)</f>
        <v>15.819999999999999</v>
      </c>
      <c r="M346" s="102">
        <f>VLOOKUP($K346,'Genre Penetration'!A:B,2,0)*VLOOKUP($C346&amp;$E346,'Updated SES'!A:I,9,0)</f>
        <v>0.45750000000000002</v>
      </c>
      <c r="N346" s="102">
        <f>VLOOKUP(K:K,'Genre Penetration'!A:C,3,0)*VLOOKUP($C346&amp;$E346,'Updated SES'!A:J,10,0)</f>
        <v>9.7500000000000003E-2</v>
      </c>
      <c r="O346" s="102" t="e">
        <f>VLOOKUP($B346,'Language Penetration'!$B$1:$AY$14,MATCH('Compile data Working'!#REF!,'Language Penetration'!$B$1:$AY$1,0),0)</f>
        <v>#REF!</v>
      </c>
      <c r="P346" s="103" t="str">
        <f t="shared" ca="1" si="10"/>
        <v>17%</v>
      </c>
      <c r="Q346" s="101" t="e">
        <f t="shared" ca="1" si="11"/>
        <v>#REF!</v>
      </c>
      <c r="R346" s="104">
        <f>VLOOKUP(D:D,ranking!W:X,2,0)</f>
        <v>0.6</v>
      </c>
      <c r="S346" s="59">
        <v>0.13433552999999998</v>
      </c>
    </row>
    <row r="347" spans="1:19" x14ac:dyDescent="0.25">
      <c r="A347" s="46" t="s">
        <v>1057</v>
      </c>
      <c r="B347" s="46" t="s">
        <v>85</v>
      </c>
      <c r="C347" s="46" t="s">
        <v>127</v>
      </c>
      <c r="D347" s="46" t="s">
        <v>431</v>
      </c>
      <c r="E347" s="46" t="s">
        <v>211</v>
      </c>
      <c r="F347" s="98" t="s">
        <v>457</v>
      </c>
      <c r="G347" s="46" t="s">
        <v>1725</v>
      </c>
      <c r="H347" s="98" t="s">
        <v>30</v>
      </c>
      <c r="I347" s="106">
        <v>45702</v>
      </c>
      <c r="J347" s="46">
        <v>6</v>
      </c>
      <c r="K347" s="98" t="s">
        <v>178</v>
      </c>
      <c r="L347" s="101">
        <f>VLOOKUP($C347&amp;$E347,'Updated SES'!A:N,14,0)</f>
        <v>15.819999999999999</v>
      </c>
      <c r="M347" s="102">
        <f>VLOOKUP($K347,'Genre Penetration'!A:B,2,0)*VLOOKUP($C347&amp;$E347,'Updated SES'!A:I,9,0)</f>
        <v>0.45750000000000002</v>
      </c>
      <c r="N347" s="102">
        <f>VLOOKUP(K:K,'Genre Penetration'!A:C,3,0)*VLOOKUP($C347&amp;$E347,'Updated SES'!A:J,10,0)</f>
        <v>9.7500000000000003E-2</v>
      </c>
      <c r="O347" s="102" t="e">
        <f>VLOOKUP($B347,'Language Penetration'!$B$1:$AY$14,MATCH('Compile data Working'!#REF!,'Language Penetration'!$B$1:$AY$1,0),0)</f>
        <v>#REF!</v>
      </c>
      <c r="P347" s="103" t="str">
        <f t="shared" ca="1" si="10"/>
        <v>14%</v>
      </c>
      <c r="Q347" s="101" t="e">
        <f t="shared" ca="1" si="11"/>
        <v>#REF!</v>
      </c>
      <c r="R347" s="104">
        <f>VLOOKUP(D:D,ranking!W:X,2,0)</f>
        <v>0.6</v>
      </c>
      <c r="S347" s="59">
        <v>9.4825079999999992E-2</v>
      </c>
    </row>
    <row r="348" spans="1:19" x14ac:dyDescent="0.25">
      <c r="A348" s="46" t="s">
        <v>1057</v>
      </c>
      <c r="B348" s="46" t="s">
        <v>85</v>
      </c>
      <c r="C348" s="46" t="s">
        <v>127</v>
      </c>
      <c r="D348" s="46" t="s">
        <v>431</v>
      </c>
      <c r="E348" s="46" t="s">
        <v>211</v>
      </c>
      <c r="F348" s="98" t="s">
        <v>457</v>
      </c>
      <c r="G348" s="46" t="s">
        <v>1726</v>
      </c>
      <c r="H348" s="46" t="s">
        <v>30</v>
      </c>
      <c r="I348" s="106">
        <v>45649</v>
      </c>
      <c r="J348" s="46">
        <v>7</v>
      </c>
      <c r="K348" s="46" t="s">
        <v>124</v>
      </c>
      <c r="L348" s="101">
        <f>VLOOKUP($C348&amp;$E348,'Updated SES'!A:N,14,0)</f>
        <v>15.819999999999999</v>
      </c>
      <c r="M348" s="102">
        <f>VLOOKUP($K348,'Genre Penetration'!A:B,2,0)*VLOOKUP($C348&amp;$E348,'Updated SES'!A:I,9,0)</f>
        <v>0.33750000000000002</v>
      </c>
      <c r="N348" s="102">
        <f>VLOOKUP(K:K,'Genre Penetration'!A:C,3,0)*VLOOKUP($C348&amp;$E348,'Updated SES'!A:J,10,0)</f>
        <v>0.13750000000000001</v>
      </c>
      <c r="O348" s="102" t="e">
        <f>VLOOKUP($B348,'Language Penetration'!$B$1:$AY$14,MATCH('Compile data Working'!#REF!,'Language Penetration'!$B$1:$AY$1,0),0)</f>
        <v>#REF!</v>
      </c>
      <c r="P348" s="103" t="str">
        <f t="shared" ca="1" si="10"/>
        <v>8%</v>
      </c>
      <c r="Q348" s="101" t="e">
        <f t="shared" ca="1" si="11"/>
        <v>#REF!</v>
      </c>
      <c r="R348" s="104">
        <f>VLOOKUP(D:D,ranking!W:X,2,0)</f>
        <v>0.6</v>
      </c>
      <c r="S348" s="59">
        <v>5.4104400000000004E-2</v>
      </c>
    </row>
    <row r="349" spans="1:19" x14ac:dyDescent="0.25">
      <c r="A349" s="46" t="s">
        <v>1057</v>
      </c>
      <c r="B349" s="46" t="s">
        <v>85</v>
      </c>
      <c r="C349" s="46" t="s">
        <v>127</v>
      </c>
      <c r="D349" s="46" t="s">
        <v>431</v>
      </c>
      <c r="E349" s="46" t="s">
        <v>211</v>
      </c>
      <c r="F349" s="98" t="s">
        <v>457</v>
      </c>
      <c r="G349" s="46" t="s">
        <v>1727</v>
      </c>
      <c r="H349" s="46" t="s">
        <v>30</v>
      </c>
      <c r="I349" s="106">
        <v>45547</v>
      </c>
      <c r="J349" s="46">
        <v>8</v>
      </c>
      <c r="K349" s="46" t="s">
        <v>124</v>
      </c>
      <c r="L349" s="101">
        <f>VLOOKUP($C349&amp;$E349,'Updated SES'!A:N,14,0)</f>
        <v>15.819999999999999</v>
      </c>
      <c r="M349" s="102">
        <f>VLOOKUP($K349,'Genre Penetration'!A:B,2,0)*VLOOKUP($C349&amp;$E349,'Updated SES'!A:I,9,0)</f>
        <v>0.33750000000000002</v>
      </c>
      <c r="N349" s="102">
        <f>VLOOKUP(K:K,'Genre Penetration'!A:C,3,0)*VLOOKUP($C349&amp;$E349,'Updated SES'!A:J,10,0)</f>
        <v>0.13750000000000001</v>
      </c>
      <c r="O349" s="102" t="e">
        <f>VLOOKUP($B349,'Language Penetration'!$B$1:$AY$14,MATCH('Compile data Working'!#REF!,'Language Penetration'!$B$1:$AY$1,0),0)</f>
        <v>#REF!</v>
      </c>
      <c r="P349" s="103" t="str">
        <f t="shared" ca="1" si="10"/>
        <v>8%</v>
      </c>
      <c r="Q349" s="101" t="e">
        <f t="shared" ca="1" si="11"/>
        <v>#REF!</v>
      </c>
      <c r="R349" s="104">
        <f>VLOOKUP(D:D,ranking!W:X,2,0)</f>
        <v>0.6</v>
      </c>
      <c r="S349" s="59">
        <v>4.0578299999999998E-2</v>
      </c>
    </row>
    <row r="350" spans="1:19" x14ac:dyDescent="0.25">
      <c r="A350" s="46" t="s">
        <v>1057</v>
      </c>
      <c r="B350" s="46" t="s">
        <v>85</v>
      </c>
      <c r="C350" s="46" t="s">
        <v>127</v>
      </c>
      <c r="D350" s="46" t="s">
        <v>431</v>
      </c>
      <c r="E350" s="46" t="s">
        <v>219</v>
      </c>
      <c r="F350" s="98" t="s">
        <v>457</v>
      </c>
      <c r="G350" s="46" t="s">
        <v>1728</v>
      </c>
      <c r="H350" s="46" t="s">
        <v>19</v>
      </c>
      <c r="I350" s="106">
        <v>45164</v>
      </c>
      <c r="J350" s="46">
        <v>9</v>
      </c>
      <c r="K350" s="46" t="s">
        <v>216</v>
      </c>
      <c r="L350" s="101">
        <f>VLOOKUP($C350&amp;$E350,'Updated SES'!A:N,14,0)</f>
        <v>3.2840000000000003</v>
      </c>
      <c r="M350" s="102">
        <f>VLOOKUP($K350,'Genre Penetration'!A:B,2,0)*VLOOKUP($C350&amp;$E350,'Updated SES'!A:I,9,0)</f>
        <v>0.36499999999999999</v>
      </c>
      <c r="N350" s="102">
        <f>VLOOKUP(K:K,'Genre Penetration'!A:C,3,0)*VLOOKUP($C350&amp;$E350,'Updated SES'!A:J,10,0)</f>
        <v>0.13500000000000001</v>
      </c>
      <c r="O350" s="102" t="e">
        <f>VLOOKUP($B350,'Language Penetration'!$B$1:$AY$14,MATCH('Compile data Working'!#REF!,'Language Penetration'!$B$1:$AY$1,0),0)</f>
        <v>#REF!</v>
      </c>
      <c r="P350" s="103" t="str">
        <f t="shared" ca="1" si="10"/>
        <v>5%</v>
      </c>
      <c r="Q350" s="101" t="e">
        <f t="shared" ca="1" si="11"/>
        <v>#REF!</v>
      </c>
      <c r="R350" s="104">
        <f>VLOOKUP(D:D,ranking!W:X,2,0)</f>
        <v>0.6</v>
      </c>
      <c r="S350" s="59">
        <v>2.3644800000000004E-2</v>
      </c>
    </row>
    <row r="351" spans="1:19" x14ac:dyDescent="0.25">
      <c r="A351" s="46" t="s">
        <v>1057</v>
      </c>
      <c r="B351" s="46" t="s">
        <v>85</v>
      </c>
      <c r="C351" s="46" t="s">
        <v>127</v>
      </c>
      <c r="D351" s="51" t="s">
        <v>431</v>
      </c>
      <c r="E351" s="46" t="s">
        <v>211</v>
      </c>
      <c r="F351" s="98" t="s">
        <v>457</v>
      </c>
      <c r="G351" s="46" t="s">
        <v>1729</v>
      </c>
      <c r="H351" s="98" t="s">
        <v>19</v>
      </c>
      <c r="I351" s="106">
        <v>45620</v>
      </c>
      <c r="J351" s="46">
        <v>10</v>
      </c>
      <c r="K351" s="98" t="s">
        <v>216</v>
      </c>
      <c r="L351" s="101">
        <f>VLOOKUP($C351&amp;$E351,'Updated SES'!A:N,14,0)</f>
        <v>15.819999999999999</v>
      </c>
      <c r="M351" s="102">
        <f>VLOOKUP($K351,'Genre Penetration'!A:B,2,0)*VLOOKUP($C351&amp;$E351,'Updated SES'!A:I,9,0)</f>
        <v>0.375</v>
      </c>
      <c r="N351" s="102">
        <f>VLOOKUP(K:K,'Genre Penetration'!A:C,3,0)*VLOOKUP($C351&amp;$E351,'Updated SES'!A:J,10,0)</f>
        <v>0.125</v>
      </c>
      <c r="O351" s="102" t="e">
        <f>VLOOKUP($B351,'Language Penetration'!$B$1:$AY$14,MATCH('Compile data Working'!#REF!,'Language Penetration'!$B$1:$AY$1,0),0)</f>
        <v>#REF!</v>
      </c>
      <c r="P351" s="103" t="str">
        <f t="shared" ca="1" si="10"/>
        <v>3%</v>
      </c>
      <c r="Q351" s="101" t="e">
        <f t="shared" ca="1" si="11"/>
        <v>#REF!</v>
      </c>
      <c r="R351" s="104">
        <f>VLOOKUP(D:D,ranking!W:X,2,0)</f>
        <v>0.6</v>
      </c>
      <c r="S351" s="59">
        <v>0.11390399999999998</v>
      </c>
    </row>
    <row r="352" spans="1:19" x14ac:dyDescent="0.25">
      <c r="A352" s="46" t="s">
        <v>1057</v>
      </c>
      <c r="B352" s="46" t="s">
        <v>85</v>
      </c>
      <c r="C352" s="46" t="s">
        <v>132</v>
      </c>
      <c r="D352" s="51" t="s">
        <v>431</v>
      </c>
      <c r="E352" s="46" t="s">
        <v>211</v>
      </c>
      <c r="F352" s="98" t="s">
        <v>457</v>
      </c>
      <c r="G352" s="46" t="s">
        <v>1564</v>
      </c>
      <c r="H352" s="98" t="s">
        <v>1222</v>
      </c>
      <c r="I352" s="106">
        <v>45967</v>
      </c>
      <c r="J352" s="46">
        <v>1</v>
      </c>
      <c r="K352" s="98" t="s">
        <v>1529</v>
      </c>
      <c r="L352" s="101">
        <f>VLOOKUP($C352&amp;$E352,'Updated SES'!A:N,14,0)</f>
        <v>21.682040000000004</v>
      </c>
      <c r="M352" s="102">
        <f>VLOOKUP($K352,'Genre Penetration'!A:B,2,0)*VLOOKUP($C352&amp;$E352,'Updated SES'!A:I,9,0)</f>
        <v>0.32500000000000001</v>
      </c>
      <c r="N352" s="102">
        <f>VLOOKUP(K:K,'Genre Penetration'!A:C,3,0)*VLOOKUP($C352&amp;$E352,'Updated SES'!A:J,10,0)</f>
        <v>0.17499999999999999</v>
      </c>
      <c r="O352" s="102">
        <v>0.7</v>
      </c>
      <c r="P352" s="103" t="str">
        <f t="shared" ca="1" si="10"/>
        <v>36%</v>
      </c>
      <c r="Q352" s="101">
        <f t="shared" ca="1" si="11"/>
        <v>2.7319370400000005</v>
      </c>
      <c r="R352" s="104">
        <f>VLOOKUP(D:D,ranking!W:X,2,0)</f>
        <v>0.6</v>
      </c>
      <c r="S352" s="59">
        <v>1.7302267920000003</v>
      </c>
    </row>
    <row r="353" spans="1:19" x14ac:dyDescent="0.25">
      <c r="A353" s="46" t="s">
        <v>1057</v>
      </c>
      <c r="B353" s="46" t="s">
        <v>85</v>
      </c>
      <c r="C353" s="46" t="s">
        <v>132</v>
      </c>
      <c r="D353" s="51" t="s">
        <v>456</v>
      </c>
      <c r="E353" s="46" t="s">
        <v>211</v>
      </c>
      <c r="F353" s="98" t="s">
        <v>457</v>
      </c>
      <c r="G353" s="46" t="s">
        <v>1515</v>
      </c>
      <c r="H353" s="98" t="s">
        <v>19</v>
      </c>
      <c r="I353" s="106">
        <v>45948</v>
      </c>
      <c r="J353" s="46">
        <v>2</v>
      </c>
      <c r="K353" s="98" t="s">
        <v>261</v>
      </c>
      <c r="L353" s="101">
        <f>VLOOKUP($C353&amp;$E353,'Updated SES'!A:N,14,0)</f>
        <v>21.682040000000004</v>
      </c>
      <c r="M353" s="102">
        <f>VLOOKUP($K353,'Genre Penetration'!A:B,2,0)*VLOOKUP($C353&amp;$E353,'Updated SES'!A:I,9,0)</f>
        <v>0.26</v>
      </c>
      <c r="N353" s="102">
        <f>VLOOKUP(K:K,'Genre Penetration'!A:C,3,0)*VLOOKUP($C353&amp;$E353,'Updated SES'!A:J,10,0)</f>
        <v>0.21</v>
      </c>
      <c r="O353" s="102" t="e">
        <f>VLOOKUP($B353,'Language Penetration'!$B$1:$AY$14,MATCH('Compile data Working'!#REF!,'Language Penetration'!$B$1:$AY$1,0),0)</f>
        <v>#REF!</v>
      </c>
      <c r="P353" s="103" t="str">
        <f t="shared" ca="1" si="10"/>
        <v>33%</v>
      </c>
      <c r="Q353" s="101" t="e">
        <f t="shared" ca="1" si="11"/>
        <v>#REF!</v>
      </c>
      <c r="R353" s="104">
        <f>VLOOKUP(D:D,ranking!W:X,2,0)</f>
        <v>0.3</v>
      </c>
      <c r="S353" s="59">
        <v>0.56863318104000005</v>
      </c>
    </row>
    <row r="354" spans="1:19" x14ac:dyDescent="0.25">
      <c r="A354" s="46" t="s">
        <v>1057</v>
      </c>
      <c r="B354" s="46" t="s">
        <v>85</v>
      </c>
      <c r="C354" s="46" t="s">
        <v>132</v>
      </c>
      <c r="D354" s="51" t="s">
        <v>456</v>
      </c>
      <c r="E354" s="46" t="s">
        <v>211</v>
      </c>
      <c r="F354" s="98" t="s">
        <v>457</v>
      </c>
      <c r="G354" s="46" t="s">
        <v>1730</v>
      </c>
      <c r="H354" s="98" t="s">
        <v>19</v>
      </c>
      <c r="I354" s="46" t="s">
        <v>254</v>
      </c>
      <c r="J354" s="46">
        <v>3</v>
      </c>
      <c r="K354" s="98" t="s">
        <v>451</v>
      </c>
      <c r="L354" s="101">
        <f>VLOOKUP($C354&amp;$E354,'Updated SES'!A:N,14,0)</f>
        <v>21.682040000000004</v>
      </c>
      <c r="M354" s="102">
        <f>VLOOKUP($K354,'Genre Penetration'!A:B,2,0)*VLOOKUP($C354&amp;$E354,'Updated SES'!A:I,9,0)</f>
        <v>0.48750000000000004</v>
      </c>
      <c r="N354" s="102">
        <f>VLOOKUP(K:K,'Genre Penetration'!A:C,3,0)*VLOOKUP($C354&amp;$E354,'Updated SES'!A:J,10,0)</f>
        <v>8.7499999999999994E-2</v>
      </c>
      <c r="O354" s="102">
        <f>VLOOKUP($B354,'Language Penetration'!$B$1:$AY$14,MATCH('Compile data Working'!$H78,'Language Penetration'!$B$1:$AY$1,0),0)</f>
        <v>0.6</v>
      </c>
      <c r="P354" s="103" t="str">
        <f t="shared" ca="1" si="10"/>
        <v>25%</v>
      </c>
      <c r="Q354" s="101">
        <f t="shared" ca="1" si="11"/>
        <v>1.8700759500000006</v>
      </c>
      <c r="R354" s="104">
        <f>VLOOKUP(D:D,ranking!W:X,2,0)</f>
        <v>0.3</v>
      </c>
      <c r="S354" s="59">
        <v>0.67322734200000012</v>
      </c>
    </row>
    <row r="355" spans="1:19" x14ac:dyDescent="0.25">
      <c r="A355" s="46" t="s">
        <v>1057</v>
      </c>
      <c r="B355" s="46" t="s">
        <v>85</v>
      </c>
      <c r="C355" s="46" t="s">
        <v>132</v>
      </c>
      <c r="D355" s="51" t="s">
        <v>456</v>
      </c>
      <c r="E355" s="46" t="s">
        <v>211</v>
      </c>
      <c r="F355" s="98" t="s">
        <v>457</v>
      </c>
      <c r="G355" s="46" t="s">
        <v>1313</v>
      </c>
      <c r="H355" s="98" t="s">
        <v>19</v>
      </c>
      <c r="I355" s="106">
        <v>45934</v>
      </c>
      <c r="J355" s="46">
        <v>4</v>
      </c>
      <c r="K355" s="98" t="s">
        <v>261</v>
      </c>
      <c r="L355" s="101">
        <f>VLOOKUP($C355&amp;$E355,'Updated SES'!A:N,14,0)</f>
        <v>21.682040000000004</v>
      </c>
      <c r="M355" s="102">
        <f>VLOOKUP($K355,'Genre Penetration'!A:B,2,0)*VLOOKUP($C355&amp;$E355,'Updated SES'!A:I,9,0)</f>
        <v>0.26</v>
      </c>
      <c r="N355" s="102">
        <f>VLOOKUP(K:K,'Genre Penetration'!A:C,3,0)*VLOOKUP($C355&amp;$E355,'Updated SES'!A:J,10,0)</f>
        <v>0.21</v>
      </c>
      <c r="O355" s="102" t="e">
        <f>VLOOKUP($B355,'Language Penetration'!$B$1:$AY$14,MATCH('Compile data Working'!#REF!,'Language Penetration'!$B$1:$AY$1,0),0)</f>
        <v>#REF!</v>
      </c>
      <c r="P355" s="103" t="str">
        <f t="shared" ca="1" si="10"/>
        <v>20%</v>
      </c>
      <c r="Q355" s="101" t="e">
        <f t="shared" ca="1" si="11"/>
        <v>#REF!</v>
      </c>
      <c r="R355" s="104">
        <f>VLOOKUP(D:D,ranking!W:X,2,0)</f>
        <v>0.3</v>
      </c>
      <c r="S355" s="59">
        <v>0.40354612848000004</v>
      </c>
    </row>
    <row r="356" spans="1:19" x14ac:dyDescent="0.25">
      <c r="A356" s="46" t="s">
        <v>1057</v>
      </c>
      <c r="B356" s="46" t="s">
        <v>85</v>
      </c>
      <c r="C356" s="46" t="s">
        <v>132</v>
      </c>
      <c r="D356" s="51" t="s">
        <v>456</v>
      </c>
      <c r="E356" s="46" t="s">
        <v>211</v>
      </c>
      <c r="F356" s="98" t="s">
        <v>457</v>
      </c>
      <c r="G356" s="46" t="s">
        <v>1516</v>
      </c>
      <c r="H356" s="98" t="s">
        <v>19</v>
      </c>
      <c r="I356" s="106">
        <v>45880</v>
      </c>
      <c r="J356" s="46">
        <v>5</v>
      </c>
      <c r="K356" s="98" t="s">
        <v>448</v>
      </c>
      <c r="L356" s="101">
        <f>VLOOKUP($C356&amp;$E356,'Updated SES'!A:N,14,0)</f>
        <v>21.682040000000004</v>
      </c>
      <c r="M356" s="102">
        <f>VLOOKUP($K356,'Genre Penetration'!A:B,2,0)*VLOOKUP($C356&amp;$E356,'Updated SES'!A:I,9,0)</f>
        <v>0.45499999999999996</v>
      </c>
      <c r="N356" s="102">
        <f>VLOOKUP(K:K,'Genre Penetration'!A:C,3,0)*VLOOKUP($C356&amp;$E356,'Updated SES'!A:J,10,0)</f>
        <v>0.105</v>
      </c>
      <c r="O356" s="102">
        <f>VLOOKUP($B356,'Language Penetration'!$B$1:$AY$14,MATCH('Compile data Working'!$H79,'Language Penetration'!$B$1:$AY$1,0),0)</f>
        <v>0.2</v>
      </c>
      <c r="P356" s="103" t="str">
        <f t="shared" ca="1" si="10"/>
        <v>20%</v>
      </c>
      <c r="Q356" s="101">
        <f t="shared" ca="1" si="11"/>
        <v>0.48567769600000016</v>
      </c>
      <c r="R356" s="104">
        <f>VLOOKUP(D:D,ranking!W:X,2,0)</f>
        <v>0.3</v>
      </c>
      <c r="S356" s="59">
        <v>0.43710992640000007</v>
      </c>
    </row>
    <row r="357" spans="1:19" x14ac:dyDescent="0.25">
      <c r="A357" s="46" t="s">
        <v>1057</v>
      </c>
      <c r="B357" s="46" t="s">
        <v>85</v>
      </c>
      <c r="C357" s="46" t="s">
        <v>132</v>
      </c>
      <c r="D357" s="46" t="s">
        <v>434</v>
      </c>
      <c r="E357" s="46" t="s">
        <v>211</v>
      </c>
      <c r="F357" s="100" t="s">
        <v>458</v>
      </c>
      <c r="G357" s="46" t="s">
        <v>1452</v>
      </c>
      <c r="H357" s="100" t="s">
        <v>1520</v>
      </c>
      <c r="I357" s="106">
        <v>45953</v>
      </c>
      <c r="J357" s="46">
        <v>6</v>
      </c>
      <c r="K357" s="100" t="s">
        <v>173</v>
      </c>
      <c r="L357" s="101">
        <f>VLOOKUP($C357&amp;$E357,'Updated SES'!A:N,14,0)</f>
        <v>21.682040000000004</v>
      </c>
      <c r="M357" s="102">
        <f>VLOOKUP($K357,'Genre Penetration'!A:B,2,0)*VLOOKUP($C357&amp;$E357,'Updated SES'!A:I,9,0)</f>
        <v>0.35750000000000004</v>
      </c>
      <c r="N357" s="102">
        <f>VLOOKUP(K:K,'Genre Penetration'!A:C,3,0)*VLOOKUP($C357&amp;$E357,'Updated SES'!A:J,10,0)</f>
        <v>0.1575</v>
      </c>
      <c r="O357" s="102">
        <v>0.7</v>
      </c>
      <c r="P357" s="103" t="str">
        <f t="shared" ca="1" si="10"/>
        <v>15%</v>
      </c>
      <c r="Q357" s="101">
        <f t="shared" ca="1" si="11"/>
        <v>1.1724563130000003</v>
      </c>
      <c r="R357" s="104">
        <f>VLOOKUP(D:D,ranking!W:X,2,0)</f>
        <v>0.7</v>
      </c>
      <c r="S357" s="59">
        <v>0.54714627940000016</v>
      </c>
    </row>
    <row r="358" spans="1:19" x14ac:dyDescent="0.25">
      <c r="A358" s="46" t="s">
        <v>1057</v>
      </c>
      <c r="B358" s="46" t="s">
        <v>85</v>
      </c>
      <c r="C358" s="46" t="s">
        <v>132</v>
      </c>
      <c r="D358" s="46" t="s">
        <v>434</v>
      </c>
      <c r="E358" s="46" t="s">
        <v>211</v>
      </c>
      <c r="F358" s="98" t="s">
        <v>457</v>
      </c>
      <c r="G358" s="46" t="s">
        <v>1565</v>
      </c>
      <c r="H358" s="98" t="s">
        <v>1058</v>
      </c>
      <c r="I358" s="106">
        <v>45366</v>
      </c>
      <c r="J358" s="46">
        <v>7</v>
      </c>
      <c r="K358" s="98" t="s">
        <v>420</v>
      </c>
      <c r="L358" s="101">
        <f>VLOOKUP($C358&amp;$E358,'Updated SES'!A:N,14,0)</f>
        <v>21.682040000000004</v>
      </c>
      <c r="M358" s="102">
        <f>VLOOKUP($K358,'Genre Penetration'!A:B,2,0)*VLOOKUP($C358&amp;$E358,'Updated SES'!A:I,9,0)</f>
        <v>0.40300000000000002</v>
      </c>
      <c r="N358" s="102">
        <f>VLOOKUP(K:K,'Genre Penetration'!A:C,3,0)*VLOOKUP($C358&amp;$E358,'Updated SES'!A:J,10,0)</f>
        <v>0.13299999999999998</v>
      </c>
      <c r="O358" s="102">
        <v>0.7</v>
      </c>
      <c r="P358" s="103" t="str">
        <f t="shared" ca="1" si="10"/>
        <v>10%</v>
      </c>
      <c r="Q358" s="101">
        <f t="shared" ca="1" si="11"/>
        <v>0.81351014080000006</v>
      </c>
      <c r="R358" s="104">
        <f>VLOOKUP(D:D,ranking!W:X,2,0)</f>
        <v>0.7</v>
      </c>
      <c r="S358" s="59">
        <v>0.45556567884799998</v>
      </c>
    </row>
    <row r="359" spans="1:19" x14ac:dyDescent="0.25">
      <c r="A359" s="46" t="s">
        <v>1057</v>
      </c>
      <c r="B359" s="46" t="s">
        <v>85</v>
      </c>
      <c r="C359" s="46" t="s">
        <v>132</v>
      </c>
      <c r="D359" s="51" t="s">
        <v>456</v>
      </c>
      <c r="E359" s="46" t="s">
        <v>211</v>
      </c>
      <c r="F359" s="98" t="s">
        <v>457</v>
      </c>
      <c r="G359" s="46" t="s">
        <v>369</v>
      </c>
      <c r="H359" s="98" t="s">
        <v>19</v>
      </c>
      <c r="I359" s="106">
        <v>45912</v>
      </c>
      <c r="J359" s="46">
        <v>8</v>
      </c>
      <c r="K359" s="98" t="s">
        <v>124</v>
      </c>
      <c r="L359" s="101">
        <f>VLOOKUP($C359&amp;$E359,'Updated SES'!A:N,14,0)</f>
        <v>21.682040000000004</v>
      </c>
      <c r="M359" s="102">
        <f>VLOOKUP($K359,'Genre Penetration'!A:B,2,0)*VLOOKUP($C359&amp;$E359,'Updated SES'!A:I,9,0)</f>
        <v>0.29250000000000004</v>
      </c>
      <c r="N359" s="102">
        <f>VLOOKUP(K:K,'Genre Penetration'!A:C,3,0)*VLOOKUP($C359&amp;$E359,'Updated SES'!A:J,10,0)</f>
        <v>0.1925</v>
      </c>
      <c r="O359" s="102">
        <f>VLOOKUP($B359,'Language Penetration'!$B$1:$AY$14,MATCH('Compile data Working'!$H82,'Language Penetration'!$B$1:$AY$1,0),0)</f>
        <v>0.1</v>
      </c>
      <c r="P359" s="103" t="str">
        <f t="shared" ca="1" si="10"/>
        <v>8%</v>
      </c>
      <c r="Q359" s="101">
        <f t="shared" ca="1" si="11"/>
        <v>8.4126315200000037E-2</v>
      </c>
      <c r="R359" s="104">
        <f>VLOOKUP(D:D,ranking!W:X,2,0)</f>
        <v>0.3</v>
      </c>
      <c r="S359" s="59">
        <v>0.15142736736000004</v>
      </c>
    </row>
    <row r="360" spans="1:19" x14ac:dyDescent="0.25">
      <c r="A360" s="46" t="s">
        <v>1057</v>
      </c>
      <c r="B360" s="46" t="s">
        <v>85</v>
      </c>
      <c r="C360" s="46" t="s">
        <v>132</v>
      </c>
      <c r="D360" s="51" t="s">
        <v>432</v>
      </c>
      <c r="E360" s="46" t="s">
        <v>211</v>
      </c>
      <c r="F360" s="98" t="s">
        <v>458</v>
      </c>
      <c r="G360" s="46" t="s">
        <v>1566</v>
      </c>
      <c r="H360" s="98" t="s">
        <v>1059</v>
      </c>
      <c r="I360" s="106">
        <v>44582</v>
      </c>
      <c r="J360" s="46">
        <v>9</v>
      </c>
      <c r="K360" s="98" t="s">
        <v>168</v>
      </c>
      <c r="L360" s="101">
        <f>VLOOKUP($C360&amp;$E360,'Updated SES'!A:N,14,0)</f>
        <v>21.682040000000004</v>
      </c>
      <c r="M360" s="102">
        <f>VLOOKUP($K360,'Genre Penetration'!A:B,2,0)*VLOOKUP($C360&amp;$E360,'Updated SES'!A:I,9,0)</f>
        <v>0.41600000000000004</v>
      </c>
      <c r="N360" s="102">
        <f>VLOOKUP(K:K,'Genre Penetration'!A:C,3,0)*VLOOKUP($C360&amp;$E360,'Updated SES'!A:J,10,0)</f>
        <v>0.126</v>
      </c>
      <c r="O360" s="102">
        <v>0.2</v>
      </c>
      <c r="P360" s="103" t="str">
        <f t="shared" ca="1" si="10"/>
        <v>4%</v>
      </c>
      <c r="Q360" s="101">
        <f t="shared" ca="1" si="11"/>
        <v>9.4013325440000045E-2</v>
      </c>
      <c r="R360" s="104">
        <f>VLOOKUP(D:D,ranking!W:X,2,0)</f>
        <v>0.8</v>
      </c>
      <c r="S360" s="59">
        <v>0.11281599052800005</v>
      </c>
    </row>
    <row r="361" spans="1:19" x14ac:dyDescent="0.25">
      <c r="A361" s="46" t="s">
        <v>1057</v>
      </c>
      <c r="B361" s="46" t="s">
        <v>85</v>
      </c>
      <c r="C361" s="51" t="s">
        <v>132</v>
      </c>
      <c r="D361" s="51" t="s">
        <v>456</v>
      </c>
      <c r="E361" s="51" t="s">
        <v>211</v>
      </c>
      <c r="F361" s="51" t="s">
        <v>457</v>
      </c>
      <c r="G361" s="51" t="s">
        <v>1463</v>
      </c>
      <c r="H361" s="46" t="s">
        <v>19</v>
      </c>
      <c r="I361" s="106">
        <v>44113</v>
      </c>
      <c r="J361" s="51">
        <v>10</v>
      </c>
      <c r="K361" s="51" t="s">
        <v>1197</v>
      </c>
      <c r="L361" s="101">
        <f>VLOOKUP($C361&amp;$E361,'Updated SES'!A:N,14,0)</f>
        <v>21.682040000000004</v>
      </c>
      <c r="M361" s="102">
        <f>VLOOKUP($K361,'Genre Penetration'!A:B,2,0)*VLOOKUP($C361&amp;$E361,'Updated SES'!A:I,9,0)</f>
        <v>0.377</v>
      </c>
      <c r="N361" s="102">
        <f>VLOOKUP(K:K,'Genre Penetration'!A:C,3,0)*VLOOKUP($C361&amp;$E361,'Updated SES'!A:J,10,0)</f>
        <v>0.14699999999999999</v>
      </c>
      <c r="O361" s="102" t="e">
        <f>VLOOKUP($B361,'Language Penetration'!$B$1:$AY$14,MATCH('Compile data Working'!$H83,'Language Penetration'!$B$1:$AY$1,0),0)</f>
        <v>#N/A</v>
      </c>
      <c r="P361" s="103" t="str">
        <f t="shared" ca="1" si="10"/>
        <v>3%</v>
      </c>
      <c r="Q361" s="101" t="e">
        <f t="shared" ca="1" si="11"/>
        <v>#N/A</v>
      </c>
      <c r="R361" s="104">
        <f>VLOOKUP(D:D,ranking!W:X,2,0)</f>
        <v>0.3</v>
      </c>
      <c r="S361" s="59">
        <v>6.1351500384000009E-2</v>
      </c>
    </row>
    <row r="362" spans="1:19" x14ac:dyDescent="0.25">
      <c r="A362" s="46" t="s">
        <v>1057</v>
      </c>
      <c r="B362" s="46" t="s">
        <v>85</v>
      </c>
      <c r="C362" s="51" t="s">
        <v>455</v>
      </c>
      <c r="D362" s="51" t="s">
        <v>432</v>
      </c>
      <c r="E362" s="51" t="s">
        <v>211</v>
      </c>
      <c r="F362" s="51" t="s">
        <v>458</v>
      </c>
      <c r="G362" s="51" t="s">
        <v>1391</v>
      </c>
      <c r="H362" s="98" t="s">
        <v>36</v>
      </c>
      <c r="I362" s="106">
        <v>45231</v>
      </c>
      <c r="J362" s="51">
        <v>1</v>
      </c>
      <c r="K362" s="51" t="s">
        <v>138</v>
      </c>
      <c r="L362" s="101">
        <f>VLOOKUP($C362&amp;$E362,'Updated SES'!A:N,14,0)</f>
        <v>11.0107</v>
      </c>
      <c r="M362" s="102">
        <f>VLOOKUP($K362,'Genre Penetration'!A:B,2,0)*VLOOKUP($C362&amp;$E362,'Updated SES'!A:I,9,0)</f>
        <v>0.28199999999999997</v>
      </c>
      <c r="N362" s="102">
        <f>VLOOKUP(K:K,'Genre Penetration'!A:C,3,0)*VLOOKUP($C362&amp;$E362,'Updated SES'!A:J,10,0)</f>
        <v>0.21200000000000002</v>
      </c>
      <c r="O362" s="102">
        <f>VLOOKUP($B362,'Language Penetration'!$B$1:$AY$14,MATCH('Compile data Working'!$H84,'Language Penetration'!$B$1:$AY$1,0),0)</f>
        <v>0.15</v>
      </c>
      <c r="P362" s="103" t="str">
        <f t="shared" ca="1" si="10"/>
        <v>39%</v>
      </c>
      <c r="Q362" s="101">
        <f t="shared" ca="1" si="11"/>
        <v>0.31819821929999997</v>
      </c>
      <c r="R362" s="104">
        <f>VLOOKUP(D:D,ranking!W:X,2,0)</f>
        <v>0.8</v>
      </c>
      <c r="S362" s="59">
        <v>0.16535428832000001</v>
      </c>
    </row>
    <row r="363" spans="1:19" x14ac:dyDescent="0.25">
      <c r="A363" s="46" t="s">
        <v>1057</v>
      </c>
      <c r="B363" s="46" t="s">
        <v>85</v>
      </c>
      <c r="C363" s="51" t="s">
        <v>455</v>
      </c>
      <c r="D363" s="46" t="s">
        <v>434</v>
      </c>
      <c r="E363" s="51" t="s">
        <v>211</v>
      </c>
      <c r="F363" s="51" t="s">
        <v>458</v>
      </c>
      <c r="G363" s="51" t="s">
        <v>1731</v>
      </c>
      <c r="H363" s="98" t="s">
        <v>36</v>
      </c>
      <c r="I363" s="53">
        <v>45953</v>
      </c>
      <c r="J363" s="51">
        <v>2</v>
      </c>
      <c r="K363" s="51" t="s">
        <v>184</v>
      </c>
      <c r="L363" s="101">
        <f>VLOOKUP($C363&amp;$E363,'Updated SES'!A:N,14,0)</f>
        <v>11.0107</v>
      </c>
      <c r="M363" s="102">
        <f>VLOOKUP($K363,'Genre Penetration'!A:B,2,0)*VLOOKUP($C363&amp;$E363,'Updated SES'!A:I,9,0)</f>
        <v>0.29399999999999998</v>
      </c>
      <c r="N363" s="102">
        <f>VLOOKUP(K:K,'Genre Penetration'!A:C,3,0)*VLOOKUP($C363&amp;$E363,'Updated SES'!A:J,10,0)</f>
        <v>0.20400000000000001</v>
      </c>
      <c r="O363" s="102" t="e">
        <f>VLOOKUP($B363,'Language Penetration'!$B$1:$AY$14,MATCH('Compile data Working'!$H85,'Language Penetration'!$B$1:$AY$1,0),0)</f>
        <v>#N/A</v>
      </c>
      <c r="P363" s="103" t="str">
        <f t="shared" ca="1" si="10"/>
        <v>31%</v>
      </c>
      <c r="Q363" s="101" t="e">
        <f t="shared" ca="1" si="11"/>
        <v>#N/A</v>
      </c>
      <c r="R363" s="104">
        <f>VLOOKUP(D:D,ranking!W:X,2,0)</f>
        <v>0.7</v>
      </c>
      <c r="S363" s="59">
        <v>0.13050322068</v>
      </c>
    </row>
    <row r="364" spans="1:19" x14ac:dyDescent="0.25">
      <c r="A364" s="46" t="s">
        <v>1057</v>
      </c>
      <c r="B364" s="46" t="s">
        <v>85</v>
      </c>
      <c r="C364" s="51" t="s">
        <v>455</v>
      </c>
      <c r="D364" s="51" t="s">
        <v>431</v>
      </c>
      <c r="E364" s="51" t="s">
        <v>211</v>
      </c>
      <c r="F364" s="51" t="s">
        <v>457</v>
      </c>
      <c r="G364" s="51" t="s">
        <v>1732</v>
      </c>
      <c r="H364" s="98" t="s">
        <v>36</v>
      </c>
      <c r="I364" s="53">
        <v>45584</v>
      </c>
      <c r="J364" s="51">
        <v>3</v>
      </c>
      <c r="K364" s="51" t="s">
        <v>138</v>
      </c>
      <c r="L364" s="101">
        <f>VLOOKUP($C364&amp;$E364,'Updated SES'!A:N,14,0)</f>
        <v>11.0107</v>
      </c>
      <c r="M364" s="102">
        <f>VLOOKUP($K364,'Genre Penetration'!A:B,2,0)*VLOOKUP($C364&amp;$E364,'Updated SES'!A:I,9,0)</f>
        <v>0.28199999999999997</v>
      </c>
      <c r="N364" s="102">
        <f>VLOOKUP(K:K,'Genre Penetration'!A:C,3,0)*VLOOKUP($C364&amp;$E364,'Updated SES'!A:J,10,0)</f>
        <v>0.21200000000000002</v>
      </c>
      <c r="O364" s="102">
        <f>VLOOKUP($B364,'Language Penetration'!$B$1:$AY$14,MATCH('Compile data Working'!$H86,'Language Penetration'!$B$1:$AY$1,0),0)</f>
        <v>7.0000000000000007E-2</v>
      </c>
      <c r="P364" s="103" t="str">
        <f t="shared" ca="1" si="10"/>
        <v>27%</v>
      </c>
      <c r="Q364" s="101">
        <f t="shared" ca="1" si="11"/>
        <v>0.10280250162</v>
      </c>
      <c r="R364" s="104">
        <f>VLOOKUP(D:D,ranking!W:X,2,0)</f>
        <v>0.6</v>
      </c>
      <c r="S364" s="59">
        <v>9.4643572919999988E-2</v>
      </c>
    </row>
    <row r="365" spans="1:19" x14ac:dyDescent="0.25">
      <c r="A365" s="46" t="s">
        <v>1057</v>
      </c>
      <c r="B365" s="46" t="s">
        <v>85</v>
      </c>
      <c r="C365" s="51" t="s">
        <v>455</v>
      </c>
      <c r="D365" s="46" t="s">
        <v>434</v>
      </c>
      <c r="E365" s="51" t="s">
        <v>211</v>
      </c>
      <c r="F365" s="51" t="s">
        <v>458</v>
      </c>
      <c r="G365" s="51" t="s">
        <v>1733</v>
      </c>
      <c r="H365" s="98" t="s">
        <v>36</v>
      </c>
      <c r="I365" s="53">
        <v>45804</v>
      </c>
      <c r="J365" s="51">
        <v>4</v>
      </c>
      <c r="K365" s="51" t="s">
        <v>216</v>
      </c>
      <c r="L365" s="101">
        <f>VLOOKUP($C365&amp;$E365,'Updated SES'!A:N,14,0)</f>
        <v>11.0107</v>
      </c>
      <c r="M365" s="102">
        <f>VLOOKUP($K365,'Genre Penetration'!A:B,2,0)*VLOOKUP($C365&amp;$E365,'Updated SES'!A:I,9,0)</f>
        <v>0.3</v>
      </c>
      <c r="N365" s="102">
        <f>VLOOKUP(K:K,'Genre Penetration'!A:C,3,0)*VLOOKUP($C365&amp;$E365,'Updated SES'!A:J,10,0)</f>
        <v>0.2</v>
      </c>
      <c r="O365" s="102" t="e">
        <f>VLOOKUP($B365,'Language Penetration'!$B$1:$AY$14,MATCH('Compile data Working'!$H87,'Language Penetration'!$B$1:$AY$1,0),0)</f>
        <v>#N/A</v>
      </c>
      <c r="P365" s="103" t="str">
        <f t="shared" ca="1" si="10"/>
        <v>22%</v>
      </c>
      <c r="Q365" s="101" t="e">
        <f t="shared" ca="1" si="11"/>
        <v>#N/A</v>
      </c>
      <c r="R365" s="104">
        <f>VLOOKUP(D:D,ranking!W:X,2,0)</f>
        <v>0.7</v>
      </c>
      <c r="S365" s="59">
        <v>7.7074900000000002E-2</v>
      </c>
    </row>
    <row r="366" spans="1:19" x14ac:dyDescent="0.25">
      <c r="A366" s="46" t="s">
        <v>1057</v>
      </c>
      <c r="B366" s="46" t="s">
        <v>85</v>
      </c>
      <c r="C366" s="51" t="s">
        <v>455</v>
      </c>
      <c r="D366" s="46" t="s">
        <v>434</v>
      </c>
      <c r="E366" s="51" t="s">
        <v>211</v>
      </c>
      <c r="F366" s="51" t="s">
        <v>458</v>
      </c>
      <c r="G366" s="51" t="s">
        <v>1734</v>
      </c>
      <c r="H366" s="98" t="s">
        <v>36</v>
      </c>
      <c r="I366" s="46" t="s">
        <v>254</v>
      </c>
      <c r="J366" s="51">
        <v>5</v>
      </c>
      <c r="K366" s="51" t="s">
        <v>216</v>
      </c>
      <c r="L366" s="101">
        <f>VLOOKUP($C366&amp;$E366,'Updated SES'!A:N,14,0)</f>
        <v>11.0107</v>
      </c>
      <c r="M366" s="102">
        <f>VLOOKUP($K366,'Genre Penetration'!A:B,2,0)*VLOOKUP($C366&amp;$E366,'Updated SES'!A:I,9,0)</f>
        <v>0.3</v>
      </c>
      <c r="N366" s="102">
        <f>VLOOKUP(K:K,'Genre Penetration'!A:C,3,0)*VLOOKUP($C366&amp;$E366,'Updated SES'!A:J,10,0)</f>
        <v>0.2</v>
      </c>
      <c r="O366" s="102" t="e">
        <f>VLOOKUP($B366,'Language Penetration'!$B$1:$AY$14,MATCH('Compile data Working'!$H88,'Language Penetration'!$B$1:$AY$1,0),0)</f>
        <v>#N/A</v>
      </c>
      <c r="P366" s="103" t="str">
        <f t="shared" ca="1" si="10"/>
        <v>17%</v>
      </c>
      <c r="Q366" s="101" t="e">
        <f t="shared" ca="1" si="11"/>
        <v>#N/A</v>
      </c>
      <c r="R366" s="104">
        <f>VLOOKUP(D:D,ranking!W:X,2,0)</f>
        <v>0.7</v>
      </c>
      <c r="S366" s="59">
        <v>7.3221154999999996E-2</v>
      </c>
    </row>
    <row r="367" spans="1:19" x14ac:dyDescent="0.25">
      <c r="A367" s="46" t="s">
        <v>1057</v>
      </c>
      <c r="B367" s="46" t="s">
        <v>85</v>
      </c>
      <c r="C367" s="51" t="s">
        <v>455</v>
      </c>
      <c r="D367" s="46" t="s">
        <v>434</v>
      </c>
      <c r="E367" s="51" t="s">
        <v>211</v>
      </c>
      <c r="F367" s="51" t="s">
        <v>458</v>
      </c>
      <c r="G367" s="51" t="s">
        <v>1393</v>
      </c>
      <c r="H367" s="98" t="s">
        <v>36</v>
      </c>
      <c r="I367" s="98" t="s">
        <v>254</v>
      </c>
      <c r="J367" s="51">
        <v>6</v>
      </c>
      <c r="K367" s="51" t="s">
        <v>184</v>
      </c>
      <c r="L367" s="101">
        <f>VLOOKUP($C367&amp;$E367,'Updated SES'!A:N,14,0)</f>
        <v>11.0107</v>
      </c>
      <c r="M367" s="102">
        <f>VLOOKUP($K367,'Genre Penetration'!A:B,2,0)*VLOOKUP($C367&amp;$E367,'Updated SES'!A:I,9,0)</f>
        <v>0.29399999999999998</v>
      </c>
      <c r="N367" s="102">
        <f>VLOOKUP(K:K,'Genre Penetration'!A:C,3,0)*VLOOKUP($C367&amp;$E367,'Updated SES'!A:J,10,0)</f>
        <v>0.20400000000000001</v>
      </c>
      <c r="O367" s="102">
        <f>VLOOKUP($B367,'Language Penetration'!$B$1:$AY$14,MATCH('Compile data Working'!$H89,'Language Penetration'!$B$1:$AY$1,0),0)</f>
        <v>0.6</v>
      </c>
      <c r="P367" s="103" t="str">
        <f t="shared" ca="1" si="10"/>
        <v>14%</v>
      </c>
      <c r="Q367" s="101">
        <f t="shared" ca="1" si="11"/>
        <v>0.46059960240000003</v>
      </c>
      <c r="R367" s="104">
        <f>VLOOKUP(D:D,ranking!W:X,2,0)</f>
        <v>0.7</v>
      </c>
      <c r="S367" s="59">
        <v>4.222163022E-2</v>
      </c>
    </row>
    <row r="368" spans="1:19" x14ac:dyDescent="0.25">
      <c r="A368" s="46" t="s">
        <v>1057</v>
      </c>
      <c r="B368" s="46" t="s">
        <v>85</v>
      </c>
      <c r="C368" s="51" t="s">
        <v>455</v>
      </c>
      <c r="D368" s="46" t="s">
        <v>434</v>
      </c>
      <c r="E368" s="51" t="s">
        <v>211</v>
      </c>
      <c r="F368" s="51" t="s">
        <v>458</v>
      </c>
      <c r="G368" s="51" t="s">
        <v>1394</v>
      </c>
      <c r="H368" s="98" t="s">
        <v>36</v>
      </c>
      <c r="I368" s="106">
        <v>44920</v>
      </c>
      <c r="J368" s="51">
        <v>7</v>
      </c>
      <c r="K368" s="51" t="s">
        <v>300</v>
      </c>
      <c r="L368" s="101">
        <f>VLOOKUP($C368&amp;$E368,'Updated SES'!A:N,14,0)</f>
        <v>11.0107</v>
      </c>
      <c r="M368" s="102">
        <f>VLOOKUP($K368,'Genre Penetration'!A:B,2,0)*VLOOKUP($C368&amp;$E368,'Updated SES'!A:I,9,0)</f>
        <v>0.34199999999999997</v>
      </c>
      <c r="N368" s="102">
        <f>VLOOKUP(K:K,'Genre Penetration'!A:C,3,0)*VLOOKUP($C368&amp;$E368,'Updated SES'!A:J,10,0)</f>
        <v>0.17200000000000004</v>
      </c>
      <c r="O368" s="102">
        <f>VLOOKUP($B368,'Language Penetration'!$B$1:$AY$14,MATCH('Compile data Working'!$H90,'Language Penetration'!$B$1:$AY$1,0),0)</f>
        <v>0.2</v>
      </c>
      <c r="P368" s="103" t="str">
        <f t="shared" ca="1" si="10"/>
        <v>10%</v>
      </c>
      <c r="Q368" s="101">
        <f t="shared" ca="1" si="11"/>
        <v>0.113189996</v>
      </c>
      <c r="R368" s="104">
        <f>VLOOKUP(D:D,ranking!W:X,2,0)</f>
        <v>0.7</v>
      </c>
      <c r="S368" s="59">
        <v>3.5654848739999995E-2</v>
      </c>
    </row>
    <row r="369" spans="1:19" x14ac:dyDescent="0.25">
      <c r="A369" s="46" t="s">
        <v>1057</v>
      </c>
      <c r="B369" s="46" t="s">
        <v>85</v>
      </c>
      <c r="C369" s="51" t="s">
        <v>455</v>
      </c>
      <c r="D369" s="51" t="s">
        <v>431</v>
      </c>
      <c r="E369" s="51" t="s">
        <v>211</v>
      </c>
      <c r="F369" s="51" t="s">
        <v>457</v>
      </c>
      <c r="G369" s="51" t="s">
        <v>1735</v>
      </c>
      <c r="H369" s="98" t="s">
        <v>36</v>
      </c>
      <c r="I369" s="46" t="s">
        <v>254</v>
      </c>
      <c r="J369" s="51">
        <v>8</v>
      </c>
      <c r="K369" s="51" t="s">
        <v>176</v>
      </c>
      <c r="L369" s="101">
        <f>VLOOKUP($C369&amp;$E369,'Updated SES'!A:N,14,0)</f>
        <v>11.0107</v>
      </c>
      <c r="M369" s="102">
        <f>VLOOKUP($K369,'Genre Penetration'!A:B,2,0)*VLOOKUP($C369&amp;$E369,'Updated SES'!A:I,9,0)</f>
        <v>0.372</v>
      </c>
      <c r="N369" s="102">
        <f>VLOOKUP(K:K,'Genre Penetration'!A:C,3,0)*VLOOKUP($C369&amp;$E369,'Updated SES'!A:J,10,0)</f>
        <v>0.15200000000000002</v>
      </c>
      <c r="O369" s="102" t="e">
        <f>VLOOKUP($B369,'Language Penetration'!$B$1:$AY$14,MATCH('Compile data Working'!$H91,'Language Penetration'!$B$1:$AY$1,0),0)</f>
        <v>#N/A</v>
      </c>
      <c r="P369" s="103" t="str">
        <f t="shared" ca="1" si="10"/>
        <v>6%</v>
      </c>
      <c r="Q369" s="101" t="e">
        <f t="shared" ca="1" si="11"/>
        <v>#N/A</v>
      </c>
      <c r="R369" s="104">
        <f>VLOOKUP(D:D,ranking!W:X,2,0)</f>
        <v>0.6</v>
      </c>
      <c r="S369" s="59">
        <v>2.7694112640000001E-2</v>
      </c>
    </row>
    <row r="370" spans="1:19" x14ac:dyDescent="0.25">
      <c r="A370" s="46" t="s">
        <v>1057</v>
      </c>
      <c r="B370" s="46" t="s">
        <v>85</v>
      </c>
      <c r="C370" s="51" t="s">
        <v>455</v>
      </c>
      <c r="D370" s="51" t="s">
        <v>431</v>
      </c>
      <c r="E370" s="51" t="s">
        <v>211</v>
      </c>
      <c r="F370" s="51" t="s">
        <v>457</v>
      </c>
      <c r="G370" s="51" t="s">
        <v>1736</v>
      </c>
      <c r="H370" s="98" t="s">
        <v>36</v>
      </c>
      <c r="I370" s="53">
        <v>44979</v>
      </c>
      <c r="J370" s="51">
        <v>9</v>
      </c>
      <c r="K370" s="51" t="s">
        <v>84</v>
      </c>
      <c r="L370" s="101">
        <f>VLOOKUP($C370&amp;$E370,'Updated SES'!A:N,14,0)</f>
        <v>11.0107</v>
      </c>
      <c r="M370" s="102">
        <f>VLOOKUP($K370,'Genre Penetration'!A:B,2,0)*VLOOKUP($C370&amp;$E370,'Updated SES'!A:I,9,0)</f>
        <v>0.38400000000000001</v>
      </c>
      <c r="N370" s="102">
        <f>VLOOKUP(K:K,'Genre Penetration'!A:C,3,0)*VLOOKUP($C370&amp;$E370,'Updated SES'!A:J,10,0)</f>
        <v>0.14399999999999999</v>
      </c>
      <c r="O370" s="102" t="e">
        <f>VLOOKUP($B370,'Language Penetration'!$B$1:$AY$14,MATCH('Compile data Working'!#REF!,'Language Penetration'!$B$1:$AY$1,0),0)</f>
        <v>#REF!</v>
      </c>
      <c r="P370" s="103" t="str">
        <f t="shared" ca="1" si="10"/>
        <v>4%</v>
      </c>
      <c r="Q370" s="101" t="e">
        <f t="shared" ca="1" si="11"/>
        <v>#REF!</v>
      </c>
      <c r="R370" s="104">
        <f>VLOOKUP(D:D,ranking!W:X,2,0)</f>
        <v>0.6</v>
      </c>
      <c r="S370" s="59">
        <v>2.0929138560000001E-2</v>
      </c>
    </row>
    <row r="371" spans="1:19" x14ac:dyDescent="0.25">
      <c r="A371" s="46" t="s">
        <v>1057</v>
      </c>
      <c r="B371" s="46" t="s">
        <v>85</v>
      </c>
      <c r="C371" s="51" t="s">
        <v>455</v>
      </c>
      <c r="D371" s="51" t="s">
        <v>431</v>
      </c>
      <c r="E371" s="51" t="s">
        <v>211</v>
      </c>
      <c r="F371" s="51" t="s">
        <v>457</v>
      </c>
      <c r="G371" s="51" t="s">
        <v>1737</v>
      </c>
      <c r="H371" s="98" t="s">
        <v>36</v>
      </c>
      <c r="I371" s="53">
        <v>45336</v>
      </c>
      <c r="J371" s="51">
        <v>10</v>
      </c>
      <c r="K371" s="51" t="s">
        <v>84</v>
      </c>
      <c r="L371" s="101">
        <f>VLOOKUP($C371&amp;$E371,'Updated SES'!A:N,14,0)</f>
        <v>11.0107</v>
      </c>
      <c r="M371" s="102">
        <f>VLOOKUP($K371,'Genre Penetration'!A:B,2,0)*VLOOKUP($C371&amp;$E371,'Updated SES'!A:I,9,0)</f>
        <v>0.38400000000000001</v>
      </c>
      <c r="N371" s="102">
        <f>VLOOKUP(K:K,'Genre Penetration'!A:C,3,0)*VLOOKUP($C371&amp;$E371,'Updated SES'!A:J,10,0)</f>
        <v>0.14399999999999999</v>
      </c>
      <c r="O371" s="102" t="e">
        <f>VLOOKUP($B371,'Language Penetration'!$B$1:$AY$14,MATCH('Compile data Working'!#REF!,'Language Penetration'!$B$1:$AY$1,0),0)</f>
        <v>#REF!</v>
      </c>
      <c r="P371" s="103" t="str">
        <f t="shared" ca="1" si="10"/>
        <v>4%</v>
      </c>
      <c r="Q371" s="101" t="e">
        <f t="shared" ca="1" si="11"/>
        <v>#REF!</v>
      </c>
      <c r="R371" s="104">
        <f>VLOOKUP(D:D,ranking!W:X,2,0)</f>
        <v>0.6</v>
      </c>
      <c r="S371" s="59">
        <v>1.0464569280000001E-2</v>
      </c>
    </row>
    <row r="372" spans="1:19" x14ac:dyDescent="0.25">
      <c r="A372" s="46" t="s">
        <v>1057</v>
      </c>
      <c r="B372" s="46" t="s">
        <v>85</v>
      </c>
      <c r="C372" s="51" t="s">
        <v>455</v>
      </c>
      <c r="D372" s="51" t="s">
        <v>431</v>
      </c>
      <c r="E372" s="51" t="s">
        <v>211</v>
      </c>
      <c r="F372" s="51" t="s">
        <v>457</v>
      </c>
      <c r="G372" s="51" t="s">
        <v>1567</v>
      </c>
      <c r="H372" s="46" t="s">
        <v>37</v>
      </c>
      <c r="I372" s="106">
        <v>45961</v>
      </c>
      <c r="J372" s="51">
        <v>1</v>
      </c>
      <c r="K372" s="51" t="s">
        <v>184</v>
      </c>
      <c r="L372" s="101">
        <f>VLOOKUP($C372&amp;$E372,'Updated SES'!A:N,14,0)</f>
        <v>11.0107</v>
      </c>
      <c r="M372" s="102">
        <f>VLOOKUP($K372,'Genre Penetration'!A:B,2,0)*VLOOKUP($C372&amp;$E372,'Updated SES'!A:I,9,0)</f>
        <v>0.29399999999999998</v>
      </c>
      <c r="N372" s="102">
        <f>VLOOKUP(K:K,'Genre Penetration'!A:C,3,0)*VLOOKUP($C372&amp;$E372,'Updated SES'!A:J,10,0)</f>
        <v>0.20400000000000001</v>
      </c>
      <c r="O372" s="102" t="e">
        <f>VLOOKUP($B372,'Language Penetration'!$B$1:$AY$14,MATCH('Compile data Working'!#REF!,'Language Penetration'!$B$1:$AY$1,0),0)</f>
        <v>#REF!</v>
      </c>
      <c r="P372" s="103" t="str">
        <f t="shared" ca="1" si="10"/>
        <v>38%</v>
      </c>
      <c r="Q372" s="101" t="e">
        <f t="shared" ca="1" si="11"/>
        <v>#REF!</v>
      </c>
      <c r="R372" s="104">
        <f>VLOOKUP(D:D,ranking!W:X,2,0)</f>
        <v>0.6</v>
      </c>
      <c r="S372" s="59">
        <v>0.1315998864</v>
      </c>
    </row>
    <row r="373" spans="1:19" x14ac:dyDescent="0.25">
      <c r="A373" s="46" t="s">
        <v>1057</v>
      </c>
      <c r="B373" s="46" t="s">
        <v>85</v>
      </c>
      <c r="C373" s="51" t="s">
        <v>455</v>
      </c>
      <c r="D373" s="46" t="s">
        <v>434</v>
      </c>
      <c r="E373" s="51" t="s">
        <v>211</v>
      </c>
      <c r="F373" s="51" t="s">
        <v>458</v>
      </c>
      <c r="G373" s="51" t="s">
        <v>1738</v>
      </c>
      <c r="H373" s="46" t="s">
        <v>37</v>
      </c>
      <c r="I373" s="46" t="s">
        <v>254</v>
      </c>
      <c r="J373" s="51">
        <v>2</v>
      </c>
      <c r="K373" s="51" t="s">
        <v>172</v>
      </c>
      <c r="L373" s="101">
        <f>VLOOKUP($C373&amp;$E373,'Updated SES'!A:N,14,0)</f>
        <v>11.0107</v>
      </c>
      <c r="M373" s="102">
        <f>VLOOKUP($K373,'Genre Penetration'!A:B,2,0)*VLOOKUP($C373&amp;$E373,'Updated SES'!A:I,9,0)</f>
        <v>0.24</v>
      </c>
      <c r="N373" s="102">
        <f>VLOOKUP(K:K,'Genre Penetration'!A:C,3,0)*VLOOKUP($C373&amp;$E373,'Updated SES'!A:J,10,0)</f>
        <v>0.24</v>
      </c>
      <c r="O373" s="102" t="e">
        <f>VLOOKUP($B373,'Language Penetration'!$B$1:$AY$14,MATCH('Compile data Working'!#REF!,'Language Penetration'!$B$1:$AY$1,0),0)</f>
        <v>#REF!</v>
      </c>
      <c r="P373" s="103" t="str">
        <f t="shared" ca="1" si="10"/>
        <v>32%</v>
      </c>
      <c r="Q373" s="101" t="e">
        <f t="shared" ca="1" si="11"/>
        <v>#REF!</v>
      </c>
      <c r="R373" s="104">
        <f>VLOOKUP(D:D,ranking!W:X,2,0)</f>
        <v>0.7</v>
      </c>
      <c r="S373" s="59">
        <v>0.110987856</v>
      </c>
    </row>
    <row r="374" spans="1:19" x14ac:dyDescent="0.25">
      <c r="A374" s="46" t="s">
        <v>1057</v>
      </c>
      <c r="B374" s="46" t="s">
        <v>85</v>
      </c>
      <c r="C374" s="51" t="s">
        <v>455</v>
      </c>
      <c r="D374" s="46" t="s">
        <v>434</v>
      </c>
      <c r="E374" s="51" t="s">
        <v>211</v>
      </c>
      <c r="F374" s="51" t="s">
        <v>458</v>
      </c>
      <c r="G374" s="51" t="s">
        <v>1739</v>
      </c>
      <c r="H374" s="46" t="s">
        <v>37</v>
      </c>
      <c r="I374" s="53">
        <v>45627</v>
      </c>
      <c r="J374" s="51">
        <v>3</v>
      </c>
      <c r="K374" s="51" t="s">
        <v>1216</v>
      </c>
      <c r="L374" s="101">
        <f>VLOOKUP($C374&amp;$E374,'Updated SES'!A:N,14,0)</f>
        <v>11.0107</v>
      </c>
      <c r="M374" s="102">
        <f>VLOOKUP($K374,'Genre Penetration'!A:B,2,0)*VLOOKUP($C374&amp;$E374,'Updated SES'!A:I,9,0)</f>
        <v>0.39</v>
      </c>
      <c r="N374" s="102">
        <f>VLOOKUP(K:K,'Genre Penetration'!A:C,3,0)*VLOOKUP($C374&amp;$E374,'Updated SES'!A:J,10,0)</f>
        <v>0.13999999999999999</v>
      </c>
      <c r="O374" s="102" t="e">
        <f>VLOOKUP($B374,'Language Penetration'!$B$1:$AY$14,MATCH('Compile data Working'!#REF!,'Language Penetration'!$B$1:$AY$1,0),0)</f>
        <v>#REF!</v>
      </c>
      <c r="P374" s="103" t="str">
        <f t="shared" ca="1" si="10"/>
        <v>29%</v>
      </c>
      <c r="Q374" s="101" t="e">
        <f t="shared" ca="1" si="11"/>
        <v>#REF!</v>
      </c>
      <c r="R374" s="104">
        <f>VLOOKUP(D:D,ranking!W:X,2,0)</f>
        <v>0.7</v>
      </c>
      <c r="S374" s="59">
        <v>0.11437915160000002</v>
      </c>
    </row>
    <row r="375" spans="1:19" x14ac:dyDescent="0.25">
      <c r="A375" s="46" t="s">
        <v>1057</v>
      </c>
      <c r="B375" s="46" t="s">
        <v>85</v>
      </c>
      <c r="C375" s="51" t="s">
        <v>455</v>
      </c>
      <c r="D375" s="46" t="s">
        <v>434</v>
      </c>
      <c r="E375" s="51" t="s">
        <v>211</v>
      </c>
      <c r="F375" s="51" t="s">
        <v>458</v>
      </c>
      <c r="G375" s="51" t="s">
        <v>1395</v>
      </c>
      <c r="H375" s="46" t="s">
        <v>37</v>
      </c>
      <c r="I375" s="106">
        <v>45911</v>
      </c>
      <c r="J375" s="51">
        <v>4</v>
      </c>
      <c r="K375" s="51" t="s">
        <v>184</v>
      </c>
      <c r="L375" s="101">
        <f>VLOOKUP($C375&amp;$E375,'Updated SES'!A:N,14,0)</f>
        <v>11.0107</v>
      </c>
      <c r="M375" s="102">
        <f>VLOOKUP($K375,'Genre Penetration'!A:B,2,0)*VLOOKUP($C375&amp;$E375,'Updated SES'!A:I,9,0)</f>
        <v>0.29399999999999998</v>
      </c>
      <c r="N375" s="102">
        <f>VLOOKUP(K:K,'Genre Penetration'!A:C,3,0)*VLOOKUP($C375&amp;$E375,'Updated SES'!A:J,10,0)</f>
        <v>0.20400000000000001</v>
      </c>
      <c r="O375" s="102" t="e">
        <f>VLOOKUP($B375,'Language Penetration'!$B$1:$AY$14,MATCH('Compile data Working'!#REF!,'Language Penetration'!$B$1:$AY$1,0),0)</f>
        <v>#REF!</v>
      </c>
      <c r="P375" s="103" t="str">
        <f t="shared" ca="1" si="10"/>
        <v>24%</v>
      </c>
      <c r="Q375" s="101" t="e">
        <f t="shared" ca="1" si="11"/>
        <v>#REF!</v>
      </c>
      <c r="R375" s="104">
        <f>VLOOKUP(D:D,ranking!W:X,2,0)</f>
        <v>0.7</v>
      </c>
      <c r="S375" s="59">
        <v>9.2119920479999992E-2</v>
      </c>
    </row>
    <row r="376" spans="1:19" x14ac:dyDescent="0.25">
      <c r="A376" s="46" t="s">
        <v>1057</v>
      </c>
      <c r="B376" s="46" t="s">
        <v>85</v>
      </c>
      <c r="C376" s="51" t="s">
        <v>455</v>
      </c>
      <c r="D376" s="46" t="s">
        <v>434</v>
      </c>
      <c r="E376" s="51" t="s">
        <v>211</v>
      </c>
      <c r="F376" s="51" t="s">
        <v>458</v>
      </c>
      <c r="G376" s="51" t="s">
        <v>1396</v>
      </c>
      <c r="H376" s="46" t="s">
        <v>37</v>
      </c>
      <c r="I376" s="106">
        <v>45730</v>
      </c>
      <c r="J376" s="51">
        <v>5</v>
      </c>
      <c r="K376" s="51" t="s">
        <v>184</v>
      </c>
      <c r="L376" s="101">
        <f>VLOOKUP($C376&amp;$E376,'Updated SES'!A:N,14,0)</f>
        <v>11.0107</v>
      </c>
      <c r="M376" s="102">
        <f>VLOOKUP($K376,'Genre Penetration'!A:B,2,0)*VLOOKUP($C376&amp;$E376,'Updated SES'!A:I,9,0)</f>
        <v>0.29399999999999998</v>
      </c>
      <c r="N376" s="102">
        <f>VLOOKUP(K:K,'Genre Penetration'!A:C,3,0)*VLOOKUP($C376&amp;$E376,'Updated SES'!A:J,10,0)</f>
        <v>0.20400000000000001</v>
      </c>
      <c r="O376" s="102" t="e">
        <f>VLOOKUP($B376,'Language Penetration'!$B$1:$AY$14,MATCH('Compile data Working'!#REF!,'Language Penetration'!$B$1:$AY$1,0),0)</f>
        <v>#REF!</v>
      </c>
      <c r="P376" s="103" t="str">
        <f t="shared" ca="1" si="10"/>
        <v>20%</v>
      </c>
      <c r="Q376" s="101" t="e">
        <f t="shared" ca="1" si="11"/>
        <v>#REF!</v>
      </c>
      <c r="R376" s="104">
        <f>VLOOKUP(D:D,ranking!W:X,2,0)</f>
        <v>0.7</v>
      </c>
      <c r="S376" s="59">
        <v>6.1413280319999999E-2</v>
      </c>
    </row>
    <row r="377" spans="1:19" x14ac:dyDescent="0.25">
      <c r="A377" s="46" t="s">
        <v>1057</v>
      </c>
      <c r="B377" s="46" t="s">
        <v>85</v>
      </c>
      <c r="C377" s="51" t="s">
        <v>455</v>
      </c>
      <c r="D377" s="51" t="s">
        <v>432</v>
      </c>
      <c r="E377" s="51" t="s">
        <v>211</v>
      </c>
      <c r="F377" s="51" t="s">
        <v>458</v>
      </c>
      <c r="G377" s="51" t="s">
        <v>1392</v>
      </c>
      <c r="H377" s="46" t="s">
        <v>37</v>
      </c>
      <c r="I377" s="106">
        <v>45891</v>
      </c>
      <c r="J377" s="51">
        <v>6</v>
      </c>
      <c r="K377" s="51" t="s">
        <v>1205</v>
      </c>
      <c r="L377" s="101">
        <f>VLOOKUP($C377&amp;$E377,'Updated SES'!A:N,14,0)</f>
        <v>11.0107</v>
      </c>
      <c r="M377" s="102">
        <f>VLOOKUP($K377,'Genre Penetration'!A:B,2,0)*VLOOKUP($C377&amp;$E377,'Updated SES'!A:I,9,0)</f>
        <v>0.312</v>
      </c>
      <c r="N377" s="102">
        <f>VLOOKUP(K:K,'Genre Penetration'!A:C,3,0)*VLOOKUP($C377&amp;$E377,'Updated SES'!A:J,10,0)</f>
        <v>0.192</v>
      </c>
      <c r="O377" s="102" t="e">
        <f>VLOOKUP($B377,'Language Penetration'!$B$1:$AY$14,MATCH('Compile data Working'!#REF!,'Language Penetration'!$B$1:$AY$1,0),0)</f>
        <v>#REF!</v>
      </c>
      <c r="P377" s="103" t="str">
        <f t="shared" ca="1" si="10"/>
        <v>14%</v>
      </c>
      <c r="Q377" s="101" t="e">
        <f t="shared" ca="1" si="11"/>
        <v>#REF!</v>
      </c>
      <c r="R377" s="104">
        <f>VLOOKUP(D:D,ranking!W:X,2,0)</f>
        <v>0.8</v>
      </c>
      <c r="S377" s="59">
        <v>5.3274170880000006E-2</v>
      </c>
    </row>
    <row r="378" spans="1:19" x14ac:dyDescent="0.25">
      <c r="A378" s="46" t="s">
        <v>1057</v>
      </c>
      <c r="B378" s="46" t="s">
        <v>85</v>
      </c>
      <c r="C378" s="51" t="s">
        <v>455</v>
      </c>
      <c r="D378" s="46" t="s">
        <v>434</v>
      </c>
      <c r="E378" s="51" t="s">
        <v>211</v>
      </c>
      <c r="F378" s="51" t="s">
        <v>458</v>
      </c>
      <c r="G378" s="51" t="s">
        <v>1397</v>
      </c>
      <c r="H378" s="46" t="s">
        <v>37</v>
      </c>
      <c r="I378" s="98" t="s">
        <v>254</v>
      </c>
      <c r="J378" s="51">
        <v>7</v>
      </c>
      <c r="K378" s="51" t="s">
        <v>170</v>
      </c>
      <c r="L378" s="101">
        <f>VLOOKUP($C378&amp;$E378,'Updated SES'!A:N,14,0)</f>
        <v>11.0107</v>
      </c>
      <c r="M378" s="102">
        <f>VLOOKUP($K378,'Genre Penetration'!A:B,2,0)*VLOOKUP($C378&amp;$E378,'Updated SES'!A:I,9,0)</f>
        <v>0.34799999999999998</v>
      </c>
      <c r="N378" s="102">
        <f>VLOOKUP(K:K,'Genre Penetration'!A:C,3,0)*VLOOKUP($C378&amp;$E378,'Updated SES'!A:J,10,0)</f>
        <v>0.16800000000000001</v>
      </c>
      <c r="O378" s="102" t="e">
        <f>VLOOKUP($B378,'Language Penetration'!$B$1:$AY$14,MATCH('Compile data Working'!#REF!,'Language Penetration'!$B$1:$AY$1,0),0)</f>
        <v>#REF!</v>
      </c>
      <c r="P378" s="103" t="str">
        <f t="shared" ca="1" si="10"/>
        <v>8%</v>
      </c>
      <c r="Q378" s="101" t="e">
        <f t="shared" ca="1" si="11"/>
        <v>#REF!</v>
      </c>
      <c r="R378" s="104">
        <f>VLOOKUP(D:D,ranking!W:X,2,0)</f>
        <v>0.7</v>
      </c>
      <c r="S378" s="59">
        <v>3.1816518719999999E-2</v>
      </c>
    </row>
    <row r="379" spans="1:19" x14ac:dyDescent="0.25">
      <c r="A379" s="46" t="s">
        <v>1057</v>
      </c>
      <c r="B379" s="46" t="s">
        <v>85</v>
      </c>
      <c r="C379" s="51" t="s">
        <v>455</v>
      </c>
      <c r="D379" s="51" t="s">
        <v>432</v>
      </c>
      <c r="E379" s="51" t="s">
        <v>211</v>
      </c>
      <c r="F379" s="51" t="s">
        <v>458</v>
      </c>
      <c r="G379" s="51" t="s">
        <v>1398</v>
      </c>
      <c r="H379" s="46" t="s">
        <v>37</v>
      </c>
      <c r="I379" s="106">
        <v>45899</v>
      </c>
      <c r="J379" s="51">
        <v>8</v>
      </c>
      <c r="K379" s="51" t="s">
        <v>1133</v>
      </c>
      <c r="L379" s="101">
        <f>VLOOKUP($C379&amp;$E379,'Updated SES'!A:N,14,0)</f>
        <v>11.0107</v>
      </c>
      <c r="M379" s="102">
        <f>VLOOKUP($K379,'Genre Penetration'!A:B,2,0)*VLOOKUP($C379&amp;$E379,'Updated SES'!A:I,9,0)</f>
        <v>0.3</v>
      </c>
      <c r="N379" s="102">
        <f>VLOOKUP(K:K,'Genre Penetration'!A:C,3,0)*VLOOKUP($C379&amp;$E379,'Updated SES'!A:J,10,0)</f>
        <v>0.2</v>
      </c>
      <c r="O379" s="102" t="e">
        <f>VLOOKUP($B379,'Language Penetration'!$B$1:$AY$14,MATCH('Compile data Working'!#REF!,'Language Penetration'!$B$1:$AY$1,0),0)</f>
        <v>#REF!</v>
      </c>
      <c r="P379" s="103" t="str">
        <f t="shared" ca="1" si="10"/>
        <v>6%</v>
      </c>
      <c r="Q379" s="101" t="e">
        <f t="shared" ca="1" si="11"/>
        <v>#REF!</v>
      </c>
      <c r="R379" s="104">
        <f>VLOOKUP(D:D,ranking!W:X,2,0)</f>
        <v>0.8</v>
      </c>
      <c r="S379" s="59">
        <v>2.6425680000000003E-2</v>
      </c>
    </row>
    <row r="380" spans="1:19" x14ac:dyDescent="0.25">
      <c r="A380" s="46" t="s">
        <v>1057</v>
      </c>
      <c r="B380" s="46" t="s">
        <v>85</v>
      </c>
      <c r="C380" s="51" t="s">
        <v>455</v>
      </c>
      <c r="D380" s="51" t="s">
        <v>432</v>
      </c>
      <c r="E380" s="51" t="s">
        <v>211</v>
      </c>
      <c r="F380" s="51" t="s">
        <v>458</v>
      </c>
      <c r="G380" s="51" t="s">
        <v>1399</v>
      </c>
      <c r="H380" s="46" t="s">
        <v>37</v>
      </c>
      <c r="I380" s="106">
        <v>45706</v>
      </c>
      <c r="J380" s="51">
        <v>9</v>
      </c>
      <c r="K380" s="51" t="s">
        <v>158</v>
      </c>
      <c r="L380" s="101">
        <f>VLOOKUP($C380&amp;$E380,'Updated SES'!A:N,14,0)</f>
        <v>11.0107</v>
      </c>
      <c r="M380" s="102">
        <f>VLOOKUP($K380,'Genre Penetration'!A:B,2,0)*VLOOKUP($C380&amp;$E380,'Updated SES'!A:I,9,0)</f>
        <v>0.27</v>
      </c>
      <c r="N380" s="102">
        <f>VLOOKUP(K:K,'Genre Penetration'!A:C,3,0)*VLOOKUP($C380&amp;$E380,'Updated SES'!A:J,10,0)</f>
        <v>0.22000000000000003</v>
      </c>
      <c r="O380" s="102" t="e">
        <f>VLOOKUP($B380,'Language Penetration'!$B$1:$AY$14,MATCH('Compile data Working'!#REF!,'Language Penetration'!$B$1:$AY$1,0),0)</f>
        <v>#REF!</v>
      </c>
      <c r="P380" s="103" t="str">
        <f t="shared" ca="1" si="10"/>
        <v>5%</v>
      </c>
      <c r="Q380" s="101" t="e">
        <f t="shared" ca="1" si="11"/>
        <v>#REF!</v>
      </c>
      <c r="R380" s="104">
        <f>VLOOKUP(D:D,ranking!W:X,2,0)</f>
        <v>0.8</v>
      </c>
      <c r="S380" s="59">
        <v>2.5897166400000005E-2</v>
      </c>
    </row>
    <row r="381" spans="1:19" x14ac:dyDescent="0.25">
      <c r="A381" s="46" t="s">
        <v>1057</v>
      </c>
      <c r="B381" s="46" t="s">
        <v>85</v>
      </c>
      <c r="C381" s="51" t="s">
        <v>455</v>
      </c>
      <c r="D381" s="51" t="s">
        <v>432</v>
      </c>
      <c r="E381" s="51" t="s">
        <v>211</v>
      </c>
      <c r="F381" s="51" t="s">
        <v>458</v>
      </c>
      <c r="G381" s="51" t="s">
        <v>1740</v>
      </c>
      <c r="H381" s="46" t="s">
        <v>37</v>
      </c>
      <c r="I381" s="53">
        <v>45940</v>
      </c>
      <c r="J381" s="51">
        <v>10</v>
      </c>
      <c r="K381" s="51" t="s">
        <v>176</v>
      </c>
      <c r="L381" s="101">
        <f>VLOOKUP($C381&amp;$E381,'Updated SES'!A:N,14,0)</f>
        <v>11.0107</v>
      </c>
      <c r="M381" s="102">
        <f>VLOOKUP($K381,'Genre Penetration'!A:B,2,0)*VLOOKUP($C381&amp;$E381,'Updated SES'!A:I,9,0)</f>
        <v>0.372</v>
      </c>
      <c r="N381" s="102">
        <f>VLOOKUP(K:K,'Genre Penetration'!A:C,3,0)*VLOOKUP($C381&amp;$E381,'Updated SES'!A:J,10,0)</f>
        <v>0.15200000000000002</v>
      </c>
      <c r="O381" s="102" t="e">
        <f>VLOOKUP($B381,'Language Penetration'!$B$1:$AY$14,MATCH('Compile data Working'!#REF!,'Language Penetration'!$B$1:$AY$1,0),0)</f>
        <v>#REF!</v>
      </c>
      <c r="P381" s="103" t="str">
        <f t="shared" ca="1" si="10"/>
        <v>4%</v>
      </c>
      <c r="Q381" s="101" t="e">
        <f t="shared" ca="1" si="11"/>
        <v>#REF!</v>
      </c>
      <c r="R381" s="104">
        <f>VLOOKUP(D:D,ranking!W:X,2,0)</f>
        <v>0.8</v>
      </c>
      <c r="S381" s="59">
        <v>1.3847056320000002E-2</v>
      </c>
    </row>
    <row r="382" spans="1:19" x14ac:dyDescent="0.25">
      <c r="A382" s="46" t="s">
        <v>1057</v>
      </c>
      <c r="B382" s="46" t="s">
        <v>85</v>
      </c>
      <c r="C382" s="51" t="s">
        <v>455</v>
      </c>
      <c r="D382" s="51" t="s">
        <v>432</v>
      </c>
      <c r="E382" s="51" t="s">
        <v>211</v>
      </c>
      <c r="F382" s="51" t="s">
        <v>458</v>
      </c>
      <c r="G382" s="51" t="s">
        <v>1464</v>
      </c>
      <c r="H382" s="46" t="s">
        <v>469</v>
      </c>
      <c r="I382" s="106">
        <v>45856</v>
      </c>
      <c r="J382" s="51">
        <v>1</v>
      </c>
      <c r="K382" s="51" t="s">
        <v>138</v>
      </c>
      <c r="L382" s="101">
        <f>VLOOKUP($C382&amp;$E382,'Updated SES'!A:N,14,0)</f>
        <v>11.0107</v>
      </c>
      <c r="M382" s="102">
        <f>VLOOKUP($K382,'Genre Penetration'!A:B,2,0)*VLOOKUP($C382&amp;$E382,'Updated SES'!A:I,9,0)</f>
        <v>0.28199999999999997</v>
      </c>
      <c r="N382" s="102">
        <f>VLOOKUP(K:K,'Genre Penetration'!A:C,3,0)*VLOOKUP($C382&amp;$E382,'Updated SES'!A:J,10,0)</f>
        <v>0.21200000000000002</v>
      </c>
      <c r="O382" s="102" t="e">
        <f>VLOOKUP($B382,'Language Penetration'!$B$1:$AY$14,MATCH('Compile data Working'!#REF!,'Language Penetration'!$B$1:$AY$1,0),0)</f>
        <v>#REF!</v>
      </c>
      <c r="P382" s="103" t="str">
        <f t="shared" ca="1" si="10"/>
        <v>39%</v>
      </c>
      <c r="Q382" s="101" t="e">
        <f t="shared" ca="1" si="11"/>
        <v>#REF!</v>
      </c>
      <c r="R382" s="104">
        <f>VLOOKUP(D:D,ranking!W:X,2,0)</f>
        <v>0.8</v>
      </c>
      <c r="S382" s="59">
        <v>0.17405714560000002</v>
      </c>
    </row>
    <row r="383" spans="1:19" x14ac:dyDescent="0.25">
      <c r="A383" s="46" t="s">
        <v>1057</v>
      </c>
      <c r="B383" s="46" t="s">
        <v>85</v>
      </c>
      <c r="C383" s="51" t="s">
        <v>455</v>
      </c>
      <c r="D383" s="51" t="s">
        <v>432</v>
      </c>
      <c r="E383" s="51" t="s">
        <v>211</v>
      </c>
      <c r="F383" s="51" t="s">
        <v>458</v>
      </c>
      <c r="G383" s="51" t="s">
        <v>1568</v>
      </c>
      <c r="H383" s="46" t="s">
        <v>469</v>
      </c>
      <c r="I383" s="53">
        <v>45961</v>
      </c>
      <c r="J383" s="51">
        <v>2</v>
      </c>
      <c r="K383" s="51" t="s">
        <v>170</v>
      </c>
      <c r="L383" s="101">
        <f>VLOOKUP($C383&amp;$E383,'Updated SES'!A:N,14,0)</f>
        <v>11.0107</v>
      </c>
      <c r="M383" s="102">
        <f>VLOOKUP($K383,'Genre Penetration'!A:B,2,0)*VLOOKUP($C383&amp;$E383,'Updated SES'!A:I,9,0)</f>
        <v>0.34799999999999998</v>
      </c>
      <c r="N383" s="102">
        <f>VLOOKUP(K:K,'Genre Penetration'!A:C,3,0)*VLOOKUP($C383&amp;$E383,'Updated SES'!A:J,10,0)</f>
        <v>0.16800000000000001</v>
      </c>
      <c r="O383" s="102" t="e">
        <f>VLOOKUP($B383,'Language Penetration'!$B$1:$AY$14,MATCH('Compile data Working'!#REF!,'Language Penetration'!$B$1:$AY$1,0),0)</f>
        <v>#REF!</v>
      </c>
      <c r="P383" s="103" t="str">
        <f t="shared" ca="1" si="10"/>
        <v>35%</v>
      </c>
      <c r="Q383" s="101" t="e">
        <f t="shared" ca="1" si="11"/>
        <v>#REF!</v>
      </c>
      <c r="R383" s="104">
        <f>VLOOKUP(D:D,ranking!W:X,2,0)</f>
        <v>0.8</v>
      </c>
      <c r="S383" s="59">
        <v>0.13635650880000003</v>
      </c>
    </row>
    <row r="384" spans="1:19" x14ac:dyDescent="0.25">
      <c r="A384" s="46" t="s">
        <v>1057</v>
      </c>
      <c r="B384" s="46" t="s">
        <v>85</v>
      </c>
      <c r="C384" s="51" t="s">
        <v>455</v>
      </c>
      <c r="D384" s="46" t="s">
        <v>434</v>
      </c>
      <c r="E384" s="51" t="s">
        <v>211</v>
      </c>
      <c r="F384" s="51" t="s">
        <v>458</v>
      </c>
      <c r="G384" s="51" t="s">
        <v>1741</v>
      </c>
      <c r="H384" s="46" t="s">
        <v>469</v>
      </c>
      <c r="I384" s="46" t="s">
        <v>254</v>
      </c>
      <c r="J384" s="51">
        <v>3</v>
      </c>
      <c r="K384" s="51" t="s">
        <v>149</v>
      </c>
      <c r="L384" s="101">
        <f>VLOOKUP($C384&amp;$E384,'Updated SES'!A:N,14,0)</f>
        <v>11.0107</v>
      </c>
      <c r="M384" s="102">
        <f>VLOOKUP($K384,'Genre Penetration'!A:B,2,0)*VLOOKUP($C384&amp;$E384,'Updated SES'!A:I,9,0)</f>
        <v>0.36599999999999999</v>
      </c>
      <c r="N384" s="102">
        <f>VLOOKUP(K:K,'Genre Penetration'!A:C,3,0)*VLOOKUP($C384&amp;$E384,'Updated SES'!A:J,10,0)</f>
        <v>0.15600000000000003</v>
      </c>
      <c r="O384" s="102">
        <f>VLOOKUP($B384,'Language Penetration'!$B$1:$AY$14,MATCH('Compile data Working'!$H92,'Language Penetration'!$B$1:$AY$1,0),0)</f>
        <v>0.6</v>
      </c>
      <c r="P384" s="103" t="str">
        <f t="shared" ca="1" si="10"/>
        <v>30%</v>
      </c>
      <c r="Q384" s="101">
        <f t="shared" ca="1" si="11"/>
        <v>1.0345653719999999</v>
      </c>
      <c r="R384" s="104">
        <f>VLOOKUP(D:D,ranking!W:X,2,0)</f>
        <v>0.7</v>
      </c>
      <c r="S384" s="59">
        <v>0.1005827445</v>
      </c>
    </row>
    <row r="385" spans="1:19" x14ac:dyDescent="0.25">
      <c r="A385" s="46" t="s">
        <v>1057</v>
      </c>
      <c r="B385" s="46" t="s">
        <v>85</v>
      </c>
      <c r="C385" s="51" t="s">
        <v>455</v>
      </c>
      <c r="D385" s="46" t="s">
        <v>434</v>
      </c>
      <c r="E385" s="51" t="s">
        <v>211</v>
      </c>
      <c r="F385" s="51" t="s">
        <v>458</v>
      </c>
      <c r="G385" s="51" t="s">
        <v>1742</v>
      </c>
      <c r="H385" s="46" t="s">
        <v>469</v>
      </c>
      <c r="I385" s="53">
        <v>45967</v>
      </c>
      <c r="J385" s="51">
        <v>4</v>
      </c>
      <c r="K385" s="51" t="s">
        <v>138</v>
      </c>
      <c r="L385" s="101">
        <f>VLOOKUP($C385&amp;$E385,'Updated SES'!A:N,14,0)</f>
        <v>11.0107</v>
      </c>
      <c r="M385" s="102">
        <f>VLOOKUP($K385,'Genre Penetration'!A:B,2,0)*VLOOKUP($C385&amp;$E385,'Updated SES'!A:I,9,0)</f>
        <v>0.28199999999999997</v>
      </c>
      <c r="N385" s="102">
        <f>VLOOKUP(K:K,'Genre Penetration'!A:C,3,0)*VLOOKUP($C385&amp;$E385,'Updated SES'!A:J,10,0)</f>
        <v>0.21200000000000002</v>
      </c>
      <c r="O385" s="102">
        <f>VLOOKUP($B385,'Language Penetration'!$B$1:$AY$14,MATCH('Compile data Working'!$H93,'Language Penetration'!$B$1:$AY$1,0),0)</f>
        <v>0.6</v>
      </c>
      <c r="P385" s="103" t="str">
        <f t="shared" ca="1" si="10"/>
        <v>25%</v>
      </c>
      <c r="Q385" s="101">
        <f t="shared" ca="1" si="11"/>
        <v>0.81589286999999988</v>
      </c>
      <c r="R385" s="104">
        <f>VLOOKUP(D:D,ranking!W:X,2,0)</f>
        <v>0.7</v>
      </c>
      <c r="S385" s="59">
        <v>7.6150001199999998E-2</v>
      </c>
    </row>
    <row r="386" spans="1:19" x14ac:dyDescent="0.25">
      <c r="A386" s="46" t="s">
        <v>1057</v>
      </c>
      <c r="B386" s="46" t="s">
        <v>85</v>
      </c>
      <c r="C386" s="51" t="s">
        <v>455</v>
      </c>
      <c r="D386" s="46" t="s">
        <v>434</v>
      </c>
      <c r="E386" s="51" t="s">
        <v>211</v>
      </c>
      <c r="F386" s="51" t="s">
        <v>458</v>
      </c>
      <c r="G386" s="51" t="s">
        <v>1395</v>
      </c>
      <c r="H386" s="46" t="s">
        <v>469</v>
      </c>
      <c r="I386" s="106">
        <v>45911</v>
      </c>
      <c r="J386" s="51">
        <v>5</v>
      </c>
      <c r="K386" s="51" t="s">
        <v>184</v>
      </c>
      <c r="L386" s="101">
        <f>VLOOKUP($C386&amp;$E386,'Updated SES'!A:N,14,0)</f>
        <v>11.0107</v>
      </c>
      <c r="M386" s="102">
        <f>VLOOKUP($K386,'Genre Penetration'!A:B,2,0)*VLOOKUP($C386&amp;$E386,'Updated SES'!A:I,9,0)</f>
        <v>0.29399999999999998</v>
      </c>
      <c r="N386" s="102">
        <f>VLOOKUP(K:K,'Genre Penetration'!A:C,3,0)*VLOOKUP($C386&amp;$E386,'Updated SES'!A:J,10,0)</f>
        <v>0.20400000000000001</v>
      </c>
      <c r="O386" s="102" t="e">
        <f>VLOOKUP($B386,'Language Penetration'!$B$1:$AY$14,MATCH('Compile data Working'!#REF!,'Language Penetration'!$B$1:$AY$1,0),0)</f>
        <v>#REF!</v>
      </c>
      <c r="P386" s="103" t="str">
        <f t="shared" ca="1" si="10"/>
        <v>16%</v>
      </c>
      <c r="Q386" s="101" t="e">
        <f t="shared" ca="1" si="11"/>
        <v>#REF!</v>
      </c>
      <c r="R386" s="104">
        <f>VLOOKUP(D:D,ranking!W:X,2,0)</f>
        <v>0.7</v>
      </c>
      <c r="S386" s="59">
        <v>9.2119920479999992E-2</v>
      </c>
    </row>
    <row r="387" spans="1:19" x14ac:dyDescent="0.25">
      <c r="A387" s="46" t="s">
        <v>1057</v>
      </c>
      <c r="B387" s="46" t="s">
        <v>85</v>
      </c>
      <c r="C387" s="51" t="s">
        <v>455</v>
      </c>
      <c r="D387" s="51" t="s">
        <v>432</v>
      </c>
      <c r="E387" s="51" t="s">
        <v>211</v>
      </c>
      <c r="F387" s="51" t="s">
        <v>458</v>
      </c>
      <c r="G387" s="51" t="s">
        <v>1401</v>
      </c>
      <c r="H387" s="46" t="s">
        <v>469</v>
      </c>
      <c r="I387" s="106">
        <v>45922</v>
      </c>
      <c r="J387" s="51">
        <v>6</v>
      </c>
      <c r="K387" s="51" t="s">
        <v>170</v>
      </c>
      <c r="L387" s="101">
        <f>VLOOKUP($C387&amp;$E387,'Updated SES'!A:N,14,0)</f>
        <v>11.0107</v>
      </c>
      <c r="M387" s="102">
        <f>VLOOKUP($K387,'Genre Penetration'!A:B,2,0)*VLOOKUP($C387&amp;$E387,'Updated SES'!A:I,9,0)</f>
        <v>0.34799999999999998</v>
      </c>
      <c r="N387" s="102">
        <f>VLOOKUP(K:K,'Genre Penetration'!A:C,3,0)*VLOOKUP($C387&amp;$E387,'Updated SES'!A:J,10,0)</f>
        <v>0.16800000000000001</v>
      </c>
      <c r="O387" s="102" t="e">
        <f>VLOOKUP($B387,'Language Penetration'!$B$1:$AY$14,MATCH('Compile data Working'!#REF!,'Language Penetration'!$B$1:$AY$1,0),0)</f>
        <v>#REF!</v>
      </c>
      <c r="P387" s="103" t="str">
        <f t="shared" ca="1" si="10"/>
        <v>12%</v>
      </c>
      <c r="Q387" s="101" t="e">
        <f t="shared" ca="1" si="11"/>
        <v>#REF!</v>
      </c>
      <c r="R387" s="104">
        <f>VLOOKUP(D:D,ranking!W:X,2,0)</f>
        <v>0.8</v>
      </c>
      <c r="S387" s="59">
        <v>6.8178254400000013E-2</v>
      </c>
    </row>
    <row r="388" spans="1:19" x14ac:dyDescent="0.25">
      <c r="A388" s="46" t="s">
        <v>1057</v>
      </c>
      <c r="B388" s="46" t="s">
        <v>85</v>
      </c>
      <c r="C388" s="51" t="s">
        <v>455</v>
      </c>
      <c r="D388" s="51" t="s">
        <v>432</v>
      </c>
      <c r="E388" s="51" t="s">
        <v>211</v>
      </c>
      <c r="F388" s="51" t="s">
        <v>458</v>
      </c>
      <c r="G388" s="51" t="s">
        <v>1400</v>
      </c>
      <c r="H388" s="46" t="s">
        <v>469</v>
      </c>
      <c r="I388" s="106">
        <v>45935</v>
      </c>
      <c r="J388" s="51">
        <v>7</v>
      </c>
      <c r="K388" s="51" t="s">
        <v>184</v>
      </c>
      <c r="L388" s="101">
        <f>VLOOKUP($C388&amp;$E388,'Updated SES'!A:N,14,0)</f>
        <v>11.0107</v>
      </c>
      <c r="M388" s="102">
        <f>VLOOKUP($K388,'Genre Penetration'!A:B,2,0)*VLOOKUP($C388&amp;$E388,'Updated SES'!A:I,9,0)</f>
        <v>0.29399999999999998</v>
      </c>
      <c r="N388" s="102">
        <f>VLOOKUP(K:K,'Genre Penetration'!A:C,3,0)*VLOOKUP($C388&amp;$E388,'Updated SES'!A:J,10,0)</f>
        <v>0.20400000000000001</v>
      </c>
      <c r="O388" s="102">
        <f>VLOOKUP($B388,'Language Penetration'!$B$1:$AY$14,MATCH('Compile data Working'!$H94,'Language Penetration'!$B$1:$AY$1,0),0)</f>
        <v>0.2</v>
      </c>
      <c r="P388" s="103" t="str">
        <f t="shared" ca="1" si="10"/>
        <v>9%</v>
      </c>
      <c r="Q388" s="101">
        <f t="shared" ca="1" si="11"/>
        <v>9.8699914799999997E-2</v>
      </c>
      <c r="R388" s="104">
        <f>VLOOKUP(D:D,ranking!W:X,2,0)</f>
        <v>0.8</v>
      </c>
      <c r="S388" s="59">
        <v>3.5093303040000003E-2</v>
      </c>
    </row>
    <row r="389" spans="1:19" x14ac:dyDescent="0.25">
      <c r="A389" s="46" t="s">
        <v>1057</v>
      </c>
      <c r="B389" s="46" t="s">
        <v>85</v>
      </c>
      <c r="C389" s="51" t="s">
        <v>455</v>
      </c>
      <c r="D389" s="51" t="s">
        <v>432</v>
      </c>
      <c r="E389" s="51" t="s">
        <v>211</v>
      </c>
      <c r="F389" s="51" t="s">
        <v>458</v>
      </c>
      <c r="G389" s="51" t="s">
        <v>1402</v>
      </c>
      <c r="H389" s="46" t="s">
        <v>469</v>
      </c>
      <c r="I389" s="98" t="s">
        <v>254</v>
      </c>
      <c r="J389" s="51">
        <v>8</v>
      </c>
      <c r="K389" s="51" t="s">
        <v>138</v>
      </c>
      <c r="L389" s="101">
        <f>VLOOKUP($C389&amp;$E389,'Updated SES'!A:N,14,0)</f>
        <v>11.0107</v>
      </c>
      <c r="M389" s="102">
        <f>VLOOKUP($K389,'Genre Penetration'!A:B,2,0)*VLOOKUP($C389&amp;$E389,'Updated SES'!A:I,9,0)</f>
        <v>0.28199999999999997</v>
      </c>
      <c r="N389" s="102">
        <f>VLOOKUP(K:K,'Genre Penetration'!A:C,3,0)*VLOOKUP($C389&amp;$E389,'Updated SES'!A:J,10,0)</f>
        <v>0.21200000000000002</v>
      </c>
      <c r="O389" s="102" t="e">
        <f>VLOOKUP($B389,'Language Penetration'!$B$1:$AY$14,MATCH('Compile data Working'!#REF!,'Language Penetration'!$B$1:$AY$1,0),0)</f>
        <v>#REF!</v>
      </c>
      <c r="P389" s="103" t="str">
        <f t="shared" ref="P389:P450" ca="1" si="12">IF(ISBLANK(J389),RANDBETWEEN(1,2)&amp;"%",IF(J389=1,RANDBETWEEN(35,40)&amp;"%",IF(J389=2,RANDBETWEEN(30,35)&amp;"%",IF(J389=3,RANDBETWEEN(25,30)&amp;"%",IF(J389=4,RANDBETWEEN(20,25)&amp;"%",IF(J389=5,RANDBETWEEN(15,20)&amp;"%",IF(J389=6,RANDBETWEEN(10,15)&amp;"%",IF(J389=7,RANDBETWEEN(8,10)&amp;"%",IF(J389=8,RANDBETWEEN(6,8)&amp;"%",IF(J389=9,RANDBETWEEN(4,6)&amp;"%",IF(J389=10,RANDBETWEEN(2,4)&amp;"%","")))))))))))</f>
        <v>6%</v>
      </c>
      <c r="Q389" s="101" t="e">
        <f t="shared" ref="Q389:Q450" ca="1" si="13">IFERROR(L389*(M389+N389)*O389*P389,RANDBETWEEN(1,2)%*L389*(M389+N389)*O389)</f>
        <v>#REF!</v>
      </c>
      <c r="R389" s="104">
        <f>VLOOKUP(D:D,ranking!W:X,2,0)</f>
        <v>0.8</v>
      </c>
      <c r="S389" s="59">
        <v>3.0460000480000006E-2</v>
      </c>
    </row>
    <row r="390" spans="1:19" x14ac:dyDescent="0.25">
      <c r="A390" s="46" t="s">
        <v>1057</v>
      </c>
      <c r="B390" s="46" t="s">
        <v>85</v>
      </c>
      <c r="C390" s="51" t="s">
        <v>455</v>
      </c>
      <c r="D390" s="51" t="s">
        <v>432</v>
      </c>
      <c r="E390" s="51" t="s">
        <v>211</v>
      </c>
      <c r="F390" s="51" t="s">
        <v>458</v>
      </c>
      <c r="G390" s="51" t="s">
        <v>1403</v>
      </c>
      <c r="H390" s="46" t="s">
        <v>469</v>
      </c>
      <c r="I390" s="106">
        <v>45800</v>
      </c>
      <c r="J390" s="51">
        <v>9</v>
      </c>
      <c r="K390" s="51" t="s">
        <v>124</v>
      </c>
      <c r="L390" s="101">
        <f>VLOOKUP($C390&amp;$E390,'Updated SES'!A:N,14,0)</f>
        <v>11.0107</v>
      </c>
      <c r="M390" s="102">
        <f>VLOOKUP($K390,'Genre Penetration'!A:B,2,0)*VLOOKUP($C390&amp;$E390,'Updated SES'!A:I,9,0)</f>
        <v>0.27</v>
      </c>
      <c r="N390" s="102">
        <f>VLOOKUP(K:K,'Genre Penetration'!A:C,3,0)*VLOOKUP($C390&amp;$E390,'Updated SES'!A:J,10,0)</f>
        <v>0.22000000000000003</v>
      </c>
      <c r="O390" s="102" t="e">
        <f>VLOOKUP($B390,'Language Penetration'!$B$1:$AY$14,MATCH('Compile data Working'!#REF!,'Language Penetration'!$B$1:$AY$1,0),0)</f>
        <v>#REF!</v>
      </c>
      <c r="P390" s="103" t="str">
        <f t="shared" ca="1" si="12"/>
        <v>5%</v>
      </c>
      <c r="Q390" s="101" t="e">
        <f t="shared" ca="1" si="13"/>
        <v>#REF!</v>
      </c>
      <c r="R390" s="104">
        <f>VLOOKUP(D:D,ranking!W:X,2,0)</f>
        <v>0.8</v>
      </c>
      <c r="S390" s="59">
        <v>2.1580972000000004E-2</v>
      </c>
    </row>
    <row r="391" spans="1:19" x14ac:dyDescent="0.25">
      <c r="A391" s="46" t="s">
        <v>1057</v>
      </c>
      <c r="B391" s="46" t="s">
        <v>85</v>
      </c>
      <c r="C391" s="51" t="s">
        <v>455</v>
      </c>
      <c r="D391" s="51" t="s">
        <v>432</v>
      </c>
      <c r="E391" s="51" t="s">
        <v>211</v>
      </c>
      <c r="F391" s="51" t="s">
        <v>457</v>
      </c>
      <c r="G391" s="51" t="s">
        <v>1404</v>
      </c>
      <c r="H391" s="46" t="s">
        <v>469</v>
      </c>
      <c r="I391" s="106">
        <v>45891</v>
      </c>
      <c r="J391" s="51">
        <v>10</v>
      </c>
      <c r="K391" s="51" t="s">
        <v>178</v>
      </c>
      <c r="L391" s="101">
        <f>VLOOKUP($C391&amp;$E391,'Updated SES'!A:N,14,0)</f>
        <v>11.0107</v>
      </c>
      <c r="M391" s="102">
        <f>VLOOKUP($K391,'Genre Penetration'!A:B,2,0)*VLOOKUP($C391&amp;$E391,'Updated SES'!A:I,9,0)</f>
        <v>0.36599999999999999</v>
      </c>
      <c r="N391" s="102">
        <f>VLOOKUP(K:K,'Genre Penetration'!A:C,3,0)*VLOOKUP($C391&amp;$E391,'Updated SES'!A:J,10,0)</f>
        <v>0.15600000000000003</v>
      </c>
      <c r="O391" s="102">
        <f>VLOOKUP($B391,'Language Penetration'!$B$1:$AY$14,MATCH('Compile data Working'!$H95,'Language Penetration'!$B$1:$AY$1,0),0)</f>
        <v>0.15</v>
      </c>
      <c r="P391" s="103" t="str">
        <f t="shared" ca="1" si="12"/>
        <v>2%</v>
      </c>
      <c r="Q391" s="101">
        <f t="shared" ca="1" si="13"/>
        <v>1.7242756200000001E-2</v>
      </c>
      <c r="R391" s="104">
        <f>VLOOKUP(D:D,ranking!W:X,2,0)</f>
        <v>0.8</v>
      </c>
      <c r="S391" s="59">
        <v>1.8392273280000003E-2</v>
      </c>
    </row>
    <row r="392" spans="1:19" x14ac:dyDescent="0.25">
      <c r="A392" s="46" t="s">
        <v>1057</v>
      </c>
      <c r="B392" s="46" t="s">
        <v>85</v>
      </c>
      <c r="C392" s="51" t="s">
        <v>135</v>
      </c>
      <c r="D392" s="51" t="s">
        <v>432</v>
      </c>
      <c r="E392" s="51" t="s">
        <v>211</v>
      </c>
      <c r="F392" s="51" t="s">
        <v>458</v>
      </c>
      <c r="G392" s="51" t="s">
        <v>1608</v>
      </c>
      <c r="H392" s="46" t="s">
        <v>25</v>
      </c>
      <c r="I392" s="53">
        <v>45974</v>
      </c>
      <c r="J392" s="51">
        <v>1</v>
      </c>
      <c r="K392" s="51" t="s">
        <v>880</v>
      </c>
      <c r="L392" s="101">
        <f>VLOOKUP($C392&amp;$E392,'Updated SES'!A:N,14,0)</f>
        <v>12.64146</v>
      </c>
      <c r="M392" s="102">
        <f>VLOOKUP($K392,'Genre Penetration'!A:B,2,0)*VLOOKUP($C392&amp;$E392,'Updated SES'!A:I,9,0)</f>
        <v>0.42900000000000005</v>
      </c>
      <c r="N392" s="102">
        <f>VLOOKUP(K:K,'Genre Penetration'!A:C,3,0)*VLOOKUP($C392&amp;$E392,'Updated SES'!A:J,10,0)</f>
        <v>9.9000000000000005E-2</v>
      </c>
      <c r="O392" s="102" t="e">
        <f>VLOOKUP($B392,'Language Penetration'!$B$1:$AY$14,MATCH('Compile data Working'!#REF!,'Language Penetration'!$B$1:$AY$1,0),0)</f>
        <v>#REF!</v>
      </c>
      <c r="P392" s="103" t="str">
        <f t="shared" ca="1" si="12"/>
        <v>36%</v>
      </c>
      <c r="Q392" s="101" t="e">
        <f t="shared" ca="1" si="13"/>
        <v>#REF!</v>
      </c>
      <c r="R392" s="104">
        <f>VLOOKUP(D:D,ranking!W:X,2,0)</f>
        <v>0.8</v>
      </c>
      <c r="S392" s="59">
        <v>0.19223109734400004</v>
      </c>
    </row>
    <row r="393" spans="1:19" x14ac:dyDescent="0.25">
      <c r="A393" s="46" t="s">
        <v>1057</v>
      </c>
      <c r="B393" s="46" t="s">
        <v>85</v>
      </c>
      <c r="C393" s="51" t="s">
        <v>135</v>
      </c>
      <c r="D393" s="51" t="s">
        <v>432</v>
      </c>
      <c r="E393" s="51" t="s">
        <v>211</v>
      </c>
      <c r="F393" s="51" t="s">
        <v>458</v>
      </c>
      <c r="G393" s="51" t="s">
        <v>1480</v>
      </c>
      <c r="H393" s="46" t="s">
        <v>22</v>
      </c>
      <c r="I393" s="106">
        <v>45960</v>
      </c>
      <c r="J393" s="51">
        <v>2</v>
      </c>
      <c r="K393" s="51" t="s">
        <v>176</v>
      </c>
      <c r="L393" s="101">
        <f>VLOOKUP($C393&amp;$E393,'Updated SES'!A:N,14,0)</f>
        <v>12.64146</v>
      </c>
      <c r="M393" s="102">
        <f>VLOOKUP($K393,'Genre Penetration'!A:B,2,0)*VLOOKUP($C393&amp;$E393,'Updated SES'!A:I,9,0)</f>
        <v>0.48360000000000003</v>
      </c>
      <c r="N393" s="102">
        <f>VLOOKUP(K:K,'Genre Penetration'!A:C,3,0)*VLOOKUP($C393&amp;$E393,'Updated SES'!A:J,10,0)</f>
        <v>8.3600000000000008E-2</v>
      </c>
      <c r="O393" s="102" t="e">
        <f>VLOOKUP($B393,'Language Penetration'!$B$1:$AY$14,MATCH('Compile data Working'!$H96,'Language Penetration'!$B$1:$AY$1,0),0)</f>
        <v>#N/A</v>
      </c>
      <c r="P393" s="103" t="str">
        <f t="shared" ca="1" si="12"/>
        <v>33%</v>
      </c>
      <c r="Q393" s="101" t="e">
        <f t="shared" ca="1" si="13"/>
        <v>#N/A</v>
      </c>
      <c r="R393" s="104">
        <f>VLOOKUP(D:D,ranking!W:X,2,0)</f>
        <v>0.8</v>
      </c>
      <c r="S393" s="59">
        <v>0.19503042224640008</v>
      </c>
    </row>
    <row r="394" spans="1:19" x14ac:dyDescent="0.25">
      <c r="A394" s="46" t="s">
        <v>1057</v>
      </c>
      <c r="B394" s="46" t="s">
        <v>85</v>
      </c>
      <c r="C394" s="51" t="s">
        <v>135</v>
      </c>
      <c r="D394" s="46" t="s">
        <v>434</v>
      </c>
      <c r="E394" s="51" t="s">
        <v>211</v>
      </c>
      <c r="F394" s="51" t="s">
        <v>458</v>
      </c>
      <c r="G394" s="51" t="s">
        <v>1743</v>
      </c>
      <c r="H394" s="46" t="s">
        <v>25</v>
      </c>
      <c r="I394" s="53">
        <v>45968</v>
      </c>
      <c r="J394" s="51">
        <v>3</v>
      </c>
      <c r="K394" s="51" t="s">
        <v>1143</v>
      </c>
      <c r="L394" s="101">
        <f>VLOOKUP($C394&amp;$E394,'Updated SES'!A:N,14,0)</f>
        <v>12.64146</v>
      </c>
      <c r="M394" s="102">
        <f>VLOOKUP($K394,'Genre Penetration'!A:B,2,0)*VLOOKUP($C394&amp;$E394,'Updated SES'!A:I,9,0)</f>
        <v>0.45239999999999997</v>
      </c>
      <c r="N394" s="102">
        <f>VLOOKUP(K:K,'Genre Penetration'!A:C,3,0)*VLOOKUP($C394&amp;$E394,'Updated SES'!A:J,10,0)</f>
        <v>9.2399999999999996E-2</v>
      </c>
      <c r="O394" s="102" t="e">
        <f>VLOOKUP($B394,'Language Penetration'!$B$1:$AY$14,MATCH('Compile data Working'!$H97,'Language Penetration'!$B$1:$AY$1,0),0)</f>
        <v>#N/A</v>
      </c>
      <c r="P394" s="103" t="str">
        <f t="shared" ca="1" si="12"/>
        <v>30%</v>
      </c>
      <c r="Q394" s="101" t="e">
        <f t="shared" ca="1" si="13"/>
        <v>#N/A</v>
      </c>
      <c r="R394" s="104">
        <f>VLOOKUP(D:D,ranking!W:X,2,0)</f>
        <v>0.7</v>
      </c>
      <c r="S394" s="59">
        <v>0.13498652119679999</v>
      </c>
    </row>
    <row r="395" spans="1:19" x14ac:dyDescent="0.25">
      <c r="A395" s="46" t="s">
        <v>1057</v>
      </c>
      <c r="B395" s="46" t="s">
        <v>85</v>
      </c>
      <c r="C395" s="51" t="s">
        <v>135</v>
      </c>
      <c r="D395" s="46" t="s">
        <v>434</v>
      </c>
      <c r="E395" s="51" t="s">
        <v>211</v>
      </c>
      <c r="F395" s="51" t="s">
        <v>458</v>
      </c>
      <c r="G395" s="51" t="s">
        <v>1641</v>
      </c>
      <c r="H395" s="46" t="s">
        <v>22</v>
      </c>
      <c r="I395" s="53">
        <v>45975</v>
      </c>
      <c r="J395" s="51">
        <v>4</v>
      </c>
      <c r="K395" s="51" t="s">
        <v>92</v>
      </c>
      <c r="L395" s="101">
        <f>VLOOKUP($C395&amp;$E395,'Updated SES'!A:N,14,0)</f>
        <v>12.64146</v>
      </c>
      <c r="M395" s="102">
        <f>VLOOKUP($K395,'Genre Penetration'!A:B,2,0)*VLOOKUP($C395&amp;$E395,'Updated SES'!A:I,9,0)</f>
        <v>0.41340000000000005</v>
      </c>
      <c r="N395" s="102">
        <f>VLOOKUP(K:K,'Genre Penetration'!A:C,3,0)*VLOOKUP($C395&amp;$E395,'Updated SES'!A:J,10,0)</f>
        <v>0.10339999999999999</v>
      </c>
      <c r="O395" s="102" t="e">
        <f>VLOOKUP($B395,'Language Penetration'!$B$1:$AY$14,MATCH('Compile data Working'!$H98,'Language Penetration'!$B$1:$AY$1,0),0)</f>
        <v>#N/A</v>
      </c>
      <c r="P395" s="103" t="str">
        <f t="shared" ca="1" si="12"/>
        <v>23%</v>
      </c>
      <c r="Q395" s="101" t="e">
        <f t="shared" ca="1" si="13"/>
        <v>#N/A</v>
      </c>
      <c r="R395" s="104">
        <f>VLOOKUP(D:D,ranking!W:X,2,0)</f>
        <v>0.7</v>
      </c>
      <c r="S395" s="59">
        <v>0.10060984053120002</v>
      </c>
    </row>
    <row r="396" spans="1:19" x14ac:dyDescent="0.25">
      <c r="A396" s="46" t="s">
        <v>1057</v>
      </c>
      <c r="B396" s="46" t="s">
        <v>85</v>
      </c>
      <c r="C396" s="51" t="s">
        <v>135</v>
      </c>
      <c r="D396" s="46" t="s">
        <v>434</v>
      </c>
      <c r="E396" s="51" t="s">
        <v>211</v>
      </c>
      <c r="F396" s="51" t="s">
        <v>458</v>
      </c>
      <c r="G396" s="51" t="s">
        <v>1633</v>
      </c>
      <c r="H396" s="46" t="s">
        <v>22</v>
      </c>
      <c r="I396" s="53">
        <v>45975</v>
      </c>
      <c r="J396" s="51">
        <v>5</v>
      </c>
      <c r="K396" s="51" t="s">
        <v>216</v>
      </c>
      <c r="L396" s="101">
        <f>VLOOKUP($C396&amp;$E396,'Updated SES'!A:N,14,0)</f>
        <v>12.64146</v>
      </c>
      <c r="M396" s="102">
        <f>VLOOKUP($K396,'Genre Penetration'!A:B,2,0)*VLOOKUP($C396&amp;$E396,'Updated SES'!A:I,9,0)</f>
        <v>0.39</v>
      </c>
      <c r="N396" s="102">
        <f>VLOOKUP(K:K,'Genre Penetration'!A:C,3,0)*VLOOKUP($C396&amp;$E396,'Updated SES'!A:J,10,0)</f>
        <v>0.11</v>
      </c>
      <c r="O396" s="102">
        <f>VLOOKUP($B396,'Language Penetration'!$B$1:$AY$14,MATCH('Compile data Working'!$H99,'Language Penetration'!$B$1:$AY$1,0),0)</f>
        <v>0.2</v>
      </c>
      <c r="P396" s="103" t="str">
        <f t="shared" ca="1" si="12"/>
        <v>18%</v>
      </c>
      <c r="Q396" s="101">
        <f t="shared" ca="1" si="13"/>
        <v>0.22754628000000002</v>
      </c>
      <c r="R396" s="104">
        <f>VLOOKUP(D:D,ranking!W:X,2,0)</f>
        <v>0.7</v>
      </c>
      <c r="S396" s="59">
        <v>7.9641197999999996E-2</v>
      </c>
    </row>
    <row r="397" spans="1:19" x14ac:dyDescent="0.25">
      <c r="A397" s="46" t="s">
        <v>1057</v>
      </c>
      <c r="B397" s="46" t="s">
        <v>85</v>
      </c>
      <c r="C397" s="51" t="s">
        <v>135</v>
      </c>
      <c r="D397" s="46" t="s">
        <v>434</v>
      </c>
      <c r="E397" s="51" t="s">
        <v>211</v>
      </c>
      <c r="F397" s="51" t="s">
        <v>458</v>
      </c>
      <c r="G397" s="51" t="s">
        <v>1744</v>
      </c>
      <c r="H397" s="46" t="s">
        <v>26</v>
      </c>
      <c r="I397" s="53">
        <v>45975</v>
      </c>
      <c r="J397" s="51">
        <v>6</v>
      </c>
      <c r="K397" s="51" t="s">
        <v>130</v>
      </c>
      <c r="L397" s="101">
        <f>VLOOKUP($C397&amp;$E397,'Updated SES'!A:N,14,0)</f>
        <v>12.64146</v>
      </c>
      <c r="M397" s="102">
        <f>VLOOKUP($K397,'Genre Penetration'!A:B,2,0)*VLOOKUP($C397&amp;$E397,'Updated SES'!A:I,9,0)</f>
        <v>0.43680000000000008</v>
      </c>
      <c r="N397" s="102">
        <f>VLOOKUP(K:K,'Genre Penetration'!A:C,3,0)*VLOOKUP($C397&amp;$E397,'Updated SES'!A:J,10,0)</f>
        <v>9.6799999999999997E-2</v>
      </c>
      <c r="O397" s="102" t="e">
        <f>VLOOKUP($B397,'Language Penetration'!$B$1:$AY$14,MATCH('Compile data Working'!#REF!,'Language Penetration'!$B$1:$AY$1,0),0)</f>
        <v>#REF!</v>
      </c>
      <c r="P397" s="103" t="str">
        <f t="shared" ca="1" si="12"/>
        <v>15%</v>
      </c>
      <c r="Q397" s="101" t="e">
        <f t="shared" ca="1" si="13"/>
        <v>#REF!</v>
      </c>
      <c r="R397" s="104">
        <f>VLOOKUP(D:D,ranking!W:X,2,0)</f>
        <v>0.7</v>
      </c>
      <c r="S397" s="59">
        <v>3.9663440369280011E-2</v>
      </c>
    </row>
    <row r="398" spans="1:19" x14ac:dyDescent="0.25">
      <c r="A398" s="46" t="s">
        <v>1057</v>
      </c>
      <c r="B398" s="46" t="s">
        <v>85</v>
      </c>
      <c r="C398" s="51" t="s">
        <v>135</v>
      </c>
      <c r="D398" s="51" t="s">
        <v>432</v>
      </c>
      <c r="E398" s="51" t="s">
        <v>211</v>
      </c>
      <c r="F398" s="51" t="s">
        <v>458</v>
      </c>
      <c r="G398" s="51" t="s">
        <v>1325</v>
      </c>
      <c r="H398" s="46" t="s">
        <v>22</v>
      </c>
      <c r="I398" s="106">
        <v>45940</v>
      </c>
      <c r="J398" s="51">
        <v>7</v>
      </c>
      <c r="K398" s="51" t="s">
        <v>92</v>
      </c>
      <c r="L398" s="101">
        <f>VLOOKUP($C398&amp;$E398,'Updated SES'!A:N,14,0)</f>
        <v>12.64146</v>
      </c>
      <c r="M398" s="102">
        <f>VLOOKUP($K398,'Genre Penetration'!A:B,2,0)*VLOOKUP($C398&amp;$E398,'Updated SES'!A:I,9,0)</f>
        <v>0.41340000000000005</v>
      </c>
      <c r="N398" s="102">
        <f>VLOOKUP(K:K,'Genre Penetration'!A:C,3,0)*VLOOKUP($C398&amp;$E398,'Updated SES'!A:J,10,0)</f>
        <v>0.10339999999999999</v>
      </c>
      <c r="O398" s="102">
        <f>VLOOKUP($B398,'Language Penetration'!$B$1:$AY$14,MATCH('Compile data Working'!$H100,'Language Penetration'!$B$1:$AY$1,0),0)</f>
        <v>0.1</v>
      </c>
      <c r="P398" s="103" t="str">
        <f t="shared" ca="1" si="12"/>
        <v>8%</v>
      </c>
      <c r="Q398" s="101">
        <f t="shared" ca="1" si="13"/>
        <v>5.2264852224000014E-2</v>
      </c>
      <c r="R398" s="104">
        <f>VLOOKUP(D:D,ranking!W:X,2,0)</f>
        <v>0.8</v>
      </c>
      <c r="S398" s="59">
        <v>4.7038367001600009E-2</v>
      </c>
    </row>
    <row r="399" spans="1:19" x14ac:dyDescent="0.25">
      <c r="A399" s="46" t="s">
        <v>1057</v>
      </c>
      <c r="B399" s="46" t="s">
        <v>85</v>
      </c>
      <c r="C399" s="51" t="s">
        <v>135</v>
      </c>
      <c r="D399" s="46" t="s">
        <v>434</v>
      </c>
      <c r="E399" s="51" t="s">
        <v>211</v>
      </c>
      <c r="F399" s="51" t="s">
        <v>458</v>
      </c>
      <c r="G399" s="51" t="s">
        <v>1342</v>
      </c>
      <c r="H399" s="46" t="s">
        <v>23</v>
      </c>
      <c r="I399" s="106">
        <v>45940</v>
      </c>
      <c r="J399" s="51">
        <v>8</v>
      </c>
      <c r="K399" s="51" t="s">
        <v>1193</v>
      </c>
      <c r="L399" s="101">
        <f>VLOOKUP($C399&amp;$E399,'Updated SES'!A:N,14,0)</f>
        <v>12.64146</v>
      </c>
      <c r="M399" s="102">
        <f>VLOOKUP($K399,'Genre Penetration'!A:B,2,0)*VLOOKUP($C399&amp;$E399,'Updated SES'!A:I,9,0)</f>
        <v>0.48360000000000003</v>
      </c>
      <c r="N399" s="102">
        <f>VLOOKUP(K:K,'Genre Penetration'!A:C,3,0)*VLOOKUP($C399&amp;$E399,'Updated SES'!A:J,10,0)</f>
        <v>8.3600000000000008E-2</v>
      </c>
      <c r="O399" s="102">
        <f>VLOOKUP($B399,'Language Penetration'!$B$1:$AY$14,MATCH('Compile data Working'!$H101,'Language Penetration'!$B$1:$AY$1,0),0)</f>
        <v>0.15</v>
      </c>
      <c r="P399" s="103" t="str">
        <f t="shared" ca="1" si="12"/>
        <v>6%</v>
      </c>
      <c r="Q399" s="101">
        <f t="shared" ca="1" si="13"/>
        <v>6.4532125007999999E-2</v>
      </c>
      <c r="R399" s="104">
        <f>VLOOKUP(D:D,ranking!W:X,2,0)</f>
        <v>0.7</v>
      </c>
      <c r="S399" s="59">
        <v>6.0229983340799993E-2</v>
      </c>
    </row>
    <row r="400" spans="1:19" x14ac:dyDescent="0.25">
      <c r="A400" s="46" t="s">
        <v>1057</v>
      </c>
      <c r="B400" s="46" t="s">
        <v>85</v>
      </c>
      <c r="C400" s="51" t="s">
        <v>135</v>
      </c>
      <c r="D400" s="46" t="s">
        <v>434</v>
      </c>
      <c r="E400" s="51" t="s">
        <v>211</v>
      </c>
      <c r="F400" s="51" t="s">
        <v>458</v>
      </c>
      <c r="G400" s="51" t="s">
        <v>1435</v>
      </c>
      <c r="H400" s="46" t="s">
        <v>26</v>
      </c>
      <c r="I400" s="106">
        <v>45947</v>
      </c>
      <c r="J400" s="51">
        <v>9</v>
      </c>
      <c r="K400" s="51" t="s">
        <v>1449</v>
      </c>
      <c r="L400" s="101">
        <f>VLOOKUP($C400&amp;$E400,'Updated SES'!A:N,14,0)</f>
        <v>12.64146</v>
      </c>
      <c r="M400" s="102">
        <f>VLOOKUP($K400,'Genre Penetration'!A:B,2,0)*VLOOKUP($C400&amp;$E400,'Updated SES'!A:I,9,0)</f>
        <v>0.32369999999999999</v>
      </c>
      <c r="N400" s="102">
        <f>VLOOKUP(K:K,'Genre Penetration'!A:C,3,0)*VLOOKUP($C400&amp;$E400,'Updated SES'!A:J,10,0)</f>
        <v>0.12869999999999998</v>
      </c>
      <c r="O400" s="102" t="e">
        <f>VLOOKUP($B400,'Language Penetration'!$B$1:$AY$14,MATCH('Compile data Working'!#REF!,'Language Penetration'!$B$1:$AY$1,0),0)</f>
        <v>#REF!</v>
      </c>
      <c r="P400" s="103" t="str">
        <f t="shared" ca="1" si="12"/>
        <v>4%</v>
      </c>
      <c r="Q400" s="101" t="e">
        <f t="shared" ca="1" si="13"/>
        <v>#REF!</v>
      </c>
      <c r="R400" s="104">
        <f>VLOOKUP(D:D,ranking!W:X,2,0)</f>
        <v>0.7</v>
      </c>
      <c r="S400" s="59">
        <v>1.1209233147840001E-2</v>
      </c>
    </row>
    <row r="401" spans="1:19" x14ac:dyDescent="0.25">
      <c r="A401" s="46" t="s">
        <v>1057</v>
      </c>
      <c r="B401" s="46" t="s">
        <v>85</v>
      </c>
      <c r="C401" s="51" t="s">
        <v>135</v>
      </c>
      <c r="D401" s="46" t="s">
        <v>434</v>
      </c>
      <c r="E401" s="51" t="s">
        <v>211</v>
      </c>
      <c r="F401" s="51" t="s">
        <v>458</v>
      </c>
      <c r="G401" s="51" t="s">
        <v>1326</v>
      </c>
      <c r="H401" s="46" t="s">
        <v>26</v>
      </c>
      <c r="I401" s="106">
        <v>45931</v>
      </c>
      <c r="J401" s="51">
        <v>10</v>
      </c>
      <c r="K401" s="51" t="s">
        <v>52</v>
      </c>
      <c r="L401" s="101">
        <f>VLOOKUP($C401&amp;$E401,'Updated SES'!A:N,14,0)</f>
        <v>12.64146</v>
      </c>
      <c r="M401" s="102">
        <f>VLOOKUP($K401,'Genre Penetration'!A:B,2,0)*VLOOKUP($C401&amp;$E401,'Updated SES'!A:I,9,0)</f>
        <v>0.46799999999999997</v>
      </c>
      <c r="N401" s="102">
        <f>VLOOKUP(K:K,'Genre Penetration'!A:C,3,0)*VLOOKUP($C401&amp;$E401,'Updated SES'!A:J,10,0)</f>
        <v>8.8000000000000009E-2</v>
      </c>
      <c r="O401" s="102">
        <f>VLOOKUP($B401,'Language Penetration'!$B$1:$AY$14,MATCH('Compile data Working'!$H102,'Language Penetration'!$B$1:$AY$1,0),0)</f>
        <v>0.2</v>
      </c>
      <c r="P401" s="103" t="str">
        <f t="shared" ca="1" si="12"/>
        <v>2%</v>
      </c>
      <c r="Q401" s="101">
        <f t="shared" ca="1" si="13"/>
        <v>2.811460704E-2</v>
      </c>
      <c r="R401" s="104">
        <f>VLOOKUP(D:D,ranking!W:X,2,0)</f>
        <v>0.7</v>
      </c>
      <c r="S401" s="59">
        <v>6.8880787248000001E-3</v>
      </c>
    </row>
    <row r="402" spans="1:19" x14ac:dyDescent="0.25">
      <c r="A402" s="46" t="s">
        <v>1057</v>
      </c>
      <c r="B402" s="46" t="s">
        <v>85</v>
      </c>
      <c r="C402" s="51" t="s">
        <v>144</v>
      </c>
      <c r="D402" s="46" t="s">
        <v>434</v>
      </c>
      <c r="E402" s="51" t="s">
        <v>211</v>
      </c>
      <c r="F402" s="51" t="s">
        <v>458</v>
      </c>
      <c r="G402" s="51" t="s">
        <v>1569</v>
      </c>
      <c r="H402" s="46" t="s">
        <v>1545</v>
      </c>
      <c r="I402" s="53">
        <v>45778</v>
      </c>
      <c r="J402" s="51">
        <v>1</v>
      </c>
      <c r="K402" s="51" t="s">
        <v>145</v>
      </c>
      <c r="L402" s="101">
        <f>VLOOKUP($C402&amp;$E402,'Updated SES'!A:N,14,0)</f>
        <v>6.3900000000000012E-2</v>
      </c>
      <c r="M402" s="102">
        <f>VLOOKUP($K402,'Genre Penetration'!A:B,2,0)*VLOOKUP($C402&amp;$E402,'Updated SES'!A:I,9,0)</f>
        <v>0.26269999999999999</v>
      </c>
      <c r="N402" s="102">
        <f>VLOOKUP(K:K,'Genre Penetration'!A:C,3,0)*VLOOKUP($C402&amp;$E402,'Updated SES'!A:J,10,0)</f>
        <v>0.1827</v>
      </c>
      <c r="O402" s="102">
        <v>0.5</v>
      </c>
      <c r="P402" s="103" t="str">
        <f t="shared" ca="1" si="12"/>
        <v>38%</v>
      </c>
      <c r="Q402" s="101">
        <f t="shared" ca="1" si="13"/>
        <v>5.4076014000000016E-3</v>
      </c>
      <c r="R402" s="104">
        <f>VLOOKUP(D:D,ranking!W:X,2,0)</f>
        <v>0.7</v>
      </c>
      <c r="S402" s="59">
        <v>3.9845484000000011E-3</v>
      </c>
    </row>
    <row r="403" spans="1:19" x14ac:dyDescent="0.25">
      <c r="A403" s="46" t="s">
        <v>1057</v>
      </c>
      <c r="B403" s="46" t="s">
        <v>85</v>
      </c>
      <c r="C403" s="51" t="s">
        <v>144</v>
      </c>
      <c r="D403" s="46" t="s">
        <v>434</v>
      </c>
      <c r="E403" s="51" t="s">
        <v>211</v>
      </c>
      <c r="F403" s="51" t="s">
        <v>458</v>
      </c>
      <c r="G403" s="51" t="s">
        <v>1410</v>
      </c>
      <c r="H403" s="46" t="s">
        <v>40</v>
      </c>
      <c r="I403" s="106">
        <v>45672</v>
      </c>
      <c r="J403" s="51">
        <v>2</v>
      </c>
      <c r="K403" s="51" t="s">
        <v>161</v>
      </c>
      <c r="L403" s="101">
        <f>VLOOKUP($C403&amp;$E403,'Updated SES'!A:N,14,0)</f>
        <v>6.3900000000000012E-2</v>
      </c>
      <c r="M403" s="102">
        <f>VLOOKUP($K403,'Genre Penetration'!A:B,2,0)*VLOOKUP($C403&amp;$E403,'Updated SES'!A:I,9,0)</f>
        <v>0.28399999999999997</v>
      </c>
      <c r="N403" s="102">
        <f>VLOOKUP(K:K,'Genre Penetration'!A:C,3,0)*VLOOKUP($C403&amp;$E403,'Updated SES'!A:J,10,0)</f>
        <v>0.17399999999999999</v>
      </c>
      <c r="O403" s="102" t="e">
        <f>VLOOKUP($B403,'Language Penetration'!$B$1:$AY$14,MATCH('Compile data Working'!#REF!,'Language Penetration'!$B$1:$AY$1,0),0)</f>
        <v>#REF!</v>
      </c>
      <c r="P403" s="103" t="str">
        <f t="shared" ca="1" si="12"/>
        <v>34%</v>
      </c>
      <c r="Q403" s="101" t="e">
        <f t="shared" ca="1" si="13"/>
        <v>#REF!</v>
      </c>
      <c r="R403" s="104">
        <f>VLOOKUP(D:D,ranking!W:X,2,0)</f>
        <v>0.7</v>
      </c>
      <c r="S403" s="59">
        <v>2.03156205E-3</v>
      </c>
    </row>
    <row r="404" spans="1:19" x14ac:dyDescent="0.25">
      <c r="A404" s="46" t="s">
        <v>1057</v>
      </c>
      <c r="B404" s="46" t="s">
        <v>85</v>
      </c>
      <c r="C404" s="51" t="s">
        <v>144</v>
      </c>
      <c r="D404" s="46" t="s">
        <v>434</v>
      </c>
      <c r="E404" s="51" t="s">
        <v>211</v>
      </c>
      <c r="F404" s="51" t="s">
        <v>458</v>
      </c>
      <c r="G404" s="51" t="s">
        <v>1406</v>
      </c>
      <c r="H404" s="46" t="s">
        <v>77</v>
      </c>
      <c r="I404" s="106">
        <v>45751</v>
      </c>
      <c r="J404" s="51">
        <v>3</v>
      </c>
      <c r="K404" s="51" t="s">
        <v>162</v>
      </c>
      <c r="L404" s="101">
        <f>VLOOKUP($C404&amp;$E404,'Updated SES'!A:N,14,0)</f>
        <v>6.3900000000000012E-2</v>
      </c>
      <c r="M404" s="102">
        <f>VLOOKUP($K404,'Genre Penetration'!A:B,2,0)*VLOOKUP($C404&amp;$E404,'Updated SES'!A:I,9,0)</f>
        <v>0.49699999999999994</v>
      </c>
      <c r="N404" s="102">
        <f>VLOOKUP(K:K,'Genre Penetration'!A:C,3,0)*VLOOKUP($C404&amp;$E404,'Updated SES'!A:J,10,0)</f>
        <v>8.6999999999999994E-2</v>
      </c>
      <c r="O404" s="102">
        <v>0.5</v>
      </c>
      <c r="P404" s="103" t="str">
        <f t="shared" ca="1" si="12"/>
        <v>25%</v>
      </c>
      <c r="Q404" s="101">
        <f t="shared" ca="1" si="13"/>
        <v>4.6647000000000008E-3</v>
      </c>
      <c r="R404" s="104">
        <f>VLOOKUP(D:D,ranking!W:X,2,0)</f>
        <v>0.7</v>
      </c>
      <c r="S404" s="59">
        <v>3.3959016000000009E-3</v>
      </c>
    </row>
    <row r="405" spans="1:19" x14ac:dyDescent="0.25">
      <c r="A405" s="46" t="s">
        <v>1057</v>
      </c>
      <c r="B405" s="46" t="s">
        <v>85</v>
      </c>
      <c r="C405" s="51" t="s">
        <v>144</v>
      </c>
      <c r="D405" s="46" t="s">
        <v>434</v>
      </c>
      <c r="E405" s="51" t="s">
        <v>211</v>
      </c>
      <c r="F405" s="51" t="s">
        <v>458</v>
      </c>
      <c r="G405" s="51" t="s">
        <v>1570</v>
      </c>
      <c r="H405" s="46" t="s">
        <v>77</v>
      </c>
      <c r="I405" s="53">
        <v>45365</v>
      </c>
      <c r="J405" s="51">
        <v>4</v>
      </c>
      <c r="K405" s="51" t="s">
        <v>903</v>
      </c>
      <c r="L405" s="101">
        <f>VLOOKUP($C405&amp;$E405,'Updated SES'!A:N,14,0)</f>
        <v>6.3900000000000012E-2</v>
      </c>
      <c r="M405" s="102">
        <f>VLOOKUP($K405,'Genre Penetration'!A:B,2,0)*VLOOKUP($C405&amp;$E405,'Updated SES'!A:I,9,0)</f>
        <v>0.41179999999999994</v>
      </c>
      <c r="N405" s="102">
        <f>VLOOKUP(K:K,'Genre Penetration'!A:C,3,0)*VLOOKUP($C405&amp;$E405,'Updated SES'!A:J,10,0)</f>
        <v>0.12179999999999999</v>
      </c>
      <c r="O405" s="102">
        <v>0.5</v>
      </c>
      <c r="P405" s="103" t="str">
        <f t="shared" ca="1" si="12"/>
        <v>21%</v>
      </c>
      <c r="Q405" s="101">
        <f t="shared" ca="1" si="13"/>
        <v>3.5801892000000002E-3</v>
      </c>
      <c r="R405" s="104">
        <f>VLOOKUP(D:D,ranking!W:X,2,0)</f>
        <v>0.7</v>
      </c>
      <c r="S405" s="59">
        <v>2.5061324399999999E-3</v>
      </c>
    </row>
    <row r="406" spans="1:19" x14ac:dyDescent="0.25">
      <c r="A406" s="46" t="s">
        <v>1057</v>
      </c>
      <c r="B406" s="46" t="s">
        <v>85</v>
      </c>
      <c r="C406" s="51" t="s">
        <v>144</v>
      </c>
      <c r="D406" s="46" t="s">
        <v>434</v>
      </c>
      <c r="E406" s="51" t="s">
        <v>211</v>
      </c>
      <c r="F406" s="51" t="s">
        <v>458</v>
      </c>
      <c r="G406" s="51" t="s">
        <v>820</v>
      </c>
      <c r="H406" s="46" t="s">
        <v>77</v>
      </c>
      <c r="I406" s="53">
        <v>45488</v>
      </c>
      <c r="J406" s="51">
        <v>5</v>
      </c>
      <c r="K406" s="51" t="s">
        <v>173</v>
      </c>
      <c r="L406" s="101">
        <f>VLOOKUP($C406&amp;$E406,'Updated SES'!A:N,14,0)</f>
        <v>6.3900000000000012E-2</v>
      </c>
      <c r="M406" s="102">
        <f>VLOOKUP($K406,'Genre Penetration'!A:B,2,0)*VLOOKUP($C406&amp;$E406,'Updated SES'!A:I,9,0)</f>
        <v>0.39050000000000001</v>
      </c>
      <c r="N406" s="102">
        <f>VLOOKUP(K:K,'Genre Penetration'!A:C,3,0)*VLOOKUP($C406&amp;$E406,'Updated SES'!A:J,10,0)</f>
        <v>0.1305</v>
      </c>
      <c r="O406" s="102">
        <v>0.5</v>
      </c>
      <c r="P406" s="103" t="str">
        <f t="shared" ca="1" si="12"/>
        <v>18%</v>
      </c>
      <c r="Q406" s="101">
        <f t="shared" ca="1" si="13"/>
        <v>2.9962710000000004E-3</v>
      </c>
      <c r="R406" s="104">
        <f>VLOOKUP(D:D,ranking!W:X,2,0)</f>
        <v>0.7</v>
      </c>
      <c r="S406" s="59">
        <v>2.0973897000000001E-3</v>
      </c>
    </row>
    <row r="407" spans="1:19" x14ac:dyDescent="0.25">
      <c r="A407" s="46" t="s">
        <v>1057</v>
      </c>
      <c r="B407" s="46" t="s">
        <v>85</v>
      </c>
      <c r="C407" s="51" t="s">
        <v>144</v>
      </c>
      <c r="D407" s="46" t="s">
        <v>434</v>
      </c>
      <c r="E407" s="51" t="s">
        <v>211</v>
      </c>
      <c r="F407" s="51" t="s">
        <v>458</v>
      </c>
      <c r="G407" s="51" t="s">
        <v>1407</v>
      </c>
      <c r="H407" s="46" t="s">
        <v>77</v>
      </c>
      <c r="I407" s="106">
        <v>45721</v>
      </c>
      <c r="J407" s="51">
        <v>6</v>
      </c>
      <c r="K407" s="51" t="s">
        <v>103</v>
      </c>
      <c r="L407" s="101">
        <f>VLOOKUP($C407&amp;$E407,'Updated SES'!A:N,14,0)</f>
        <v>6.3900000000000012E-2</v>
      </c>
      <c r="M407" s="102">
        <f>VLOOKUP($K407,'Genre Penetration'!A:B,2,0)*VLOOKUP($C407&amp;$E407,'Updated SES'!A:I,9,0)</f>
        <v>0.50409999999999999</v>
      </c>
      <c r="N407" s="102">
        <f>VLOOKUP(K:K,'Genre Penetration'!A:C,3,0)*VLOOKUP($C407&amp;$E407,'Updated SES'!A:J,10,0)</f>
        <v>8.4099999999999994E-2</v>
      </c>
      <c r="O407" s="102">
        <v>0.5</v>
      </c>
      <c r="P407" s="103" t="str">
        <f t="shared" ca="1" si="12"/>
        <v>11%</v>
      </c>
      <c r="Q407" s="101">
        <f t="shared" ca="1" si="13"/>
        <v>2.0672289000000003E-3</v>
      </c>
      <c r="R407" s="104">
        <f>VLOOKUP(D:D,ranking!W:X,2,0)</f>
        <v>0.7</v>
      </c>
      <c r="S407" s="59">
        <v>1.57861116E-3</v>
      </c>
    </row>
    <row r="408" spans="1:19" x14ac:dyDescent="0.25">
      <c r="A408" s="46" t="s">
        <v>1057</v>
      </c>
      <c r="B408" s="46" t="s">
        <v>85</v>
      </c>
      <c r="C408" s="51" t="s">
        <v>144</v>
      </c>
      <c r="D408" s="46" t="s">
        <v>434</v>
      </c>
      <c r="E408" s="51" t="s">
        <v>211</v>
      </c>
      <c r="F408" s="51" t="s">
        <v>458</v>
      </c>
      <c r="G408" s="51" t="s">
        <v>1405</v>
      </c>
      <c r="H408" s="46" t="s">
        <v>40</v>
      </c>
      <c r="I408" s="106">
        <v>45876</v>
      </c>
      <c r="J408" s="51">
        <v>7</v>
      </c>
      <c r="K408" s="51" t="s">
        <v>138</v>
      </c>
      <c r="L408" s="101">
        <f>VLOOKUP($C408&amp;$E408,'Updated SES'!A:N,14,0)</f>
        <v>6.3900000000000012E-2</v>
      </c>
      <c r="M408" s="102">
        <f>VLOOKUP($K408,'Genre Penetration'!A:B,2,0)*VLOOKUP($C408&amp;$E408,'Updated SES'!A:I,9,0)</f>
        <v>0.33369999999999994</v>
      </c>
      <c r="N408" s="102">
        <f>VLOOKUP(K:K,'Genre Penetration'!A:C,3,0)*VLOOKUP($C408&amp;$E408,'Updated SES'!A:J,10,0)</f>
        <v>0.1537</v>
      </c>
      <c r="O408" s="102" t="e">
        <f>VLOOKUP($B408,'Language Penetration'!$B$1:$AY$14,MATCH('Compile data Working'!#REF!,'Language Penetration'!$B$1:$AY$1,0),0)</f>
        <v>#REF!</v>
      </c>
      <c r="P408" s="103" t="str">
        <f t="shared" ca="1" si="12"/>
        <v>10%</v>
      </c>
      <c r="Q408" s="101" t="e">
        <f t="shared" ca="1" si="13"/>
        <v>#REF!</v>
      </c>
      <c r="R408" s="104">
        <f>VLOOKUP(D:D,ranking!W:X,2,0)</f>
        <v>0.7</v>
      </c>
      <c r="S408" s="59">
        <v>6.1770639000000005E-4</v>
      </c>
    </row>
    <row r="409" spans="1:19" x14ac:dyDescent="0.25">
      <c r="A409" s="46" t="s">
        <v>1057</v>
      </c>
      <c r="B409" s="46" t="s">
        <v>85</v>
      </c>
      <c r="C409" s="51" t="s">
        <v>144</v>
      </c>
      <c r="D409" s="46" t="s">
        <v>434</v>
      </c>
      <c r="E409" s="51" t="s">
        <v>211</v>
      </c>
      <c r="F409" s="51" t="s">
        <v>458</v>
      </c>
      <c r="G409" s="51" t="s">
        <v>1408</v>
      </c>
      <c r="H409" s="46" t="s">
        <v>77</v>
      </c>
      <c r="I409" s="106">
        <v>45707</v>
      </c>
      <c r="J409" s="51">
        <v>8</v>
      </c>
      <c r="K409" s="51" t="s">
        <v>167</v>
      </c>
      <c r="L409" s="101">
        <f>VLOOKUP($C409&amp;$E409,'Updated SES'!A:N,14,0)</f>
        <v>6.3900000000000012E-2</v>
      </c>
      <c r="M409" s="102">
        <f>VLOOKUP($K409,'Genre Penetration'!A:B,2,0)*VLOOKUP($C409&amp;$E409,'Updated SES'!A:I,9,0)</f>
        <v>0.47570000000000001</v>
      </c>
      <c r="N409" s="102">
        <f>VLOOKUP(K:K,'Genre Penetration'!A:C,3,0)*VLOOKUP($C409&amp;$E409,'Updated SES'!A:J,10,0)</f>
        <v>9.5699999999999993E-2</v>
      </c>
      <c r="O409" s="102">
        <v>0.5</v>
      </c>
      <c r="P409" s="103" t="str">
        <f t="shared" ca="1" si="12"/>
        <v>6%</v>
      </c>
      <c r="Q409" s="101">
        <f t="shared" ca="1" si="13"/>
        <v>1.0953738000000002E-3</v>
      </c>
      <c r="R409" s="104">
        <f>VLOOKUP(D:D,ranking!W:X,2,0)</f>
        <v>0.7</v>
      </c>
      <c r="S409" s="59">
        <v>1.0223488800000004E-3</v>
      </c>
    </row>
    <row r="410" spans="1:19" x14ac:dyDescent="0.25">
      <c r="A410" s="46" t="s">
        <v>1057</v>
      </c>
      <c r="B410" s="46" t="s">
        <v>85</v>
      </c>
      <c r="C410" s="51" t="s">
        <v>144</v>
      </c>
      <c r="D410" s="46" t="s">
        <v>434</v>
      </c>
      <c r="E410" s="51" t="s">
        <v>211</v>
      </c>
      <c r="F410" s="51" t="s">
        <v>458</v>
      </c>
      <c r="G410" s="51" t="s">
        <v>1409</v>
      </c>
      <c r="H410" s="46" t="s">
        <v>40</v>
      </c>
      <c r="I410" s="106">
        <v>45693</v>
      </c>
      <c r="J410" s="51">
        <v>9</v>
      </c>
      <c r="K410" s="51" t="s">
        <v>162</v>
      </c>
      <c r="L410" s="101">
        <f>VLOOKUP($C410&amp;$E410,'Updated SES'!A:N,14,0)</f>
        <v>6.3900000000000012E-2</v>
      </c>
      <c r="M410" s="102">
        <f>VLOOKUP($K410,'Genre Penetration'!A:B,2,0)*VLOOKUP($C410&amp;$E410,'Updated SES'!A:I,9,0)</f>
        <v>0.49699999999999994</v>
      </c>
      <c r="N410" s="102">
        <f>VLOOKUP(K:K,'Genre Penetration'!A:C,3,0)*VLOOKUP($C410&amp;$E410,'Updated SES'!A:J,10,0)</f>
        <v>8.6999999999999994E-2</v>
      </c>
      <c r="O410" s="102" t="e">
        <f>VLOOKUP($B410,'Language Penetration'!$B$1:$AY$14,MATCH('Compile data Working'!#REF!,'Language Penetration'!$B$1:$AY$1,0),0)</f>
        <v>#REF!</v>
      </c>
      <c r="P410" s="103" t="str">
        <f t="shared" ca="1" si="12"/>
        <v>5%</v>
      </c>
      <c r="Q410" s="101" t="e">
        <f t="shared" ca="1" si="13"/>
        <v>#REF!</v>
      </c>
      <c r="R410" s="104">
        <f>VLOOKUP(D:D,ranking!W:X,2,0)</f>
        <v>0.7</v>
      </c>
      <c r="S410" s="59">
        <v>3.7006620000000007E-4</v>
      </c>
    </row>
    <row r="411" spans="1:19" x14ac:dyDescent="0.25">
      <c r="A411" s="46" t="s">
        <v>1057</v>
      </c>
      <c r="B411" s="46" t="s">
        <v>85</v>
      </c>
      <c r="C411" s="51" t="s">
        <v>144</v>
      </c>
      <c r="D411" s="51" t="s">
        <v>431</v>
      </c>
      <c r="E411" s="51" t="s">
        <v>211</v>
      </c>
      <c r="F411" s="51" t="s">
        <v>457</v>
      </c>
      <c r="G411" s="51" t="s">
        <v>1412</v>
      </c>
      <c r="H411" s="46" t="s">
        <v>77</v>
      </c>
      <c r="I411" s="106">
        <v>45413</v>
      </c>
      <c r="J411" s="51">
        <v>1</v>
      </c>
      <c r="K411" s="51" t="s">
        <v>286</v>
      </c>
      <c r="L411" s="101">
        <f>VLOOKUP($C411&amp;$E411,'Updated SES'!A:N,14,0)</f>
        <v>6.3900000000000012E-2</v>
      </c>
      <c r="M411" s="102">
        <f>VLOOKUP($K411,'Genre Penetration'!A:B,2,0)*VLOOKUP($C411&amp;$E411,'Updated SES'!A:I,9,0)</f>
        <v>0.38694999999999991</v>
      </c>
      <c r="N411" s="102">
        <f>VLOOKUP(K:K,'Genre Penetration'!A:C,3,0)*VLOOKUP($C411&amp;$E411,'Updated SES'!A:J,10,0)</f>
        <v>0.13194999999999998</v>
      </c>
      <c r="O411" s="102">
        <v>0.5</v>
      </c>
      <c r="P411" s="103" t="str">
        <f t="shared" ca="1" si="12"/>
        <v>38%</v>
      </c>
      <c r="Q411" s="101">
        <f t="shared" ca="1" si="13"/>
        <v>6.2999648999999998E-3</v>
      </c>
      <c r="R411" s="104">
        <f>VLOOKUP(D:D,ranking!W:X,2,0)</f>
        <v>0.6</v>
      </c>
      <c r="S411" s="59">
        <v>3.5810326799999995E-3</v>
      </c>
    </row>
    <row r="412" spans="1:19" x14ac:dyDescent="0.25">
      <c r="A412" s="46" t="s">
        <v>1057</v>
      </c>
      <c r="B412" s="46" t="s">
        <v>85</v>
      </c>
      <c r="C412" s="51" t="s">
        <v>144</v>
      </c>
      <c r="D412" s="51" t="s">
        <v>431</v>
      </c>
      <c r="E412" s="51" t="s">
        <v>211</v>
      </c>
      <c r="F412" s="51" t="s">
        <v>457</v>
      </c>
      <c r="G412" s="51" t="s">
        <v>813</v>
      </c>
      <c r="H412" s="46" t="s">
        <v>77</v>
      </c>
      <c r="I412" s="106">
        <v>44522</v>
      </c>
      <c r="J412" s="51">
        <v>2</v>
      </c>
      <c r="K412" s="51" t="s">
        <v>176</v>
      </c>
      <c r="L412" s="101">
        <f>VLOOKUP($C412&amp;$E412,'Updated SES'!A:N,14,0)</f>
        <v>6.3900000000000012E-2</v>
      </c>
      <c r="M412" s="102">
        <f>VLOOKUP($K412,'Genre Penetration'!A:B,2,0)*VLOOKUP($C412&amp;$E412,'Updated SES'!A:I,9,0)</f>
        <v>0.44019999999999998</v>
      </c>
      <c r="N412" s="102">
        <f>VLOOKUP(K:K,'Genre Penetration'!A:C,3,0)*VLOOKUP($C412&amp;$E412,'Updated SES'!A:J,10,0)</f>
        <v>0.11019999999999999</v>
      </c>
      <c r="O412" s="102">
        <v>0.5</v>
      </c>
      <c r="P412" s="103" t="str">
        <f t="shared" ca="1" si="12"/>
        <v>35%</v>
      </c>
      <c r="Q412" s="101">
        <f t="shared" ca="1" si="13"/>
        <v>6.1548480000000001E-3</v>
      </c>
      <c r="R412" s="104">
        <f>VLOOKUP(D:D,ranking!W:X,2,0)</f>
        <v>0.6</v>
      </c>
      <c r="S412" s="59">
        <v>3.2708620800000004E-3</v>
      </c>
    </row>
    <row r="413" spans="1:19" x14ac:dyDescent="0.25">
      <c r="A413" s="46" t="s">
        <v>1057</v>
      </c>
      <c r="B413" s="46" t="s">
        <v>85</v>
      </c>
      <c r="C413" s="51" t="s">
        <v>144</v>
      </c>
      <c r="D413" s="51" t="s">
        <v>431</v>
      </c>
      <c r="E413" s="51" t="s">
        <v>211</v>
      </c>
      <c r="F413" s="51" t="s">
        <v>457</v>
      </c>
      <c r="G413" s="51" t="s">
        <v>1411</v>
      </c>
      <c r="H413" s="46" t="s">
        <v>77</v>
      </c>
      <c r="I413" s="106">
        <v>45250</v>
      </c>
      <c r="J413" s="51">
        <v>3</v>
      </c>
      <c r="K413" s="51" t="s">
        <v>1214</v>
      </c>
      <c r="L413" s="101">
        <f>VLOOKUP($C413&amp;$E413,'Updated SES'!A:N,14,0)</f>
        <v>6.3900000000000012E-2</v>
      </c>
      <c r="M413" s="102" t="e">
        <f>VLOOKUP($K413,'Genre Penetration'!A:B,2,0)*VLOOKUP($C413&amp;$E413,'Updated SES'!A:I,9,0)</f>
        <v>#N/A</v>
      </c>
      <c r="N413" s="102" t="e">
        <f>VLOOKUP(K:K,'Genre Penetration'!A:C,3,0)*VLOOKUP($C413&amp;$E413,'Updated SES'!A:J,10,0)</f>
        <v>#N/A</v>
      </c>
      <c r="O413" s="102">
        <v>0.5</v>
      </c>
      <c r="P413" s="103" t="str">
        <f t="shared" ca="1" si="12"/>
        <v>27%</v>
      </c>
      <c r="Q413" s="101" t="e">
        <f t="shared" ca="1" si="13"/>
        <v>#N/A</v>
      </c>
      <c r="R413" s="104">
        <f>VLOOKUP(D:D,ranking!W:X,2,0)</f>
        <v>0.6</v>
      </c>
      <c r="S413" s="59">
        <v>2.7329518799999995E-3</v>
      </c>
    </row>
    <row r="414" spans="1:19" x14ac:dyDescent="0.25">
      <c r="A414" s="46" t="s">
        <v>1057</v>
      </c>
      <c r="B414" s="46" t="s">
        <v>85</v>
      </c>
      <c r="C414" s="51" t="s">
        <v>144</v>
      </c>
      <c r="D414" s="51" t="s">
        <v>431</v>
      </c>
      <c r="E414" s="51" t="s">
        <v>211</v>
      </c>
      <c r="F414" s="51" t="s">
        <v>457</v>
      </c>
      <c r="G414" s="51" t="s">
        <v>812</v>
      </c>
      <c r="H414" s="46" t="s">
        <v>77</v>
      </c>
      <c r="I414" s="106">
        <v>44579</v>
      </c>
      <c r="J414" s="51">
        <v>4</v>
      </c>
      <c r="K414" s="51" t="s">
        <v>325</v>
      </c>
      <c r="L414" s="101">
        <f>VLOOKUP($C414&amp;$E414,'Updated SES'!A:N,14,0)</f>
        <v>6.3900000000000012E-2</v>
      </c>
      <c r="M414" s="102">
        <f>VLOOKUP($K414,'Genre Penetration'!A:B,2,0)*VLOOKUP($C414&amp;$E414,'Updated SES'!A:I,9,0)</f>
        <v>0.41179999999999994</v>
      </c>
      <c r="N414" s="102">
        <f>VLOOKUP(K:K,'Genre Penetration'!A:C,3,0)*VLOOKUP($C414&amp;$E414,'Updated SES'!A:J,10,0)</f>
        <v>0.12179999999999999</v>
      </c>
      <c r="O414" s="102">
        <v>0.5</v>
      </c>
      <c r="P414" s="103" t="str">
        <f t="shared" ca="1" si="12"/>
        <v>25%</v>
      </c>
      <c r="Q414" s="101">
        <f t="shared" ca="1" si="13"/>
        <v>4.2621300000000003E-3</v>
      </c>
      <c r="R414" s="104">
        <f>VLOOKUP(D:D,ranking!W:X,2,0)</f>
        <v>0.6</v>
      </c>
      <c r="S414" s="59">
        <v>2.3526957600000001E-3</v>
      </c>
    </row>
    <row r="415" spans="1:19" x14ac:dyDescent="0.25">
      <c r="A415" s="46" t="s">
        <v>1057</v>
      </c>
      <c r="B415" s="46" t="s">
        <v>85</v>
      </c>
      <c r="C415" s="51" t="s">
        <v>144</v>
      </c>
      <c r="D415" s="51" t="s">
        <v>431</v>
      </c>
      <c r="E415" s="51" t="s">
        <v>211</v>
      </c>
      <c r="F415" s="51" t="s">
        <v>457</v>
      </c>
      <c r="G415" s="51" t="s">
        <v>808</v>
      </c>
      <c r="H415" s="46" t="s">
        <v>77</v>
      </c>
      <c r="I415" s="106">
        <v>44522</v>
      </c>
      <c r="J415" s="51">
        <v>5</v>
      </c>
      <c r="K415" s="51" t="s">
        <v>505</v>
      </c>
      <c r="L415" s="101">
        <f>VLOOKUP($C415&amp;$E415,'Updated SES'!A:N,14,0)</f>
        <v>6.3900000000000012E-2</v>
      </c>
      <c r="M415" s="102">
        <f>VLOOKUP($K415,'Genre Penetration'!A:B,2,0)*VLOOKUP($C415&amp;$E415,'Updated SES'!A:I,9,0)</f>
        <v>0.49699999999999994</v>
      </c>
      <c r="N415" s="102">
        <f>VLOOKUP(K:K,'Genre Penetration'!A:C,3,0)*VLOOKUP($C415&amp;$E415,'Updated SES'!A:J,10,0)</f>
        <v>8.6999999999999994E-2</v>
      </c>
      <c r="O415" s="102">
        <v>0.5</v>
      </c>
      <c r="P415" s="103" t="str">
        <f t="shared" ca="1" si="12"/>
        <v>16%</v>
      </c>
      <c r="Q415" s="101">
        <f t="shared" ca="1" si="13"/>
        <v>2.9854080000000006E-3</v>
      </c>
      <c r="R415" s="104">
        <f>VLOOKUP(D:D,ranking!W:X,2,0)</f>
        <v>0.6</v>
      </c>
      <c r="S415" s="59">
        <v>2.2390560000000001E-3</v>
      </c>
    </row>
    <row r="416" spans="1:19" x14ac:dyDescent="0.25">
      <c r="A416" s="46" t="s">
        <v>1057</v>
      </c>
      <c r="B416" s="46" t="s">
        <v>85</v>
      </c>
      <c r="C416" s="51" t="s">
        <v>144</v>
      </c>
      <c r="D416" s="51" t="s">
        <v>431</v>
      </c>
      <c r="E416" s="51" t="s">
        <v>211</v>
      </c>
      <c r="F416" s="51" t="s">
        <v>457</v>
      </c>
      <c r="G416" s="51" t="s">
        <v>811</v>
      </c>
      <c r="H416" s="46" t="s">
        <v>77</v>
      </c>
      <c r="I416" s="106">
        <v>45492</v>
      </c>
      <c r="J416" s="51">
        <v>6</v>
      </c>
      <c r="K416" s="51" t="s">
        <v>325</v>
      </c>
      <c r="L416" s="101">
        <f>VLOOKUP($C416&amp;$E416,'Updated SES'!A:N,14,0)</f>
        <v>6.3900000000000012E-2</v>
      </c>
      <c r="M416" s="102">
        <f>VLOOKUP($K416,'Genre Penetration'!A:B,2,0)*VLOOKUP($C416&amp;$E416,'Updated SES'!A:I,9,0)</f>
        <v>0.41179999999999994</v>
      </c>
      <c r="N416" s="102">
        <f>VLOOKUP(K:K,'Genre Penetration'!A:C,3,0)*VLOOKUP($C416&amp;$E416,'Updated SES'!A:J,10,0)</f>
        <v>0.12179999999999999</v>
      </c>
      <c r="O416" s="102">
        <v>0.5</v>
      </c>
      <c r="P416" s="103" t="str">
        <f t="shared" ca="1" si="12"/>
        <v>15%</v>
      </c>
      <c r="Q416" s="101">
        <f t="shared" ca="1" si="13"/>
        <v>2.5572780000000001E-3</v>
      </c>
      <c r="R416" s="104">
        <f>VLOOKUP(D:D,ranking!W:X,2,0)</f>
        <v>0.6</v>
      </c>
      <c r="S416" s="59">
        <v>1.0229112000000001E-3</v>
      </c>
    </row>
    <row r="417" spans="1:19" x14ac:dyDescent="0.25">
      <c r="A417" s="46" t="s">
        <v>1057</v>
      </c>
      <c r="B417" s="46" t="s">
        <v>85</v>
      </c>
      <c r="C417" s="51" t="s">
        <v>144</v>
      </c>
      <c r="D417" s="51" t="s">
        <v>431</v>
      </c>
      <c r="E417" s="51" t="s">
        <v>211</v>
      </c>
      <c r="F417" s="51" t="s">
        <v>457</v>
      </c>
      <c r="G417" s="51" t="s">
        <v>1413</v>
      </c>
      <c r="H417" s="46" t="s">
        <v>40</v>
      </c>
      <c r="I417" s="106">
        <v>44990</v>
      </c>
      <c r="J417" s="51">
        <v>7</v>
      </c>
      <c r="K417" s="51" t="s">
        <v>1215</v>
      </c>
      <c r="L417" s="101">
        <f>VLOOKUP($C417&amp;$E417,'Updated SES'!A:N,14,0)</f>
        <v>6.3900000000000012E-2</v>
      </c>
      <c r="M417" s="102">
        <f>VLOOKUP($K417,'Genre Penetration'!A:B,2,0)*VLOOKUP($C417&amp;$E417,'Updated SES'!A:I,9,0)</f>
        <v>0.44729999999999998</v>
      </c>
      <c r="N417" s="102">
        <f>VLOOKUP(K:K,'Genre Penetration'!A:C,3,0)*VLOOKUP($C417&amp;$E417,'Updated SES'!A:J,10,0)</f>
        <v>0.10729999999999999</v>
      </c>
      <c r="O417" s="102" t="e">
        <f>VLOOKUP($B417,'Language Penetration'!$B$1:$AY$14,MATCH('Compile data Working'!#REF!,'Language Penetration'!$B$1:$AY$1,0),0)</f>
        <v>#REF!</v>
      </c>
      <c r="P417" s="103" t="str">
        <f t="shared" ca="1" si="12"/>
        <v>8%</v>
      </c>
      <c r="Q417" s="101" t="e">
        <f t="shared" ca="1" si="13"/>
        <v>#REF!</v>
      </c>
      <c r="R417" s="104">
        <f>VLOOKUP(D:D,ranking!W:X,2,0)</f>
        <v>0.6</v>
      </c>
      <c r="S417" s="59">
        <v>4.8196958400000011E-4</v>
      </c>
    </row>
    <row r="418" spans="1:19" x14ac:dyDescent="0.25">
      <c r="A418" s="46" t="s">
        <v>1057</v>
      </c>
      <c r="B418" s="46" t="s">
        <v>85</v>
      </c>
      <c r="C418" s="51" t="s">
        <v>144</v>
      </c>
      <c r="D418" s="51" t="s">
        <v>431</v>
      </c>
      <c r="E418" s="51" t="s">
        <v>211</v>
      </c>
      <c r="F418" s="51" t="s">
        <v>457</v>
      </c>
      <c r="G418" s="51" t="s">
        <v>1571</v>
      </c>
      <c r="H418" s="46" t="s">
        <v>77</v>
      </c>
      <c r="I418" s="53">
        <v>44521</v>
      </c>
      <c r="J418" s="51">
        <v>8</v>
      </c>
      <c r="K418" s="51" t="s">
        <v>324</v>
      </c>
      <c r="L418" s="101">
        <f>VLOOKUP($C418&amp;$E418,'Updated SES'!A:N,14,0)</f>
        <v>6.3900000000000012E-2</v>
      </c>
      <c r="M418" s="102">
        <f>VLOOKUP($K418,'Genre Penetration'!A:B,2,0)*VLOOKUP($C418&amp;$E418,'Updated SES'!A:I,9,0)</f>
        <v>0.45439999999999997</v>
      </c>
      <c r="N418" s="102">
        <f>VLOOKUP(K:K,'Genre Penetration'!A:C,3,0)*VLOOKUP($C418&amp;$E418,'Updated SES'!A:J,10,0)</f>
        <v>0.10439999999999999</v>
      </c>
      <c r="O418" s="102">
        <v>0.5</v>
      </c>
      <c r="P418" s="103" t="str">
        <f t="shared" ca="1" si="12"/>
        <v>7%</v>
      </c>
      <c r="Q418" s="101">
        <f t="shared" ca="1" si="13"/>
        <v>1.2497562000000004E-3</v>
      </c>
      <c r="R418" s="104">
        <f>VLOOKUP(D:D,ranking!W:X,2,0)</f>
        <v>0.6</v>
      </c>
      <c r="S418" s="59">
        <v>8.5697568000000016E-4</v>
      </c>
    </row>
    <row r="419" spans="1:19" x14ac:dyDescent="0.25">
      <c r="A419" s="46" t="s">
        <v>1057</v>
      </c>
      <c r="B419" s="46" t="s">
        <v>85</v>
      </c>
      <c r="C419" s="51" t="s">
        <v>144</v>
      </c>
      <c r="D419" s="51" t="s">
        <v>431</v>
      </c>
      <c r="E419" s="51" t="s">
        <v>211</v>
      </c>
      <c r="F419" s="51" t="s">
        <v>457</v>
      </c>
      <c r="G419" s="51" t="s">
        <v>1572</v>
      </c>
      <c r="H419" s="46" t="s">
        <v>40</v>
      </c>
      <c r="I419" s="53">
        <v>44566</v>
      </c>
      <c r="J419" s="51">
        <v>9</v>
      </c>
      <c r="K419" s="51" t="s">
        <v>1551</v>
      </c>
      <c r="L419" s="101">
        <f>VLOOKUP($C419&amp;$E419,'Updated SES'!A:N,14,0)</f>
        <v>6.3900000000000012E-2</v>
      </c>
      <c r="M419" s="102">
        <f>VLOOKUP($K419,'Genre Penetration'!A:B,2,0)*VLOOKUP($C419&amp;$E419,'Updated SES'!A:I,9,0)</f>
        <v>0.48280000000000001</v>
      </c>
      <c r="N419" s="102">
        <f>VLOOKUP(K:K,'Genre Penetration'!A:C,3,0)*VLOOKUP($C419&amp;$E419,'Updated SES'!A:J,10,0)</f>
        <v>9.2799999999999994E-2</v>
      </c>
      <c r="O419" s="102" t="e">
        <f>VLOOKUP($B419,'Language Penetration'!$B$1:$AY$14,MATCH('Compile data Working'!#REF!,'Language Penetration'!$B$1:$AY$1,0),0)</f>
        <v>#REF!</v>
      </c>
      <c r="P419" s="103" t="str">
        <f t="shared" ca="1" si="12"/>
        <v>6%</v>
      </c>
      <c r="Q419" s="101" t="e">
        <f t="shared" ca="1" si="13"/>
        <v>#REF!</v>
      </c>
      <c r="R419" s="104">
        <f>VLOOKUP(D:D,ranking!W:X,2,0)</f>
        <v>0.6</v>
      </c>
      <c r="S419" s="59">
        <v>3.1263714000000009E-4</v>
      </c>
    </row>
    <row r="420" spans="1:19" x14ac:dyDescent="0.25">
      <c r="A420" s="46" t="s">
        <v>1057</v>
      </c>
      <c r="B420" s="46" t="s">
        <v>85</v>
      </c>
      <c r="C420" s="51" t="s">
        <v>144</v>
      </c>
      <c r="D420" s="51" t="s">
        <v>431</v>
      </c>
      <c r="E420" s="51" t="s">
        <v>211</v>
      </c>
      <c r="F420" s="51" t="s">
        <v>457</v>
      </c>
      <c r="G420" s="51" t="s">
        <v>1573</v>
      </c>
      <c r="H420" s="46" t="s">
        <v>40</v>
      </c>
      <c r="I420" s="53">
        <v>44930</v>
      </c>
      <c r="J420" s="51">
        <v>10</v>
      </c>
      <c r="K420" s="51" t="s">
        <v>182</v>
      </c>
      <c r="L420" s="101">
        <f>VLOOKUP($C420&amp;$E420,'Updated SES'!A:N,14,0)</f>
        <v>6.3900000000000012E-2</v>
      </c>
      <c r="M420" s="102">
        <f>VLOOKUP($K420,'Genre Penetration'!A:B,2,0)*VLOOKUP($C420&amp;$E420,'Updated SES'!A:I,9,0)</f>
        <v>0.42599999999999999</v>
      </c>
      <c r="N420" s="102">
        <f>VLOOKUP(K:K,'Genre Penetration'!A:C,3,0)*VLOOKUP($C420&amp;$E420,'Updated SES'!A:J,10,0)</f>
        <v>0.11599999999999999</v>
      </c>
      <c r="O420" s="102" t="e">
        <f>VLOOKUP($B420,'Language Penetration'!$B$1:$AY$14,MATCH('Compile data Working'!#REF!,'Language Penetration'!$B$1:$AY$1,0),0)</f>
        <v>#REF!</v>
      </c>
      <c r="P420" s="103" t="str">
        <f t="shared" ca="1" si="12"/>
        <v>2%</v>
      </c>
      <c r="Q420" s="101" t="e">
        <f t="shared" ca="1" si="13"/>
        <v>#REF!</v>
      </c>
      <c r="R420" s="104">
        <f>VLOOKUP(D:D,ranking!W:X,2,0)</f>
        <v>0.6</v>
      </c>
      <c r="S420" s="59">
        <v>1.1775492000000001E-4</v>
      </c>
    </row>
    <row r="421" spans="1:19" x14ac:dyDescent="0.25">
      <c r="A421" s="46" t="s">
        <v>1057</v>
      </c>
      <c r="B421" s="46" t="s">
        <v>85</v>
      </c>
      <c r="C421" s="51" t="s">
        <v>150</v>
      </c>
      <c r="D421" s="46" t="s">
        <v>434</v>
      </c>
      <c r="E421" s="51" t="s">
        <v>233</v>
      </c>
      <c r="F421" s="51" t="s">
        <v>458</v>
      </c>
      <c r="G421" s="51" t="s">
        <v>1123</v>
      </c>
      <c r="H421" s="46" t="s">
        <v>77</v>
      </c>
      <c r="I421" s="53">
        <v>45967</v>
      </c>
      <c r="J421" s="51">
        <v>1</v>
      </c>
      <c r="K421" s="51" t="s">
        <v>1220</v>
      </c>
      <c r="L421" s="101">
        <f>VLOOKUP($C421&amp;$E421,'Updated SES'!A:N,14,0)</f>
        <v>0.7</v>
      </c>
      <c r="M421" s="102">
        <f>VLOOKUP($K421,'Genre Penetration'!A:B,2,0)*VLOOKUP($C421&amp;$E421,'Updated SES'!A:I,9,0)</f>
        <v>0.52499999999999991</v>
      </c>
      <c r="N421" s="102">
        <f>VLOOKUP(K:K,'Genre Penetration'!A:C,3,0)*VLOOKUP($C421&amp;$E421,'Updated SES'!A:J,10,0)</f>
        <v>7.4999999999999997E-2</v>
      </c>
      <c r="O421" s="102">
        <v>0.5</v>
      </c>
      <c r="P421" s="103" t="str">
        <f t="shared" ca="1" si="12"/>
        <v>37%</v>
      </c>
      <c r="Q421" s="101">
        <f t="shared" ca="1" si="13"/>
        <v>7.7699999999999977E-2</v>
      </c>
      <c r="R421" s="104">
        <f>VLOOKUP(D:D,ranking!W:X,2,0)</f>
        <v>0.7</v>
      </c>
      <c r="S421" s="59">
        <v>5.1449999999999975E-2</v>
      </c>
    </row>
    <row r="422" spans="1:19" x14ac:dyDescent="0.25">
      <c r="A422" s="46" t="s">
        <v>1057</v>
      </c>
      <c r="B422" s="46" t="s">
        <v>85</v>
      </c>
      <c r="C422" s="51" t="s">
        <v>150</v>
      </c>
      <c r="D422" s="46" t="s">
        <v>434</v>
      </c>
      <c r="E422" s="51" t="s">
        <v>233</v>
      </c>
      <c r="F422" s="51" t="s">
        <v>458</v>
      </c>
      <c r="G422" s="51" t="s">
        <v>1035</v>
      </c>
      <c r="H422" s="98" t="s">
        <v>21</v>
      </c>
      <c r="I422" s="106">
        <v>45894</v>
      </c>
      <c r="J422" s="51">
        <v>2</v>
      </c>
      <c r="K422" s="51" t="s">
        <v>381</v>
      </c>
      <c r="L422" s="101">
        <f>VLOOKUP($C422&amp;$E422,'Updated SES'!A:N,14,0)</f>
        <v>0.7</v>
      </c>
      <c r="M422" s="102">
        <f>VLOOKUP($K422,'Genre Penetration'!A:B,2,0)*VLOOKUP($C422&amp;$E422,'Updated SES'!A:I,9,0)</f>
        <v>0.41250000000000003</v>
      </c>
      <c r="N422" s="102">
        <f>VLOOKUP(K:K,'Genre Penetration'!A:C,3,0)*VLOOKUP($C422&amp;$E422,'Updated SES'!A:J,10,0)</f>
        <v>0.1125</v>
      </c>
      <c r="O422" s="102" t="e">
        <f>VLOOKUP($B422,'Language Penetration'!$B$1:$AY$14,MATCH('Compile data Working'!#REF!,'Language Penetration'!$B$1:$AY$1,0),0)</f>
        <v>#REF!</v>
      </c>
      <c r="P422" s="103" t="str">
        <f t="shared" ca="1" si="12"/>
        <v>31%</v>
      </c>
      <c r="Q422" s="101" t="e">
        <f t="shared" ca="1" si="13"/>
        <v>#REF!</v>
      </c>
      <c r="R422" s="104">
        <f>VLOOKUP(D:D,ranking!W:X,2,0)</f>
        <v>0.7</v>
      </c>
      <c r="S422" s="59">
        <v>3.0869999999999995E-2</v>
      </c>
    </row>
    <row r="423" spans="1:19" x14ac:dyDescent="0.25">
      <c r="A423" s="46" t="s">
        <v>1057</v>
      </c>
      <c r="B423" s="46" t="s">
        <v>85</v>
      </c>
      <c r="C423" s="51" t="s">
        <v>150</v>
      </c>
      <c r="D423" s="46" t="s">
        <v>434</v>
      </c>
      <c r="E423" s="51" t="s">
        <v>233</v>
      </c>
      <c r="F423" s="51" t="s">
        <v>458</v>
      </c>
      <c r="G423" s="51" t="s">
        <v>1574</v>
      </c>
      <c r="H423" s="98" t="s">
        <v>21</v>
      </c>
      <c r="I423" s="53">
        <v>45807</v>
      </c>
      <c r="J423" s="51">
        <v>3</v>
      </c>
      <c r="K423" s="51" t="s">
        <v>162</v>
      </c>
      <c r="L423" s="101">
        <f>VLOOKUP($C423&amp;$E423,'Updated SES'!A:N,14,0)</f>
        <v>0.7</v>
      </c>
      <c r="M423" s="102">
        <f>VLOOKUP($K423,'Genre Penetration'!A:B,2,0)*VLOOKUP($C423&amp;$E423,'Updated SES'!A:I,9,0)</f>
        <v>0.52499999999999991</v>
      </c>
      <c r="N423" s="102">
        <f>VLOOKUP(K:K,'Genre Penetration'!A:C,3,0)*VLOOKUP($C423&amp;$E423,'Updated SES'!A:J,10,0)</f>
        <v>7.4999999999999997E-2</v>
      </c>
      <c r="O423" s="102">
        <f>VLOOKUP($B423,'Language Penetration'!$B$1:$AY$14,MATCH('Compile data Working'!$H103,'Language Penetration'!$B$1:$AY$1,0),0)</f>
        <v>0.6</v>
      </c>
      <c r="P423" s="103" t="str">
        <f t="shared" ca="1" si="12"/>
        <v>26%</v>
      </c>
      <c r="Q423" s="101">
        <f t="shared" ca="1" si="13"/>
        <v>6.5519999999999967E-2</v>
      </c>
      <c r="R423" s="104">
        <f>VLOOKUP(D:D,ranking!W:X,2,0)</f>
        <v>0.7</v>
      </c>
      <c r="S423" s="59">
        <v>3.0575999999999992E-2</v>
      </c>
    </row>
    <row r="424" spans="1:19" x14ac:dyDescent="0.25">
      <c r="A424" s="46" t="s">
        <v>1057</v>
      </c>
      <c r="B424" s="46" t="s">
        <v>85</v>
      </c>
      <c r="C424" s="51" t="s">
        <v>150</v>
      </c>
      <c r="D424" s="46" t="s">
        <v>434</v>
      </c>
      <c r="E424" s="51" t="s">
        <v>233</v>
      </c>
      <c r="F424" s="51" t="s">
        <v>458</v>
      </c>
      <c r="G424" s="51" t="s">
        <v>1575</v>
      </c>
      <c r="H424" s="98" t="s">
        <v>21</v>
      </c>
      <c r="I424" s="46" t="s">
        <v>254</v>
      </c>
      <c r="J424" s="51">
        <v>4</v>
      </c>
      <c r="K424" s="51" t="s">
        <v>188</v>
      </c>
      <c r="L424" s="101">
        <f>VLOOKUP($C424&amp;$E424,'Updated SES'!A:N,14,0)</f>
        <v>0.7</v>
      </c>
      <c r="M424" s="102">
        <f>VLOOKUP($K424,'Genre Penetration'!A:B,2,0)*VLOOKUP($C424&amp;$E424,'Updated SES'!A:I,9,0)</f>
        <v>0.5625</v>
      </c>
      <c r="N424" s="102">
        <f>VLOOKUP(K:K,'Genre Penetration'!A:C,3,0)*VLOOKUP($C424&amp;$E424,'Updated SES'!A:J,10,0)</f>
        <v>6.25E-2</v>
      </c>
      <c r="O424" s="102" t="e">
        <f>VLOOKUP($B424,'Language Penetration'!$B$1:$AY$14,MATCH('Compile data Working'!#REF!,'Language Penetration'!$B$1:$AY$1,0),0)</f>
        <v>#REF!</v>
      </c>
      <c r="P424" s="103" t="str">
        <f t="shared" ca="1" si="12"/>
        <v>20%</v>
      </c>
      <c r="Q424" s="101" t="e">
        <f t="shared" ca="1" si="13"/>
        <v>#REF!</v>
      </c>
      <c r="R424" s="104">
        <f>VLOOKUP(D:D,ranking!W:X,2,0)</f>
        <v>0.7</v>
      </c>
      <c r="S424" s="59">
        <v>2.6950000000000002E-2</v>
      </c>
    </row>
    <row r="425" spans="1:19" x14ac:dyDescent="0.25">
      <c r="A425" s="46" t="s">
        <v>1057</v>
      </c>
      <c r="B425" s="46" t="s">
        <v>85</v>
      </c>
      <c r="C425" s="51" t="s">
        <v>150</v>
      </c>
      <c r="D425" s="46" t="s">
        <v>434</v>
      </c>
      <c r="E425" s="51" t="s">
        <v>233</v>
      </c>
      <c r="F425" s="51" t="s">
        <v>458</v>
      </c>
      <c r="G425" s="51" t="s">
        <v>832</v>
      </c>
      <c r="H425" s="46" t="s">
        <v>472</v>
      </c>
      <c r="I425" s="106">
        <v>44852</v>
      </c>
      <c r="J425" s="51">
        <v>5</v>
      </c>
      <c r="K425" s="51" t="s">
        <v>329</v>
      </c>
      <c r="L425" s="101">
        <f>VLOOKUP($C425&amp;$E425,'Updated SES'!A:N,14,0)</f>
        <v>0.7</v>
      </c>
      <c r="M425" s="102">
        <f>VLOOKUP($K425,'Genre Penetration'!A:B,2,0)*VLOOKUP($C425&amp;$E425,'Updated SES'!A:I,9,0)</f>
        <v>0.41250000000000003</v>
      </c>
      <c r="N425" s="102">
        <f>VLOOKUP(K:K,'Genre Penetration'!A:C,3,0)*VLOOKUP($C425&amp;$E425,'Updated SES'!A:J,10,0)</f>
        <v>0.1125</v>
      </c>
      <c r="O425" s="102">
        <f>VLOOKUP($B425,'Language Penetration'!$B$1:$AY$14,MATCH('Compile data Working'!$H104,'Language Penetration'!$B$1:$AY$1,0),0)</f>
        <v>0.6</v>
      </c>
      <c r="P425" s="103" t="str">
        <f t="shared" ca="1" si="12"/>
        <v>20%</v>
      </c>
      <c r="Q425" s="101">
        <f t="shared" ca="1" si="13"/>
        <v>4.41E-2</v>
      </c>
      <c r="R425" s="104">
        <f>VLOOKUP(D:D,ranking!W:X,2,0)</f>
        <v>0.7</v>
      </c>
      <c r="S425" s="59">
        <v>6.7528124999999993E-3</v>
      </c>
    </row>
    <row r="426" spans="1:19" x14ac:dyDescent="0.25">
      <c r="A426" s="46" t="s">
        <v>1057</v>
      </c>
      <c r="B426" s="46" t="s">
        <v>85</v>
      </c>
      <c r="C426" s="51" t="s">
        <v>150</v>
      </c>
      <c r="D426" s="46" t="s">
        <v>434</v>
      </c>
      <c r="E426" s="51" t="s">
        <v>233</v>
      </c>
      <c r="F426" s="51" t="s">
        <v>458</v>
      </c>
      <c r="G426" s="51" t="s">
        <v>1308</v>
      </c>
      <c r="H426" s="98" t="s">
        <v>21</v>
      </c>
      <c r="I426" s="53">
        <v>45933</v>
      </c>
      <c r="J426" s="51">
        <v>6</v>
      </c>
      <c r="K426" s="51" t="s">
        <v>46</v>
      </c>
      <c r="L426" s="101">
        <f>VLOOKUP($C426&amp;$E426,'Updated SES'!A:N,14,0)</f>
        <v>0.7</v>
      </c>
      <c r="M426" s="102">
        <f>VLOOKUP($K426,'Genre Penetration'!A:B,2,0)*VLOOKUP($C426&amp;$E426,'Updated SES'!A:I,9,0)</f>
        <v>0.52499999999999991</v>
      </c>
      <c r="N426" s="102">
        <f>VLOOKUP(K:K,'Genre Penetration'!A:C,3,0)*VLOOKUP($C426&amp;$E426,'Updated SES'!A:J,10,0)</f>
        <v>7.4999999999999997E-2</v>
      </c>
      <c r="O426" s="102" t="e">
        <f>VLOOKUP($B426,'Language Penetration'!$B$1:$AY$14,MATCH('Compile data Working'!$H105,'Language Penetration'!$B$1:$AY$1,0),0)</f>
        <v>#N/A</v>
      </c>
      <c r="P426" s="103" t="str">
        <f t="shared" ca="1" si="12"/>
        <v>15%</v>
      </c>
      <c r="Q426" s="101" t="e">
        <f t="shared" ca="1" si="13"/>
        <v>#N/A</v>
      </c>
      <c r="R426" s="104">
        <f>VLOOKUP(D:D,ranking!W:X,2,0)</f>
        <v>0.7</v>
      </c>
      <c r="S426" s="59">
        <v>1.4111999999999994E-2</v>
      </c>
    </row>
    <row r="427" spans="1:19" x14ac:dyDescent="0.25">
      <c r="A427" s="46" t="s">
        <v>1057</v>
      </c>
      <c r="B427" s="46" t="s">
        <v>85</v>
      </c>
      <c r="C427" s="51" t="s">
        <v>150</v>
      </c>
      <c r="D427" s="46" t="s">
        <v>434</v>
      </c>
      <c r="E427" s="51" t="s">
        <v>233</v>
      </c>
      <c r="F427" s="51" t="s">
        <v>458</v>
      </c>
      <c r="G427" s="51">
        <v>2012</v>
      </c>
      <c r="H427" s="46" t="s">
        <v>1223</v>
      </c>
      <c r="I427" s="106" t="s">
        <v>254</v>
      </c>
      <c r="J427" s="51">
        <v>7</v>
      </c>
      <c r="K427" s="51" t="s">
        <v>99</v>
      </c>
      <c r="L427" s="101">
        <f>VLOOKUP($C427&amp;$E427,'Updated SES'!A:N,14,0)</f>
        <v>0.7</v>
      </c>
      <c r="M427" s="102">
        <f>VLOOKUP($K427,'Genre Penetration'!A:B,2,0)*VLOOKUP($C427&amp;$E427,'Updated SES'!A:I,9,0)</f>
        <v>0.495</v>
      </c>
      <c r="N427" s="102">
        <f>VLOOKUP(K:K,'Genre Penetration'!A:C,3,0)*VLOOKUP($C427&amp;$E427,'Updated SES'!A:J,10,0)</f>
        <v>8.5000000000000006E-2</v>
      </c>
      <c r="O427" s="102">
        <v>0.5</v>
      </c>
      <c r="P427" s="103" t="str">
        <f t="shared" ca="1" si="12"/>
        <v>10%</v>
      </c>
      <c r="Q427" s="101">
        <f t="shared" ca="1" si="13"/>
        <v>2.0299999999999999E-2</v>
      </c>
      <c r="R427" s="104">
        <f>VLOOKUP(D:D,ranking!W:X,2,0)</f>
        <v>0.7</v>
      </c>
      <c r="S427" s="59">
        <v>1.4209999999999999E-2</v>
      </c>
    </row>
    <row r="428" spans="1:19" x14ac:dyDescent="0.25">
      <c r="A428" s="46" t="s">
        <v>1057</v>
      </c>
      <c r="B428" s="46" t="s">
        <v>85</v>
      </c>
      <c r="C428" s="51" t="s">
        <v>150</v>
      </c>
      <c r="D428" s="46" t="s">
        <v>434</v>
      </c>
      <c r="E428" s="51" t="s">
        <v>233</v>
      </c>
      <c r="F428" s="51" t="s">
        <v>458</v>
      </c>
      <c r="G428" s="51" t="s">
        <v>1576</v>
      </c>
      <c r="H428" s="46" t="s">
        <v>77</v>
      </c>
      <c r="I428" s="106" t="s">
        <v>254</v>
      </c>
      <c r="J428" s="51">
        <v>8</v>
      </c>
      <c r="K428" s="51" t="s">
        <v>1552</v>
      </c>
      <c r="L428" s="101">
        <f>VLOOKUP($C428&amp;$E428,'Updated SES'!A:N,14,0)</f>
        <v>0.7</v>
      </c>
      <c r="M428" s="102">
        <f>VLOOKUP($K428,'Genre Penetration'!A:B,2,0)*VLOOKUP($C428&amp;$E428,'Updated SES'!A:I,9,0)</f>
        <v>0.46499999999999997</v>
      </c>
      <c r="N428" s="102">
        <f>VLOOKUP(K:K,'Genre Penetration'!A:C,3,0)*VLOOKUP($C428&amp;$E428,'Updated SES'!A:J,10,0)</f>
        <v>9.5000000000000001E-2</v>
      </c>
      <c r="O428" s="102">
        <v>0.5</v>
      </c>
      <c r="P428" s="103" t="str">
        <f t="shared" ca="1" si="12"/>
        <v>7%</v>
      </c>
      <c r="Q428" s="101">
        <f t="shared" ca="1" si="13"/>
        <v>1.372E-2</v>
      </c>
      <c r="R428" s="104">
        <f>VLOOKUP(D:D,ranking!W:X,2,0)</f>
        <v>0.7</v>
      </c>
      <c r="S428" s="59">
        <v>8.231999999999998E-3</v>
      </c>
    </row>
    <row r="429" spans="1:19" x14ac:dyDescent="0.25">
      <c r="A429" s="46" t="s">
        <v>1057</v>
      </c>
      <c r="B429" s="46" t="s">
        <v>85</v>
      </c>
      <c r="C429" s="51" t="s">
        <v>150</v>
      </c>
      <c r="D429" s="46" t="s">
        <v>434</v>
      </c>
      <c r="E429" s="51" t="s">
        <v>233</v>
      </c>
      <c r="F429" s="51" t="s">
        <v>458</v>
      </c>
      <c r="G429" s="51" t="s">
        <v>1127</v>
      </c>
      <c r="H429" s="46" t="s">
        <v>1224</v>
      </c>
      <c r="I429" s="106">
        <v>44743</v>
      </c>
      <c r="J429" s="51">
        <v>9</v>
      </c>
      <c r="K429" s="51" t="s">
        <v>99</v>
      </c>
      <c r="L429" s="101">
        <f>VLOOKUP($C429&amp;$E429,'Updated SES'!A:N,14,0)</f>
        <v>0.7</v>
      </c>
      <c r="M429" s="102">
        <f>VLOOKUP($K429,'Genre Penetration'!A:B,2,0)*VLOOKUP($C429&amp;$E429,'Updated SES'!A:I,9,0)</f>
        <v>0.495</v>
      </c>
      <c r="N429" s="102">
        <f>VLOOKUP(K:K,'Genre Penetration'!A:C,3,0)*VLOOKUP($C429&amp;$E429,'Updated SES'!A:J,10,0)</f>
        <v>8.5000000000000006E-2</v>
      </c>
      <c r="O429" s="102">
        <v>0.45</v>
      </c>
      <c r="P429" s="103" t="str">
        <f t="shared" ca="1" si="12"/>
        <v>6%</v>
      </c>
      <c r="Q429" s="101">
        <f t="shared" ca="1" si="13"/>
        <v>1.0962E-2</v>
      </c>
      <c r="R429" s="104">
        <f>VLOOKUP(D:D,ranking!W:X,2,0)</f>
        <v>0.7</v>
      </c>
      <c r="S429" s="59">
        <v>7.6733999999999995E-3</v>
      </c>
    </row>
    <row r="430" spans="1:19" x14ac:dyDescent="0.25">
      <c r="A430" s="46" t="s">
        <v>1057</v>
      </c>
      <c r="B430" s="46" t="s">
        <v>85</v>
      </c>
      <c r="C430" s="51" t="s">
        <v>150</v>
      </c>
      <c r="D430" s="46" t="s">
        <v>434</v>
      </c>
      <c r="E430" s="51" t="s">
        <v>233</v>
      </c>
      <c r="F430" s="51" t="s">
        <v>458</v>
      </c>
      <c r="G430" s="51" t="s">
        <v>1267</v>
      </c>
      <c r="H430" s="98" t="s">
        <v>21</v>
      </c>
      <c r="I430" s="106">
        <v>44362</v>
      </c>
      <c r="J430" s="51">
        <v>10</v>
      </c>
      <c r="K430" s="51" t="s">
        <v>161</v>
      </c>
      <c r="L430" s="101">
        <f>VLOOKUP($C430&amp;$E430,'Updated SES'!A:N,14,0)</f>
        <v>0.7</v>
      </c>
      <c r="M430" s="102">
        <f>VLOOKUP($K430,'Genre Penetration'!A:B,2,0)*VLOOKUP($C430&amp;$E430,'Updated SES'!A:I,9,0)</f>
        <v>0.30000000000000004</v>
      </c>
      <c r="N430" s="102">
        <f>VLOOKUP(K:K,'Genre Penetration'!A:C,3,0)*VLOOKUP($C430&amp;$E430,'Updated SES'!A:J,10,0)</f>
        <v>0.15</v>
      </c>
      <c r="O430" s="102" t="e">
        <f>VLOOKUP($B430,'Language Penetration'!$B$1:$AY$14,MATCH('Compile data Working'!#REF!,'Language Penetration'!$B$1:$AY$1,0),0)</f>
        <v>#REF!</v>
      </c>
      <c r="P430" s="103" t="str">
        <f t="shared" ca="1" si="12"/>
        <v>2%</v>
      </c>
      <c r="Q430" s="101" t="e">
        <f t="shared" ca="1" si="13"/>
        <v>#REF!</v>
      </c>
      <c r="R430" s="104">
        <f>VLOOKUP(D:D,ranking!W:X,2,0)</f>
        <v>0.7</v>
      </c>
      <c r="S430" s="59">
        <v>3.5279999999999999E-3</v>
      </c>
    </row>
    <row r="431" spans="1:19" x14ac:dyDescent="0.25">
      <c r="A431" s="46" t="s">
        <v>1057</v>
      </c>
      <c r="B431" s="46" t="s">
        <v>85</v>
      </c>
      <c r="C431" s="51" t="s">
        <v>150</v>
      </c>
      <c r="D431" s="46" t="s">
        <v>434</v>
      </c>
      <c r="E431" s="51" t="s">
        <v>211</v>
      </c>
      <c r="F431" s="51" t="s">
        <v>458</v>
      </c>
      <c r="G431" s="51" t="s">
        <v>1745</v>
      </c>
      <c r="H431" s="46" t="s">
        <v>29</v>
      </c>
      <c r="I431" s="53">
        <v>45975</v>
      </c>
      <c r="J431" s="51">
        <v>1</v>
      </c>
      <c r="K431" s="51" t="s">
        <v>1217</v>
      </c>
      <c r="L431" s="101">
        <f>VLOOKUP($C431&amp;$E431,'Updated SES'!A:N,14,0)</f>
        <v>60.152000000000001</v>
      </c>
      <c r="M431" s="102">
        <f>VLOOKUP($K431,'Genre Penetration'!A:B,2,0)*VLOOKUP($C431&amp;$E431,'Updated SES'!A:I,9,0)</f>
        <v>0.42900000000000005</v>
      </c>
      <c r="N431" s="102">
        <f>VLOOKUP(K:K,'Genre Penetration'!A:C,3,0)*VLOOKUP($C431&amp;$E431,'Updated SES'!A:J,10,0)</f>
        <v>0.11899999999999999</v>
      </c>
      <c r="O431" s="102" t="e">
        <f>VLOOKUP($B431,'Language Penetration'!$B$1:$AY$14,MATCH('Compile data Working'!#REF!,'Language Penetration'!$B$1:$AY$1,0),0)</f>
        <v>#REF!</v>
      </c>
      <c r="P431" s="103" t="str">
        <f t="shared" ca="1" si="12"/>
        <v>36%</v>
      </c>
      <c r="Q431" s="101" t="e">
        <f t="shared" ca="1" si="13"/>
        <v>#REF!</v>
      </c>
      <c r="R431" s="104">
        <f>VLOOKUP(D:D,ranking!W:X,2,0)</f>
        <v>0.7</v>
      </c>
      <c r="S431" s="59">
        <v>0.96912090239999971</v>
      </c>
    </row>
    <row r="432" spans="1:19" x14ac:dyDescent="0.25">
      <c r="A432" s="46" t="s">
        <v>1057</v>
      </c>
      <c r="B432" s="46" t="s">
        <v>85</v>
      </c>
      <c r="C432" s="51" t="s">
        <v>150</v>
      </c>
      <c r="D432" s="46" t="s">
        <v>434</v>
      </c>
      <c r="E432" s="51" t="s">
        <v>211</v>
      </c>
      <c r="F432" s="51" t="s">
        <v>458</v>
      </c>
      <c r="G432" s="51" t="s">
        <v>1541</v>
      </c>
      <c r="H432" s="46" t="s">
        <v>22</v>
      </c>
      <c r="I432" s="106">
        <v>45968</v>
      </c>
      <c r="J432" s="51">
        <v>2</v>
      </c>
      <c r="K432" s="51" t="s">
        <v>941</v>
      </c>
      <c r="L432" s="101">
        <f>VLOOKUP($C432&amp;$E432,'Updated SES'!A:N,14,0)</f>
        <v>60.152000000000001</v>
      </c>
      <c r="M432" s="102">
        <f>VLOOKUP($K432,'Genre Penetration'!A:B,2,0)*VLOOKUP($C432&amp;$E432,'Updated SES'!A:I,9,0)</f>
        <v>0.35750000000000004</v>
      </c>
      <c r="N432" s="102">
        <f>VLOOKUP(K:K,'Genre Penetration'!A:C,3,0)*VLOOKUP($C432&amp;$E432,'Updated SES'!A:J,10,0)</f>
        <v>0.1575</v>
      </c>
      <c r="O432" s="102" t="e">
        <f>VLOOKUP($B432,'Language Penetration'!$B$1:$AY$14,MATCH('Compile data Working'!#REF!,'Language Penetration'!$B$1:$AY$1,0),0)</f>
        <v>#REF!</v>
      </c>
      <c r="P432" s="103" t="str">
        <f t="shared" ca="1" si="12"/>
        <v>31%</v>
      </c>
      <c r="Q432" s="101" t="e">
        <f t="shared" ca="1" si="13"/>
        <v>#REF!</v>
      </c>
      <c r="R432" s="104">
        <f>VLOOKUP(D:D,ranking!W:X,2,0)</f>
        <v>0.7</v>
      </c>
      <c r="S432" s="59">
        <v>0.65054387999999996</v>
      </c>
    </row>
    <row r="433" spans="1:19" x14ac:dyDescent="0.25">
      <c r="A433" s="46" t="s">
        <v>1057</v>
      </c>
      <c r="B433" s="46" t="s">
        <v>85</v>
      </c>
      <c r="C433" s="51" t="s">
        <v>150</v>
      </c>
      <c r="D433" s="51" t="s">
        <v>432</v>
      </c>
      <c r="E433" s="51" t="s">
        <v>211</v>
      </c>
      <c r="F433" s="51" t="s">
        <v>458</v>
      </c>
      <c r="G433" s="51" t="s">
        <v>1436</v>
      </c>
      <c r="H433" s="46" t="s">
        <v>23</v>
      </c>
      <c r="I433" s="106">
        <v>45912</v>
      </c>
      <c r="J433" s="51">
        <v>3</v>
      </c>
      <c r="K433" s="51" t="s">
        <v>190</v>
      </c>
      <c r="L433" s="101">
        <f>VLOOKUP($C433&amp;$E433,'Updated SES'!A:N,14,0)</f>
        <v>60.152000000000001</v>
      </c>
      <c r="M433" s="102">
        <f>VLOOKUP($K433,'Genre Penetration'!A:B,2,0)*VLOOKUP($C433&amp;$E433,'Updated SES'!A:I,9,0)</f>
        <v>0.42250000000000004</v>
      </c>
      <c r="N433" s="102">
        <f>VLOOKUP(K:K,'Genre Penetration'!A:C,3,0)*VLOOKUP($C433&amp;$E433,'Updated SES'!A:J,10,0)</f>
        <v>0.12249999999999998</v>
      </c>
      <c r="O433" s="102" t="e">
        <f>VLOOKUP($B433,'Language Penetration'!$B$1:$AY$14,MATCH('Compile data Working'!#REF!,'Language Penetration'!$B$1:$AY$1,0),0)</f>
        <v>#REF!</v>
      </c>
      <c r="P433" s="103" t="str">
        <f t="shared" ca="1" si="12"/>
        <v>30%</v>
      </c>
      <c r="Q433" s="101" t="e">
        <f t="shared" ca="1" si="13"/>
        <v>#REF!</v>
      </c>
      <c r="R433" s="104">
        <f>VLOOKUP(D:D,ranking!W:X,2,0)</f>
        <v>0.8</v>
      </c>
      <c r="S433" s="59">
        <v>1.1801822399999999</v>
      </c>
    </row>
    <row r="434" spans="1:19" x14ac:dyDescent="0.25">
      <c r="A434" s="46" t="s">
        <v>1057</v>
      </c>
      <c r="B434" s="46" t="s">
        <v>85</v>
      </c>
      <c r="C434" s="51" t="s">
        <v>150</v>
      </c>
      <c r="D434" s="51" t="s">
        <v>432</v>
      </c>
      <c r="E434" s="51" t="s">
        <v>211</v>
      </c>
      <c r="F434" s="51" t="s">
        <v>458</v>
      </c>
      <c r="G434" s="51" t="s">
        <v>1746</v>
      </c>
      <c r="H434" s="46" t="s">
        <v>24</v>
      </c>
      <c r="I434" s="53">
        <v>45975</v>
      </c>
      <c r="J434" s="51">
        <v>4</v>
      </c>
      <c r="K434" s="51" t="s">
        <v>216</v>
      </c>
      <c r="L434" s="101">
        <f>VLOOKUP($C434&amp;$E434,'Updated SES'!A:N,14,0)</f>
        <v>60.152000000000001</v>
      </c>
      <c r="M434" s="102">
        <f>VLOOKUP($K434,'Genre Penetration'!A:B,2,0)*VLOOKUP($C434&amp;$E434,'Updated SES'!A:I,9,0)</f>
        <v>0.32500000000000001</v>
      </c>
      <c r="N434" s="102">
        <f>VLOOKUP(K:K,'Genre Penetration'!A:C,3,0)*VLOOKUP($C434&amp;$E434,'Updated SES'!A:J,10,0)</f>
        <v>0.17499999999999999</v>
      </c>
      <c r="O434" s="102" t="e">
        <f>VLOOKUP($B434,'Language Penetration'!$B$1:$AY$14,MATCH('Compile data Working'!#REF!,'Language Penetration'!$B$1:$AY$1,0),0)</f>
        <v>#REF!</v>
      </c>
      <c r="P434" s="103" t="str">
        <f t="shared" ca="1" si="12"/>
        <v>20%</v>
      </c>
      <c r="Q434" s="101" t="e">
        <f t="shared" ca="1" si="13"/>
        <v>#REF!</v>
      </c>
      <c r="R434" s="104">
        <f>VLOOKUP(D:D,ranking!W:X,2,0)</f>
        <v>0.8</v>
      </c>
      <c r="S434" s="59">
        <v>0.75190000000000001</v>
      </c>
    </row>
    <row r="435" spans="1:19" x14ac:dyDescent="0.25">
      <c r="A435" s="46" t="s">
        <v>1057</v>
      </c>
      <c r="B435" s="46" t="s">
        <v>85</v>
      </c>
      <c r="C435" s="51" t="s">
        <v>150</v>
      </c>
      <c r="D435" s="51" t="s">
        <v>432</v>
      </c>
      <c r="E435" s="51" t="s">
        <v>211</v>
      </c>
      <c r="F435" s="51" t="s">
        <v>458</v>
      </c>
      <c r="G435" s="51" t="s">
        <v>1446</v>
      </c>
      <c r="H435" s="46" t="s">
        <v>19</v>
      </c>
      <c r="I435" s="106">
        <v>45947</v>
      </c>
      <c r="J435" s="51">
        <v>5</v>
      </c>
      <c r="K435" s="51" t="s">
        <v>90</v>
      </c>
      <c r="L435" s="101">
        <f>VLOOKUP($C435&amp;$E435,'Updated SES'!A:N,14,0)</f>
        <v>60.152000000000001</v>
      </c>
      <c r="M435" s="102">
        <f>VLOOKUP($K435,'Genre Penetration'!A:B,2,0)*VLOOKUP($C435&amp;$E435,'Updated SES'!A:I,9,0)</f>
        <v>0.46799999999999997</v>
      </c>
      <c r="N435" s="102">
        <f>VLOOKUP(K:K,'Genre Penetration'!A:C,3,0)*VLOOKUP($C435&amp;$E435,'Updated SES'!A:J,10,0)</f>
        <v>9.8000000000000004E-2</v>
      </c>
      <c r="O435" s="102" t="e">
        <f>VLOOKUP($B435,'Language Penetration'!$B$1:$AY$14,MATCH('Compile data Working'!#REF!,'Language Penetration'!$B$1:$AY$1,0),0)</f>
        <v>#REF!</v>
      </c>
      <c r="P435" s="103" t="str">
        <f t="shared" ca="1" si="12"/>
        <v>18%</v>
      </c>
      <c r="Q435" s="101" t="e">
        <f t="shared" ca="1" si="13"/>
        <v>#REF!</v>
      </c>
      <c r="R435" s="104">
        <f>VLOOKUP(D:D,ranking!W:X,2,0)</f>
        <v>0.8</v>
      </c>
      <c r="S435" s="59">
        <v>3.1049981184000002</v>
      </c>
    </row>
    <row r="436" spans="1:19" x14ac:dyDescent="0.25">
      <c r="A436" s="46" t="s">
        <v>1057</v>
      </c>
      <c r="B436" s="46" t="s">
        <v>85</v>
      </c>
      <c r="C436" s="51" t="s">
        <v>150</v>
      </c>
      <c r="D436" s="51" t="s">
        <v>432</v>
      </c>
      <c r="E436" s="51" t="s">
        <v>211</v>
      </c>
      <c r="F436" s="51" t="s">
        <v>458</v>
      </c>
      <c r="G436" s="51" t="s">
        <v>1486</v>
      </c>
      <c r="H436" s="46" t="s">
        <v>40</v>
      </c>
      <c r="I436" s="106">
        <v>45961</v>
      </c>
      <c r="J436" s="51">
        <v>6</v>
      </c>
      <c r="K436" s="51" t="s">
        <v>84</v>
      </c>
      <c r="L436" s="101">
        <f>VLOOKUP($C436&amp;$E436,'Updated SES'!A:N,14,0)</f>
        <v>60.152000000000001</v>
      </c>
      <c r="M436" s="102">
        <f>VLOOKUP($K436,'Genre Penetration'!A:B,2,0)*VLOOKUP($C436&amp;$E436,'Updated SES'!A:I,9,0)</f>
        <v>0.41600000000000004</v>
      </c>
      <c r="N436" s="102">
        <f>VLOOKUP(K:K,'Genre Penetration'!A:C,3,0)*VLOOKUP($C436&amp;$E436,'Updated SES'!A:J,10,0)</f>
        <v>0.126</v>
      </c>
      <c r="O436" s="102" t="e">
        <f>VLOOKUP($B436,'Language Penetration'!$B$1:$AY$14,MATCH('Compile data Working'!#REF!,'Language Penetration'!$B$1:$AY$1,0),0)</f>
        <v>#REF!</v>
      </c>
      <c r="P436" s="103" t="str">
        <f t="shared" ca="1" si="12"/>
        <v>14%</v>
      </c>
      <c r="Q436" s="101" t="e">
        <f t="shared" ca="1" si="13"/>
        <v>#REF!</v>
      </c>
      <c r="R436" s="104">
        <f>VLOOKUP(D:D,ranking!W:X,2,0)</f>
        <v>0.8</v>
      </c>
      <c r="S436" s="59">
        <v>1.108481056</v>
      </c>
    </row>
    <row r="437" spans="1:19" x14ac:dyDescent="0.25">
      <c r="A437" s="46" t="s">
        <v>1057</v>
      </c>
      <c r="B437" s="46" t="s">
        <v>85</v>
      </c>
      <c r="C437" s="51" t="s">
        <v>150</v>
      </c>
      <c r="D437" s="46" t="s">
        <v>434</v>
      </c>
      <c r="E437" s="51" t="s">
        <v>211</v>
      </c>
      <c r="F437" s="51" t="s">
        <v>458</v>
      </c>
      <c r="G437" s="51" t="s">
        <v>1578</v>
      </c>
      <c r="H437" s="46" t="s">
        <v>1546</v>
      </c>
      <c r="I437" s="53">
        <v>45877</v>
      </c>
      <c r="J437" s="51">
        <v>7</v>
      </c>
      <c r="K437" s="51" t="s">
        <v>162</v>
      </c>
      <c r="L437" s="101">
        <f>VLOOKUP($C437&amp;$E437,'Updated SES'!A:N,14,0)</f>
        <v>60.152000000000001</v>
      </c>
      <c r="M437" s="102">
        <f>VLOOKUP($K437,'Genre Penetration'!A:B,2,0)*VLOOKUP($C437&amp;$E437,'Updated SES'!A:I,9,0)</f>
        <v>0.45499999999999996</v>
      </c>
      <c r="N437" s="102">
        <f>VLOOKUP(K:K,'Genre Penetration'!A:C,3,0)*VLOOKUP($C437&amp;$E437,'Updated SES'!A:J,10,0)</f>
        <v>0.105</v>
      </c>
      <c r="O437" s="102">
        <v>0.15</v>
      </c>
      <c r="P437" s="103" t="str">
        <f t="shared" ca="1" si="12"/>
        <v>8%</v>
      </c>
      <c r="Q437" s="101">
        <f t="shared" ca="1" si="13"/>
        <v>0.40422143999999999</v>
      </c>
      <c r="R437" s="104">
        <f>VLOOKUP(D:D,ranking!W:X,2,0)</f>
        <v>0.7</v>
      </c>
      <c r="S437" s="59">
        <v>0.31832438399999996</v>
      </c>
    </row>
    <row r="438" spans="1:19" x14ac:dyDescent="0.25">
      <c r="A438" s="46" t="s">
        <v>1057</v>
      </c>
      <c r="B438" s="46" t="s">
        <v>85</v>
      </c>
      <c r="C438" s="51" t="s">
        <v>150</v>
      </c>
      <c r="D438" s="46" t="s">
        <v>434</v>
      </c>
      <c r="E438" s="51" t="s">
        <v>211</v>
      </c>
      <c r="F438" s="51" t="s">
        <v>458</v>
      </c>
      <c r="G438" s="51" t="s">
        <v>1290</v>
      </c>
      <c r="H438" s="46" t="s">
        <v>1058</v>
      </c>
      <c r="I438" s="106">
        <v>45926</v>
      </c>
      <c r="J438" s="51">
        <v>8</v>
      </c>
      <c r="K438" s="51" t="s">
        <v>893</v>
      </c>
      <c r="L438" s="101">
        <f>VLOOKUP($C438&amp;$E438,'Updated SES'!A:N,14,0)</f>
        <v>60.152000000000001</v>
      </c>
      <c r="M438" s="102">
        <f>VLOOKUP($K438,'Genre Penetration'!A:B,2,0)*VLOOKUP($C438&amp;$E438,'Updated SES'!A:I,9,0)</f>
        <v>0.39</v>
      </c>
      <c r="N438" s="102">
        <f>VLOOKUP(K:K,'Genre Penetration'!A:C,3,0)*VLOOKUP($C438&amp;$E438,'Updated SES'!A:J,10,0)</f>
        <v>0.13999999999999999</v>
      </c>
      <c r="O438" s="102">
        <v>0.7</v>
      </c>
      <c r="P438" s="103" t="str">
        <f t="shared" ca="1" si="12"/>
        <v>7%</v>
      </c>
      <c r="Q438" s="101">
        <f t="shared" ca="1" si="13"/>
        <v>1.5621474400000002</v>
      </c>
      <c r="R438" s="104">
        <f>VLOOKUP(D:D,ranking!W:X,2,0)</f>
        <v>0.7</v>
      </c>
      <c r="S438" s="59">
        <v>1.093503208</v>
      </c>
    </row>
    <row r="439" spans="1:19" x14ac:dyDescent="0.25">
      <c r="A439" s="46" t="s">
        <v>1057</v>
      </c>
      <c r="B439" s="46" t="s">
        <v>85</v>
      </c>
      <c r="C439" s="51" t="s">
        <v>150</v>
      </c>
      <c r="D439" s="46" t="s">
        <v>434</v>
      </c>
      <c r="E439" s="51" t="s">
        <v>211</v>
      </c>
      <c r="F439" s="51" t="s">
        <v>458</v>
      </c>
      <c r="G439" s="51" t="s">
        <v>1577</v>
      </c>
      <c r="H439" s="46" t="s">
        <v>77</v>
      </c>
      <c r="I439" s="53">
        <v>45967</v>
      </c>
      <c r="J439" s="51">
        <v>9</v>
      </c>
      <c r="K439" s="51" t="s">
        <v>1220</v>
      </c>
      <c r="L439" s="101">
        <f>VLOOKUP($C439&amp;$E439,'Updated SES'!A:N,14,0)</f>
        <v>60.152000000000001</v>
      </c>
      <c r="M439" s="102">
        <f>VLOOKUP($K439,'Genre Penetration'!A:B,2,0)*VLOOKUP($C439&amp;$E439,'Updated SES'!A:I,9,0)</f>
        <v>0.45499999999999996</v>
      </c>
      <c r="N439" s="102">
        <f>VLOOKUP(K:K,'Genre Penetration'!A:C,3,0)*VLOOKUP($C439&amp;$E439,'Updated SES'!A:J,10,0)</f>
        <v>0.105</v>
      </c>
      <c r="O439" s="102">
        <v>0.5</v>
      </c>
      <c r="P439" s="103" t="str">
        <f t="shared" ca="1" si="12"/>
        <v>4%</v>
      </c>
      <c r="Q439" s="101">
        <f t="shared" ca="1" si="13"/>
        <v>0.67370239999999992</v>
      </c>
      <c r="R439" s="104">
        <f>VLOOKUP(D:D,ranking!W:X,2,0)</f>
        <v>0.7</v>
      </c>
      <c r="S439" s="59">
        <v>0.4715916799999999</v>
      </c>
    </row>
    <row r="440" spans="1:19" x14ac:dyDescent="0.25">
      <c r="A440" s="46" t="s">
        <v>1057</v>
      </c>
      <c r="B440" s="46" t="s">
        <v>85</v>
      </c>
      <c r="C440" s="51" t="s">
        <v>150</v>
      </c>
      <c r="D440" s="46" t="s">
        <v>434</v>
      </c>
      <c r="E440" s="51" t="s">
        <v>211</v>
      </c>
      <c r="F440" s="51" t="s">
        <v>458</v>
      </c>
      <c r="G440" s="51" t="s">
        <v>1433</v>
      </c>
      <c r="H440" s="46" t="s">
        <v>1450</v>
      </c>
      <c r="I440" s="106">
        <v>45947</v>
      </c>
      <c r="J440" s="51">
        <v>10</v>
      </c>
      <c r="K440" s="51" t="s">
        <v>500</v>
      </c>
      <c r="L440" s="101">
        <f>VLOOKUP($C440&amp;$E440,'Updated SES'!A:N,14,0)</f>
        <v>60.152000000000001</v>
      </c>
      <c r="M440" s="102">
        <f>VLOOKUP($K440,'Genre Penetration'!A:B,2,0)*VLOOKUP($C440&amp;$E440,'Updated SES'!A:I,9,0)</f>
        <v>0.32500000000000001</v>
      </c>
      <c r="N440" s="102">
        <f>VLOOKUP(K:K,'Genre Penetration'!A:C,3,0)*VLOOKUP($C440&amp;$E440,'Updated SES'!A:J,10,0)</f>
        <v>0.17499999999999999</v>
      </c>
      <c r="O440" s="102">
        <v>0.15</v>
      </c>
      <c r="P440" s="103" t="str">
        <f t="shared" ca="1" si="12"/>
        <v>4%</v>
      </c>
      <c r="Q440" s="101">
        <f t="shared" ca="1" si="13"/>
        <v>0.18045600000000001</v>
      </c>
      <c r="R440" s="104">
        <f>VLOOKUP(D:D,ranking!W:X,2,0)</f>
        <v>0.7</v>
      </c>
      <c r="S440" s="59">
        <v>0.12631919999999999</v>
      </c>
    </row>
    <row r="441" spans="1:19" x14ac:dyDescent="0.25">
      <c r="A441" s="46" t="s">
        <v>1057</v>
      </c>
      <c r="B441" s="46" t="s">
        <v>85</v>
      </c>
      <c r="C441" s="51" t="s">
        <v>150</v>
      </c>
      <c r="D441" s="51" t="s">
        <v>431</v>
      </c>
      <c r="E441" s="51" t="s">
        <v>211</v>
      </c>
      <c r="F441" s="51" t="s">
        <v>457</v>
      </c>
      <c r="G441" s="51" t="s">
        <v>1747</v>
      </c>
      <c r="H441" s="46" t="s">
        <v>26</v>
      </c>
      <c r="I441" s="53">
        <v>45975</v>
      </c>
      <c r="J441" s="51">
        <v>1</v>
      </c>
      <c r="K441" s="51" t="s">
        <v>321</v>
      </c>
      <c r="L441" s="101">
        <f>VLOOKUP($C441&amp;$E441,'Updated SES'!A:N,14,0)</f>
        <v>60.152000000000001</v>
      </c>
      <c r="M441" s="102">
        <f>VLOOKUP($K441,'Genre Penetration'!A:B,2,0)*VLOOKUP($C441&amp;$E441,'Updated SES'!A:I,9,0)</f>
        <v>0.3705</v>
      </c>
      <c r="N441" s="102">
        <f>VLOOKUP(K:K,'Genre Penetration'!A:C,3,0)*VLOOKUP($C441&amp;$E441,'Updated SES'!A:J,10,0)</f>
        <v>0.15049999999999999</v>
      </c>
      <c r="O441" s="102" t="e">
        <f>VLOOKUP($B441,'Language Penetration'!$B$1:$AY$14,MATCH('Compile data Working'!#REF!,'Language Penetration'!$B$1:$AY$1,0),0)</f>
        <v>#REF!</v>
      </c>
      <c r="P441" s="103" t="str">
        <f t="shared" ca="1" si="12"/>
        <v>35%</v>
      </c>
      <c r="Q441" s="101" t="e">
        <f t="shared" ca="1" si="13"/>
        <v>#REF!</v>
      </c>
      <c r="R441" s="104">
        <f>VLOOKUP(D:D,ranking!W:X,2,0)</f>
        <v>0.6</v>
      </c>
      <c r="S441" s="59">
        <v>0.48701104368000003</v>
      </c>
    </row>
    <row r="442" spans="1:19" x14ac:dyDescent="0.25">
      <c r="A442" s="46" t="s">
        <v>1057</v>
      </c>
      <c r="B442" s="46" t="s">
        <v>85</v>
      </c>
      <c r="C442" s="51" t="s">
        <v>150</v>
      </c>
      <c r="D442" s="51" t="s">
        <v>431</v>
      </c>
      <c r="E442" s="51" t="s">
        <v>211</v>
      </c>
      <c r="F442" s="51" t="s">
        <v>457</v>
      </c>
      <c r="G442" s="51" t="s">
        <v>1484</v>
      </c>
      <c r="H442" s="46" t="s">
        <v>25</v>
      </c>
      <c r="I442" s="106">
        <v>45961</v>
      </c>
      <c r="J442" s="51">
        <v>2</v>
      </c>
      <c r="K442" s="51" t="s">
        <v>1193</v>
      </c>
      <c r="L442" s="101">
        <f>VLOOKUP($C442&amp;$E442,'Updated SES'!A:N,14,0)</f>
        <v>60.152000000000001</v>
      </c>
      <c r="M442" s="102">
        <f>VLOOKUP($K442,'Genre Penetration'!A:B,2,0)*VLOOKUP($C442&amp;$E442,'Updated SES'!A:I,9,0)</f>
        <v>0.40300000000000002</v>
      </c>
      <c r="N442" s="102">
        <f>VLOOKUP(K:K,'Genre Penetration'!A:C,3,0)*VLOOKUP($C442&amp;$E442,'Updated SES'!A:J,10,0)</f>
        <v>0.13299999999999998</v>
      </c>
      <c r="O442" s="102" t="e">
        <f>VLOOKUP($B442,'Language Penetration'!$B$1:$AY$14,MATCH('Compile data Working'!#REF!,'Language Penetration'!$B$1:$AY$1,0),0)</f>
        <v>#REF!</v>
      </c>
      <c r="P442" s="103" t="str">
        <f t="shared" ca="1" si="12"/>
        <v>30%</v>
      </c>
      <c r="Q442" s="101" t="e">
        <f t="shared" ca="1" si="13"/>
        <v>#REF!</v>
      </c>
      <c r="R442" s="104">
        <f>VLOOKUP(D:D,ranking!W:X,2,0)</f>
        <v>0.6</v>
      </c>
      <c r="S442" s="59">
        <v>0.5803464960000001</v>
      </c>
    </row>
    <row r="443" spans="1:19" x14ac:dyDescent="0.25">
      <c r="A443" s="46" t="s">
        <v>1057</v>
      </c>
      <c r="B443" s="46" t="s">
        <v>85</v>
      </c>
      <c r="C443" s="51" t="s">
        <v>150</v>
      </c>
      <c r="D443" s="51" t="s">
        <v>431</v>
      </c>
      <c r="E443" s="51" t="s">
        <v>211</v>
      </c>
      <c r="F443" s="51" t="s">
        <v>457</v>
      </c>
      <c r="G443" s="51" t="s">
        <v>1518</v>
      </c>
      <c r="H443" s="46" t="s">
        <v>19</v>
      </c>
      <c r="I443" s="106">
        <v>45926</v>
      </c>
      <c r="J443" s="51">
        <v>3</v>
      </c>
      <c r="K443" s="51" t="s">
        <v>84</v>
      </c>
      <c r="L443" s="101">
        <f>VLOOKUP($C443&amp;$E443,'Updated SES'!A:N,14,0)</f>
        <v>60.152000000000001</v>
      </c>
      <c r="M443" s="102">
        <f>VLOOKUP($K443,'Genre Penetration'!A:B,2,0)*VLOOKUP($C443&amp;$E443,'Updated SES'!A:I,9,0)</f>
        <v>0.41600000000000004</v>
      </c>
      <c r="N443" s="102">
        <f>VLOOKUP(K:K,'Genre Penetration'!A:C,3,0)*VLOOKUP($C443&amp;$E443,'Updated SES'!A:J,10,0)</f>
        <v>0.126</v>
      </c>
      <c r="O443" s="102" t="e">
        <f>VLOOKUP($B443,'Language Penetration'!$B$1:$AY$14,MATCH('Compile data Working'!#REF!,'Language Penetration'!$B$1:$AY$1,0),0)</f>
        <v>#REF!</v>
      </c>
      <c r="P443" s="103" t="str">
        <f t="shared" ca="1" si="12"/>
        <v>26%</v>
      </c>
      <c r="Q443" s="101" t="e">
        <f t="shared" ca="1" si="13"/>
        <v>#REF!</v>
      </c>
      <c r="R443" s="104">
        <f>VLOOKUP(D:D,ranking!W:X,2,0)</f>
        <v>0.6</v>
      </c>
      <c r="S443" s="59">
        <v>3.1689517247999999</v>
      </c>
    </row>
    <row r="444" spans="1:19" x14ac:dyDescent="0.25">
      <c r="A444" s="46" t="s">
        <v>1057</v>
      </c>
      <c r="B444" s="46" t="s">
        <v>85</v>
      </c>
      <c r="C444" s="51" t="s">
        <v>150</v>
      </c>
      <c r="D444" s="51" t="s">
        <v>431</v>
      </c>
      <c r="E444" s="51" t="s">
        <v>211</v>
      </c>
      <c r="F444" s="51" t="s">
        <v>457</v>
      </c>
      <c r="G444" s="51" t="s">
        <v>1517</v>
      </c>
      <c r="H444" s="46" t="s">
        <v>29</v>
      </c>
      <c r="I444" s="106">
        <v>45961</v>
      </c>
      <c r="J444" s="51">
        <v>4</v>
      </c>
      <c r="K444" s="51" t="s">
        <v>216</v>
      </c>
      <c r="L444" s="101">
        <f>VLOOKUP($C444&amp;$E444,'Updated SES'!A:N,14,0)</f>
        <v>60.152000000000001</v>
      </c>
      <c r="M444" s="102">
        <f>VLOOKUP($K444,'Genre Penetration'!A:B,2,0)*VLOOKUP($C444&amp;$E444,'Updated SES'!A:I,9,0)</f>
        <v>0.32500000000000001</v>
      </c>
      <c r="N444" s="102">
        <f>VLOOKUP(K:K,'Genre Penetration'!A:C,3,0)*VLOOKUP($C444&amp;$E444,'Updated SES'!A:J,10,0)</f>
        <v>0.17499999999999999</v>
      </c>
      <c r="O444" s="102" t="e">
        <f>VLOOKUP($B444,'Language Penetration'!$B$1:$AY$14,MATCH('Compile data Working'!#REF!,'Language Penetration'!$B$1:$AY$1,0),0)</f>
        <v>#REF!</v>
      </c>
      <c r="P444" s="103" t="str">
        <f t="shared" ca="1" si="12"/>
        <v>23%</v>
      </c>
      <c r="Q444" s="101" t="e">
        <f t="shared" ca="1" si="13"/>
        <v>#REF!</v>
      </c>
      <c r="R444" s="104">
        <f>VLOOKUP(D:D,ranking!W:X,2,0)</f>
        <v>0.6</v>
      </c>
      <c r="S444" s="59">
        <v>0.54136799999999996</v>
      </c>
    </row>
    <row r="445" spans="1:19" x14ac:dyDescent="0.25">
      <c r="A445" s="46" t="s">
        <v>1057</v>
      </c>
      <c r="B445" s="46" t="s">
        <v>85</v>
      </c>
      <c r="C445" s="51" t="s">
        <v>150</v>
      </c>
      <c r="D445" s="51" t="s">
        <v>431</v>
      </c>
      <c r="E445" s="51" t="s">
        <v>211</v>
      </c>
      <c r="F445" s="51" t="s">
        <v>457</v>
      </c>
      <c r="G445" s="51" t="s">
        <v>1482</v>
      </c>
      <c r="H445" s="46" t="s">
        <v>33</v>
      </c>
      <c r="I445" s="106">
        <v>45961</v>
      </c>
      <c r="J445" s="51">
        <v>5</v>
      </c>
      <c r="K445" s="51" t="s">
        <v>1440</v>
      </c>
      <c r="L445" s="101">
        <f>VLOOKUP($C445&amp;$E445,'Updated SES'!A:N,14,0)</f>
        <v>60.152000000000001</v>
      </c>
      <c r="M445" s="102">
        <f>VLOOKUP($K445,'Genre Penetration'!A:B,2,0)*VLOOKUP($C445&amp;$E445,'Updated SES'!A:I,9,0)</f>
        <v>0.33475000000000005</v>
      </c>
      <c r="N445" s="102">
        <f>VLOOKUP(K:K,'Genre Penetration'!A:C,3,0)*VLOOKUP($C445&amp;$E445,'Updated SES'!A:J,10,0)</f>
        <v>0.16974999999999998</v>
      </c>
      <c r="O445" s="102" t="e">
        <f>VLOOKUP($B445,'Language Penetration'!$B$1:$AY$14,MATCH('Compile data Working'!#REF!,'Language Penetration'!$B$1:$AY$1,0),0)</f>
        <v>#REF!</v>
      </c>
      <c r="P445" s="103" t="str">
        <f t="shared" ca="1" si="12"/>
        <v>19%</v>
      </c>
      <c r="Q445" s="101" t="e">
        <f t="shared" ca="1" si="13"/>
        <v>#REF!</v>
      </c>
      <c r="R445" s="104">
        <f>VLOOKUP(D:D,ranking!W:X,2,0)</f>
        <v>0.6</v>
      </c>
      <c r="S445" s="59">
        <v>0.34595219760000001</v>
      </c>
    </row>
    <row r="446" spans="1:19" x14ac:dyDescent="0.25">
      <c r="A446" s="46" t="s">
        <v>1057</v>
      </c>
      <c r="B446" s="46" t="s">
        <v>85</v>
      </c>
      <c r="C446" s="51" t="s">
        <v>150</v>
      </c>
      <c r="D446" s="51" t="s">
        <v>431</v>
      </c>
      <c r="E446" s="51" t="s">
        <v>211</v>
      </c>
      <c r="F446" s="51" t="s">
        <v>457</v>
      </c>
      <c r="G446" s="51" t="s">
        <v>1519</v>
      </c>
      <c r="H446" s="46" t="s">
        <v>22</v>
      </c>
      <c r="I446" s="106">
        <v>45940</v>
      </c>
      <c r="J446" s="51">
        <v>6</v>
      </c>
      <c r="K446" s="51" t="s">
        <v>46</v>
      </c>
      <c r="L446" s="101">
        <f>VLOOKUP($C446&amp;$E446,'Updated SES'!A:N,14,0)</f>
        <v>60.152000000000001</v>
      </c>
      <c r="M446" s="102">
        <f>VLOOKUP($K446,'Genre Penetration'!A:B,2,0)*VLOOKUP($C446&amp;$E446,'Updated SES'!A:I,9,0)</f>
        <v>0.45499999999999996</v>
      </c>
      <c r="N446" s="102">
        <f>VLOOKUP(K:K,'Genre Penetration'!A:C,3,0)*VLOOKUP($C446&amp;$E446,'Updated SES'!A:J,10,0)</f>
        <v>0.105</v>
      </c>
      <c r="O446" s="102" t="e">
        <f>VLOOKUP($B446,'Language Penetration'!$B$1:$AY$14,MATCH('Compile data Working'!#REF!,'Language Penetration'!$B$1:$AY$1,0),0)</f>
        <v>#REF!</v>
      </c>
      <c r="P446" s="103" t="str">
        <f t="shared" ca="1" si="12"/>
        <v>10%</v>
      </c>
      <c r="Q446" s="101" t="e">
        <f t="shared" ca="1" si="13"/>
        <v>#REF!</v>
      </c>
      <c r="R446" s="104">
        <f>VLOOKUP(D:D,ranking!W:X,2,0)</f>
        <v>0.6</v>
      </c>
      <c r="S446" s="59">
        <v>0.28295500800000001</v>
      </c>
    </row>
    <row r="447" spans="1:19" x14ac:dyDescent="0.25">
      <c r="A447" s="46" t="s">
        <v>1057</v>
      </c>
      <c r="B447" s="46" t="s">
        <v>85</v>
      </c>
      <c r="C447" s="51" t="s">
        <v>150</v>
      </c>
      <c r="D447" s="51" t="s">
        <v>431</v>
      </c>
      <c r="E447" s="51" t="s">
        <v>211</v>
      </c>
      <c r="F447" s="51" t="s">
        <v>457</v>
      </c>
      <c r="G447" s="51" t="s">
        <v>1126</v>
      </c>
      <c r="H447" s="46" t="s">
        <v>40</v>
      </c>
      <c r="I447" s="106">
        <v>45856</v>
      </c>
      <c r="J447" s="51">
        <v>7</v>
      </c>
      <c r="K447" s="51" t="s">
        <v>499</v>
      </c>
      <c r="L447" s="101">
        <f>VLOOKUP($C447&amp;$E447,'Updated SES'!A:N,14,0)</f>
        <v>60.152000000000001</v>
      </c>
      <c r="M447" s="102">
        <f>VLOOKUP($K447,'Genre Penetration'!A:B,2,0)*VLOOKUP($C447&amp;$E447,'Updated SES'!A:I,9,0)</f>
        <v>0.26</v>
      </c>
      <c r="N447" s="102">
        <f>VLOOKUP(K:K,'Genre Penetration'!A:C,3,0)*VLOOKUP($C447&amp;$E447,'Updated SES'!A:J,10,0)</f>
        <v>0.21</v>
      </c>
      <c r="O447" s="102" t="e">
        <f>VLOOKUP($B447,'Language Penetration'!$B$1:$AY$14,MATCH('Compile data Working'!#REF!,'Language Penetration'!$B$1:$AY$1,0),0)</f>
        <v>#REF!</v>
      </c>
      <c r="P447" s="103" t="str">
        <f t="shared" ca="1" si="12"/>
        <v>9%</v>
      </c>
      <c r="Q447" s="101" t="e">
        <f t="shared" ca="1" si="13"/>
        <v>#REF!</v>
      </c>
      <c r="R447" s="104">
        <f>VLOOKUP(D:D,ranking!W:X,2,0)</f>
        <v>0.6</v>
      </c>
      <c r="S447" s="59">
        <v>0.48061447999999996</v>
      </c>
    </row>
    <row r="448" spans="1:19" x14ac:dyDescent="0.25">
      <c r="A448" s="46" t="s">
        <v>1057</v>
      </c>
      <c r="B448" s="46" t="s">
        <v>85</v>
      </c>
      <c r="C448" s="51" t="s">
        <v>150</v>
      </c>
      <c r="D448" s="51" t="s">
        <v>431</v>
      </c>
      <c r="E448" s="51" t="s">
        <v>211</v>
      </c>
      <c r="F448" s="51" t="s">
        <v>457</v>
      </c>
      <c r="G448" s="51" t="s">
        <v>1034</v>
      </c>
      <c r="H448" s="46" t="s">
        <v>1038</v>
      </c>
      <c r="I448" s="106">
        <v>45683</v>
      </c>
      <c r="J448" s="51">
        <v>8</v>
      </c>
      <c r="K448" s="51" t="s">
        <v>138</v>
      </c>
      <c r="L448" s="101">
        <f>VLOOKUP($C448&amp;$E448,'Updated SES'!A:N,14,0)</f>
        <v>60.152000000000001</v>
      </c>
      <c r="M448" s="102">
        <f>VLOOKUP($K448,'Genre Penetration'!A:B,2,0)*VLOOKUP($C448&amp;$E448,'Updated SES'!A:I,9,0)</f>
        <v>0.30549999999999999</v>
      </c>
      <c r="N448" s="102">
        <f>VLOOKUP(K:K,'Genre Penetration'!A:C,3,0)*VLOOKUP($C448&amp;$E448,'Updated SES'!A:J,10,0)</f>
        <v>0.1855</v>
      </c>
      <c r="O448" s="102">
        <v>0.7</v>
      </c>
      <c r="P448" s="103" t="str">
        <f t="shared" ca="1" si="12"/>
        <v>7%</v>
      </c>
      <c r="Q448" s="101">
        <f t="shared" ca="1" si="13"/>
        <v>1.4471969679999999</v>
      </c>
      <c r="R448" s="104">
        <f>VLOOKUP(D:D,ranking!W:X,2,0)</f>
        <v>0.6</v>
      </c>
      <c r="S448" s="59">
        <v>0.86831818079999989</v>
      </c>
    </row>
    <row r="449" spans="1:19" x14ac:dyDescent="0.25">
      <c r="A449" s="46" t="s">
        <v>1057</v>
      </c>
      <c r="B449" s="46" t="s">
        <v>85</v>
      </c>
      <c r="C449" s="51" t="s">
        <v>150</v>
      </c>
      <c r="D449" s="51" t="s">
        <v>431</v>
      </c>
      <c r="E449" s="51" t="s">
        <v>211</v>
      </c>
      <c r="F449" s="51" t="s">
        <v>457</v>
      </c>
      <c r="G449" s="51" t="s">
        <v>1036</v>
      </c>
      <c r="H449" s="46" t="s">
        <v>1039</v>
      </c>
      <c r="I449" s="106">
        <v>45772</v>
      </c>
      <c r="J449" s="51">
        <v>9</v>
      </c>
      <c r="K449" s="51" t="s">
        <v>1219</v>
      </c>
      <c r="L449" s="101">
        <f>VLOOKUP($C449&amp;$E449,'Updated SES'!A:N,14,0)</f>
        <v>60.152000000000001</v>
      </c>
      <c r="M449" s="102">
        <f>VLOOKUP($K449,'Genre Penetration'!A:B,2,0)*VLOOKUP($C449&amp;$E449,'Updated SES'!A:I,9,0)</f>
        <v>0.40300000000000002</v>
      </c>
      <c r="N449" s="102">
        <f>VLOOKUP(K:K,'Genre Penetration'!A:C,3,0)*VLOOKUP($C449&amp;$E449,'Updated SES'!A:J,10,0)</f>
        <v>0.13299999999999998</v>
      </c>
      <c r="O449" s="102">
        <v>0.5</v>
      </c>
      <c r="P449" s="103" t="str">
        <f t="shared" ca="1" si="12"/>
        <v>5%</v>
      </c>
      <c r="Q449" s="101">
        <f t="shared" ca="1" si="13"/>
        <v>0.80603680000000011</v>
      </c>
      <c r="R449" s="104">
        <f>VLOOKUP(D:D,ranking!W:X,2,0)</f>
        <v>0.6</v>
      </c>
      <c r="S449" s="59">
        <v>0.58034649599999999</v>
      </c>
    </row>
    <row r="450" spans="1:19" x14ac:dyDescent="0.25">
      <c r="A450" s="46" t="s">
        <v>1057</v>
      </c>
      <c r="B450" s="46" t="s">
        <v>85</v>
      </c>
      <c r="C450" s="51" t="s">
        <v>150</v>
      </c>
      <c r="D450" s="51" t="s">
        <v>431</v>
      </c>
      <c r="E450" s="51" t="s">
        <v>211</v>
      </c>
      <c r="F450" s="51" t="s">
        <v>457</v>
      </c>
      <c r="G450" s="51" t="s">
        <v>1023</v>
      </c>
      <c r="H450" s="46" t="s">
        <v>25</v>
      </c>
      <c r="I450" s="106">
        <v>45898</v>
      </c>
      <c r="J450" s="51">
        <v>10</v>
      </c>
      <c r="K450" s="51" t="s">
        <v>422</v>
      </c>
      <c r="L450" s="101">
        <f>VLOOKUP($C450&amp;$E450,'Updated SES'!A:N,14,0)</f>
        <v>60.152000000000001</v>
      </c>
      <c r="M450" s="102">
        <f>VLOOKUP($K450,'Genre Penetration'!A:B,2,0)*VLOOKUP($C450&amp;$E450,'Updated SES'!A:I,9,0)</f>
        <v>0.377</v>
      </c>
      <c r="N450" s="102">
        <f>VLOOKUP(K:K,'Genre Penetration'!A:C,3,0)*VLOOKUP($C450&amp;$E450,'Updated SES'!A:J,10,0)</f>
        <v>0.14699999999999999</v>
      </c>
      <c r="O450" s="102" t="e">
        <f>VLOOKUP($B450,'Language Penetration'!$B$1:$AY$14,MATCH('Compile data Working'!#REF!,'Language Penetration'!$B$1:$AY$1,0),0)</f>
        <v>#REF!</v>
      </c>
      <c r="P450" s="103" t="str">
        <f t="shared" ca="1" si="12"/>
        <v>3%</v>
      </c>
      <c r="Q450" s="101" t="e">
        <f t="shared" ca="1" si="13"/>
        <v>#REF!</v>
      </c>
      <c r="R450" s="104">
        <f>VLOOKUP(D:D,ranking!W:X,2,0)</f>
        <v>0.6</v>
      </c>
      <c r="S450" s="59">
        <v>3.7823577599999998E-2</v>
      </c>
    </row>
  </sheetData>
  <mergeCells count="1">
    <mergeCell ref="M3:N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64CA9-179A-447B-B179-69D1346BD6C8}">
  <sheetPr codeName="Sheet10"/>
  <dimension ref="A1:M63"/>
  <sheetViews>
    <sheetView workbookViewId="0">
      <selection activeCell="L6" sqref="L6"/>
    </sheetView>
  </sheetViews>
  <sheetFormatPr defaultColWidth="8.85546875" defaultRowHeight="15" x14ac:dyDescent="0.25"/>
  <cols>
    <col min="1" max="1" width="11" customWidth="1"/>
    <col min="2" max="3" width="15.7109375" customWidth="1"/>
    <col min="4" max="4" width="6.28515625" customWidth="1"/>
    <col min="5" max="8" width="12" customWidth="1"/>
    <col min="9" max="10" width="9.140625" customWidth="1"/>
    <col min="11" max="11" width="12.42578125" bestFit="1" customWidth="1"/>
    <col min="12" max="13" width="15.28515625" customWidth="1"/>
  </cols>
  <sheetData>
    <row r="1" spans="1:13" x14ac:dyDescent="0.25">
      <c r="B1" s="1" t="s">
        <v>0</v>
      </c>
      <c r="K1" t="s">
        <v>206</v>
      </c>
    </row>
    <row r="2" spans="1:13" ht="15.75" thickBot="1" x14ac:dyDescent="0.3">
      <c r="G2" t="s">
        <v>1</v>
      </c>
      <c r="H2" t="s">
        <v>2</v>
      </c>
    </row>
    <row r="3" spans="1:13" s="5" customFormat="1" ht="22.5" x14ac:dyDescent="0.25">
      <c r="A3" s="6" t="str">
        <f>C3&amp;D3</f>
        <v>Market Size/ Metro CitiesAGE GROUP</v>
      </c>
      <c r="B3" s="2" t="s">
        <v>5</v>
      </c>
      <c r="C3" s="3" t="s">
        <v>6</v>
      </c>
      <c r="D3" s="3" t="s">
        <v>7</v>
      </c>
      <c r="E3" s="3" t="s">
        <v>3</v>
      </c>
      <c r="F3" s="3" t="s">
        <v>4</v>
      </c>
      <c r="G3" s="3" t="s">
        <v>8</v>
      </c>
      <c r="H3" s="3" t="s">
        <v>9</v>
      </c>
      <c r="K3" s="2" t="s">
        <v>10</v>
      </c>
      <c r="L3" s="4" t="s">
        <v>11</v>
      </c>
      <c r="M3"/>
    </row>
    <row r="4" spans="1:13" x14ac:dyDescent="0.25">
      <c r="A4" s="6" t="str">
        <f t="shared" ref="A4:A63" si="0">C4&amp;D4</f>
        <v>ALL INDIA 10-75L2-16</v>
      </c>
      <c r="B4" s="7" t="s">
        <v>43</v>
      </c>
      <c r="C4" t="s">
        <v>43</v>
      </c>
      <c r="D4" t="s">
        <v>249</v>
      </c>
      <c r="E4">
        <v>19959667</v>
      </c>
      <c r="F4">
        <v>18175027</v>
      </c>
      <c r="G4" s="9">
        <f t="shared" ref="G4:G35" si="1">E4/SUMIF(C:C,C4,E:E)</f>
        <v>0.24937800327622694</v>
      </c>
      <c r="H4" s="10">
        <f t="shared" ref="H4:H35" si="2">F4/SUMIF(C:C,C4,F:F)</f>
        <v>0.24080650809127876</v>
      </c>
      <c r="I4" s="5"/>
      <c r="K4" s="11" t="s">
        <v>213</v>
      </c>
      <c r="L4" s="12">
        <v>1</v>
      </c>
    </row>
    <row r="5" spans="1:13" x14ac:dyDescent="0.25">
      <c r="A5" s="6" t="str">
        <f t="shared" si="0"/>
        <v>ALL INDIA 10-75L17-24</v>
      </c>
      <c r="B5" s="7" t="s">
        <v>43</v>
      </c>
      <c r="C5" t="s">
        <v>43</v>
      </c>
      <c r="D5" t="s">
        <v>250</v>
      </c>
      <c r="E5">
        <v>19688106</v>
      </c>
      <c r="F5">
        <v>19057310</v>
      </c>
      <c r="G5" s="9">
        <f t="shared" si="1"/>
        <v>0.2459850939682863</v>
      </c>
      <c r="H5" s="10">
        <f t="shared" si="2"/>
        <v>0.25249614620726601</v>
      </c>
      <c r="I5" s="5"/>
      <c r="K5" s="11" t="s">
        <v>215</v>
      </c>
      <c r="L5" s="12">
        <v>0.8</v>
      </c>
      <c r="M5" s="14"/>
    </row>
    <row r="6" spans="1:13" x14ac:dyDescent="0.25">
      <c r="A6" s="6" t="str">
        <f t="shared" si="0"/>
        <v>ALL INDIA 10-75L25-34</v>
      </c>
      <c r="B6" s="7" t="s">
        <v>43</v>
      </c>
      <c r="C6" t="s">
        <v>43</v>
      </c>
      <c r="D6" t="s">
        <v>48</v>
      </c>
      <c r="E6">
        <v>16650772</v>
      </c>
      <c r="F6">
        <v>15831356</v>
      </c>
      <c r="G6" s="9">
        <f t="shared" si="1"/>
        <v>0.20803635022406475</v>
      </c>
      <c r="H6" s="10">
        <f t="shared" si="2"/>
        <v>0.20975449206815014</v>
      </c>
      <c r="I6" s="5"/>
      <c r="K6" s="11" t="s">
        <v>218</v>
      </c>
      <c r="L6" s="12">
        <v>0.3</v>
      </c>
      <c r="M6" s="14"/>
    </row>
    <row r="7" spans="1:13" ht="15.75" thickBot="1" x14ac:dyDescent="0.3">
      <c r="A7" s="6" t="str">
        <f t="shared" si="0"/>
        <v>ALL INDIA 10-75L35-44</v>
      </c>
      <c r="B7" s="7" t="s">
        <v>43</v>
      </c>
      <c r="C7" t="s">
        <v>43</v>
      </c>
      <c r="D7" t="s">
        <v>55</v>
      </c>
      <c r="E7">
        <v>13750966</v>
      </c>
      <c r="F7">
        <v>12557543</v>
      </c>
      <c r="G7" s="9">
        <f t="shared" si="1"/>
        <v>0.17180589456724329</v>
      </c>
      <c r="H7" s="10">
        <f t="shared" si="2"/>
        <v>0.16637873935681533</v>
      </c>
      <c r="I7" s="5"/>
      <c r="K7" s="18" t="s">
        <v>60</v>
      </c>
      <c r="L7" s="19">
        <v>0.7</v>
      </c>
      <c r="M7" s="14"/>
    </row>
    <row r="8" spans="1:13" x14ac:dyDescent="0.25">
      <c r="A8" s="6" t="str">
        <f t="shared" si="0"/>
        <v>ALL INDIA 10-75L45+</v>
      </c>
      <c r="B8" s="7" t="s">
        <v>43</v>
      </c>
      <c r="C8" t="s">
        <v>43</v>
      </c>
      <c r="D8" t="s">
        <v>251</v>
      </c>
      <c r="E8">
        <v>9988290</v>
      </c>
      <c r="F8">
        <v>9854411</v>
      </c>
      <c r="G8" s="9">
        <f t="shared" si="1"/>
        <v>0.1247946579641787</v>
      </c>
      <c r="H8" s="10">
        <f t="shared" si="2"/>
        <v>0.13056411427648973</v>
      </c>
      <c r="I8" s="5"/>
    </row>
    <row r="9" spans="1:13" x14ac:dyDescent="0.25">
      <c r="A9" s="6" t="str">
        <f t="shared" si="0"/>
        <v>ALL INDIA 1-10L2-16</v>
      </c>
      <c r="B9" s="7" t="s">
        <v>54</v>
      </c>
      <c r="C9" t="s">
        <v>54</v>
      </c>
      <c r="D9" t="s">
        <v>249</v>
      </c>
      <c r="E9">
        <v>17368178</v>
      </c>
      <c r="F9">
        <v>15728833</v>
      </c>
      <c r="G9" s="9">
        <f t="shared" si="1"/>
        <v>0.21855412925532219</v>
      </c>
      <c r="H9" s="10">
        <f t="shared" si="2"/>
        <v>0.20972094990665457</v>
      </c>
      <c r="I9" s="5"/>
    </row>
    <row r="10" spans="1:13" x14ac:dyDescent="0.25">
      <c r="A10" s="6" t="str">
        <f t="shared" si="0"/>
        <v>ALL INDIA 1-10L17-24</v>
      </c>
      <c r="B10" s="7" t="s">
        <v>54</v>
      </c>
      <c r="C10" t="s">
        <v>54</v>
      </c>
      <c r="D10" t="s">
        <v>250</v>
      </c>
      <c r="E10">
        <v>18722502</v>
      </c>
      <c r="F10">
        <v>17893250</v>
      </c>
      <c r="G10" s="9">
        <f t="shared" si="1"/>
        <v>0.23559639486024544</v>
      </c>
      <c r="H10" s="10">
        <f t="shared" si="2"/>
        <v>0.23858028036264656</v>
      </c>
      <c r="I10" s="5"/>
    </row>
    <row r="11" spans="1:13" x14ac:dyDescent="0.25">
      <c r="A11" s="6" t="str">
        <f t="shared" si="0"/>
        <v>ALL INDIA 1-10L25-34</v>
      </c>
      <c r="B11" s="7" t="s">
        <v>54</v>
      </c>
      <c r="C11" t="s">
        <v>54</v>
      </c>
      <c r="D11" t="s">
        <v>48</v>
      </c>
      <c r="E11">
        <v>16461836</v>
      </c>
      <c r="F11">
        <v>15438504</v>
      </c>
      <c r="G11" s="9">
        <f t="shared" si="1"/>
        <v>0.20714908800012966</v>
      </c>
      <c r="H11" s="10">
        <f t="shared" si="2"/>
        <v>0.20584983793887865</v>
      </c>
    </row>
    <row r="12" spans="1:13" x14ac:dyDescent="0.25">
      <c r="A12" s="6" t="str">
        <f t="shared" si="0"/>
        <v>ALL INDIA 1-10L35-44</v>
      </c>
      <c r="B12" s="7" t="s">
        <v>54</v>
      </c>
      <c r="C12" t="s">
        <v>54</v>
      </c>
      <c r="D12" t="s">
        <v>55</v>
      </c>
      <c r="E12">
        <v>17706755</v>
      </c>
      <c r="F12">
        <v>16290342</v>
      </c>
      <c r="G12" s="9">
        <f t="shared" si="1"/>
        <v>0.22281464532217038</v>
      </c>
      <c r="H12" s="10">
        <f t="shared" si="2"/>
        <v>0.21720784997490095</v>
      </c>
    </row>
    <row r="13" spans="1:13" x14ac:dyDescent="0.25">
      <c r="A13" s="6" t="str">
        <f t="shared" si="0"/>
        <v>ALL INDIA 1-10L45+</v>
      </c>
      <c r="B13" s="7" t="s">
        <v>54</v>
      </c>
      <c r="C13" t="s">
        <v>54</v>
      </c>
      <c r="D13" t="s">
        <v>251</v>
      </c>
      <c r="E13">
        <v>9209271</v>
      </c>
      <c r="F13">
        <v>9647935</v>
      </c>
      <c r="G13" s="9">
        <f t="shared" si="1"/>
        <v>0.11588574256213233</v>
      </c>
      <c r="H13" s="10">
        <f t="shared" si="2"/>
        <v>0.12864108181691924</v>
      </c>
    </row>
    <row r="14" spans="1:13" x14ac:dyDescent="0.25">
      <c r="A14" s="6" t="str">
        <f t="shared" si="0"/>
        <v>AHMADABAD2-16</v>
      </c>
      <c r="B14" s="7" t="s">
        <v>86</v>
      </c>
      <c r="C14" t="s">
        <v>42</v>
      </c>
      <c r="D14" t="s">
        <v>249</v>
      </c>
      <c r="E14">
        <v>1427493</v>
      </c>
      <c r="F14">
        <v>1264532</v>
      </c>
      <c r="G14" s="9">
        <f t="shared" si="1"/>
        <v>0.44879104060926472</v>
      </c>
      <c r="H14" s="10">
        <f t="shared" si="2"/>
        <v>0.43306898927783249</v>
      </c>
    </row>
    <row r="15" spans="1:13" x14ac:dyDescent="0.25">
      <c r="A15" s="6" t="str">
        <f t="shared" si="0"/>
        <v>AHMADABAD17-24</v>
      </c>
      <c r="B15" s="7" t="s">
        <v>86</v>
      </c>
      <c r="C15" t="s">
        <v>42</v>
      </c>
      <c r="D15" t="s">
        <v>250</v>
      </c>
      <c r="E15">
        <v>609188</v>
      </c>
      <c r="F15">
        <v>510675</v>
      </c>
      <c r="G15" s="9">
        <f t="shared" si="1"/>
        <v>0.19152326242347723</v>
      </c>
      <c r="H15" s="10">
        <f t="shared" si="2"/>
        <v>0.17489277147550011</v>
      </c>
    </row>
    <row r="16" spans="1:13" x14ac:dyDescent="0.25">
      <c r="A16" s="6" t="str">
        <f t="shared" si="0"/>
        <v>AHMADABAD25-34</v>
      </c>
      <c r="B16" s="7" t="s">
        <v>86</v>
      </c>
      <c r="C16" t="s">
        <v>42</v>
      </c>
      <c r="D16" t="s">
        <v>48</v>
      </c>
      <c r="E16">
        <v>479005</v>
      </c>
      <c r="F16">
        <v>482980</v>
      </c>
      <c r="G16" s="9">
        <f t="shared" si="1"/>
        <v>0.15059489076796934</v>
      </c>
      <c r="H16" s="10">
        <f t="shared" si="2"/>
        <v>0.1654079615552691</v>
      </c>
    </row>
    <row r="17" spans="1:8" x14ac:dyDescent="0.25">
      <c r="A17" s="6" t="str">
        <f t="shared" si="0"/>
        <v>AHMADABAD35-44</v>
      </c>
      <c r="B17" s="7" t="s">
        <v>86</v>
      </c>
      <c r="C17" t="s">
        <v>42</v>
      </c>
      <c r="D17" t="s">
        <v>55</v>
      </c>
      <c r="E17">
        <v>468142</v>
      </c>
      <c r="F17">
        <v>438807</v>
      </c>
      <c r="G17" s="9">
        <f t="shared" si="1"/>
        <v>0.14717966065886307</v>
      </c>
      <c r="H17" s="10">
        <f t="shared" si="2"/>
        <v>0.15027986953120825</v>
      </c>
    </row>
    <row r="18" spans="1:8" x14ac:dyDescent="0.25">
      <c r="A18" s="6" t="str">
        <f t="shared" si="0"/>
        <v>AHMADABAD45+</v>
      </c>
      <c r="B18" s="7" t="s">
        <v>86</v>
      </c>
      <c r="C18" t="s">
        <v>42</v>
      </c>
      <c r="D18" t="s">
        <v>251</v>
      </c>
      <c r="E18">
        <v>196924</v>
      </c>
      <c r="F18">
        <v>222938</v>
      </c>
      <c r="G18" s="9">
        <f t="shared" si="1"/>
        <v>6.1911145540425663E-2</v>
      </c>
      <c r="H18" s="10">
        <f t="shared" si="2"/>
        <v>7.6350408160190036E-2</v>
      </c>
    </row>
    <row r="19" spans="1:8" x14ac:dyDescent="0.25">
      <c r="A19" s="6" t="str">
        <f t="shared" si="0"/>
        <v>BANGALORE2-16</v>
      </c>
      <c r="B19" s="7" t="s">
        <v>86</v>
      </c>
      <c r="C19" t="s">
        <v>53</v>
      </c>
      <c r="D19" t="s">
        <v>249</v>
      </c>
      <c r="E19">
        <v>1795796</v>
      </c>
      <c r="F19">
        <v>1729682</v>
      </c>
      <c r="G19" s="9">
        <f t="shared" si="1"/>
        <v>0.44744112341409448</v>
      </c>
      <c r="H19" s="10">
        <f t="shared" si="2"/>
        <v>0.44521509129359532</v>
      </c>
    </row>
    <row r="20" spans="1:8" x14ac:dyDescent="0.25">
      <c r="A20" s="6" t="str">
        <f t="shared" si="0"/>
        <v>BANGALORE17-24</v>
      </c>
      <c r="B20" s="7" t="s">
        <v>86</v>
      </c>
      <c r="C20" t="s">
        <v>53</v>
      </c>
      <c r="D20" t="s">
        <v>250</v>
      </c>
      <c r="E20">
        <v>763854</v>
      </c>
      <c r="F20">
        <v>750201</v>
      </c>
      <c r="G20" s="9">
        <f t="shared" si="1"/>
        <v>0.19032211447422187</v>
      </c>
      <c r="H20" s="10">
        <f t="shared" si="2"/>
        <v>0.19309954471604984</v>
      </c>
    </row>
    <row r="21" spans="1:8" x14ac:dyDescent="0.25">
      <c r="A21" s="6" t="str">
        <f t="shared" si="0"/>
        <v>BANGALORE25-34</v>
      </c>
      <c r="B21" s="7" t="s">
        <v>86</v>
      </c>
      <c r="C21" t="s">
        <v>53</v>
      </c>
      <c r="D21" t="s">
        <v>48</v>
      </c>
      <c r="E21">
        <v>592115</v>
      </c>
      <c r="F21">
        <v>554821</v>
      </c>
      <c r="G21" s="9">
        <f t="shared" si="1"/>
        <v>0.14753156861377159</v>
      </c>
      <c r="H21" s="10">
        <f t="shared" si="2"/>
        <v>0.14280930377179382</v>
      </c>
    </row>
    <row r="22" spans="1:8" x14ac:dyDescent="0.25">
      <c r="A22" s="6" t="str">
        <f t="shared" si="0"/>
        <v>BANGALORE35-44</v>
      </c>
      <c r="B22" s="7" t="s">
        <v>86</v>
      </c>
      <c r="C22" t="s">
        <v>53</v>
      </c>
      <c r="D22" t="s">
        <v>55</v>
      </c>
      <c r="E22">
        <v>552836</v>
      </c>
      <c r="F22">
        <v>519259</v>
      </c>
      <c r="G22" s="9">
        <f t="shared" si="1"/>
        <v>0.13774480002391939</v>
      </c>
      <c r="H22" s="10">
        <f t="shared" si="2"/>
        <v>0.13365574891223994</v>
      </c>
    </row>
    <row r="23" spans="1:8" x14ac:dyDescent="0.25">
      <c r="A23" s="6" t="str">
        <f t="shared" si="0"/>
        <v>BANGALORE45+</v>
      </c>
      <c r="B23" s="7" t="s">
        <v>86</v>
      </c>
      <c r="C23" t="s">
        <v>53</v>
      </c>
      <c r="D23" t="s">
        <v>251</v>
      </c>
      <c r="E23">
        <v>308879</v>
      </c>
      <c r="F23">
        <v>331085</v>
      </c>
      <c r="G23" s="9">
        <f t="shared" si="1"/>
        <v>7.6960393473992639E-2</v>
      </c>
      <c r="H23" s="10">
        <f t="shared" si="2"/>
        <v>8.5220311306321059E-2</v>
      </c>
    </row>
    <row r="24" spans="1:8" x14ac:dyDescent="0.25">
      <c r="A24" s="6" t="str">
        <f t="shared" si="0"/>
        <v>CHENNAI2-16</v>
      </c>
      <c r="B24" s="7" t="s">
        <v>86</v>
      </c>
      <c r="C24" t="s">
        <v>59</v>
      </c>
      <c r="D24" t="s">
        <v>249</v>
      </c>
      <c r="E24">
        <v>1149707</v>
      </c>
      <c r="F24">
        <v>1121410</v>
      </c>
      <c r="G24" s="9">
        <f t="shared" si="1"/>
        <v>0.40230238594620094</v>
      </c>
      <c r="H24" s="10">
        <f t="shared" si="2"/>
        <v>0.39437290379166434</v>
      </c>
    </row>
    <row r="25" spans="1:8" x14ac:dyDescent="0.25">
      <c r="A25" s="6" t="str">
        <f t="shared" si="0"/>
        <v>CHENNAI17-24</v>
      </c>
      <c r="B25" s="7" t="s">
        <v>86</v>
      </c>
      <c r="C25" t="s">
        <v>59</v>
      </c>
      <c r="D25" t="s">
        <v>250</v>
      </c>
      <c r="E25">
        <v>503196</v>
      </c>
      <c r="F25">
        <v>524367</v>
      </c>
      <c r="G25" s="9">
        <f t="shared" si="1"/>
        <v>0.17607699300655255</v>
      </c>
      <c r="H25" s="10">
        <f t="shared" si="2"/>
        <v>0.18440725197967173</v>
      </c>
    </row>
    <row r="26" spans="1:8" x14ac:dyDescent="0.25">
      <c r="A26" s="6" t="str">
        <f t="shared" si="0"/>
        <v>CHENNAI25-34</v>
      </c>
      <c r="B26" s="7" t="s">
        <v>86</v>
      </c>
      <c r="C26" t="s">
        <v>59</v>
      </c>
      <c r="D26" t="s">
        <v>48</v>
      </c>
      <c r="E26">
        <v>449426</v>
      </c>
      <c r="F26">
        <v>450277</v>
      </c>
      <c r="G26" s="9">
        <f t="shared" si="1"/>
        <v>0.15726193900381341</v>
      </c>
      <c r="H26" s="10">
        <f t="shared" si="2"/>
        <v>0.15835158238342734</v>
      </c>
    </row>
    <row r="27" spans="1:8" x14ac:dyDescent="0.25">
      <c r="A27" s="6" t="str">
        <f t="shared" si="0"/>
        <v>CHENNAI35-44</v>
      </c>
      <c r="B27" s="7" t="s">
        <v>86</v>
      </c>
      <c r="C27" t="s">
        <v>59</v>
      </c>
      <c r="D27" t="s">
        <v>55</v>
      </c>
      <c r="E27">
        <v>476648</v>
      </c>
      <c r="F27">
        <v>452983</v>
      </c>
      <c r="G27" s="9">
        <f t="shared" si="1"/>
        <v>0.16678738814018249</v>
      </c>
      <c r="H27" s="10">
        <f t="shared" si="2"/>
        <v>0.15930321744790887</v>
      </c>
    </row>
    <row r="28" spans="1:8" x14ac:dyDescent="0.25">
      <c r="A28" s="6" t="str">
        <f t="shared" si="0"/>
        <v>CHENNAI45+</v>
      </c>
      <c r="B28" s="7" t="s">
        <v>86</v>
      </c>
      <c r="C28" t="s">
        <v>59</v>
      </c>
      <c r="D28" t="s">
        <v>251</v>
      </c>
      <c r="E28">
        <v>278841</v>
      </c>
      <c r="F28">
        <v>294490</v>
      </c>
      <c r="G28" s="9">
        <f t="shared" si="1"/>
        <v>9.7571293903250658E-2</v>
      </c>
      <c r="H28" s="10">
        <f t="shared" si="2"/>
        <v>0.10356504439732768</v>
      </c>
    </row>
    <row r="29" spans="1:8" x14ac:dyDescent="0.25">
      <c r="A29" s="6" t="str">
        <f t="shared" si="0"/>
        <v>DELHI2-16</v>
      </c>
      <c r="B29" s="7" t="s">
        <v>86</v>
      </c>
      <c r="C29" t="s">
        <v>63</v>
      </c>
      <c r="D29" t="s">
        <v>249</v>
      </c>
      <c r="E29">
        <v>3789288</v>
      </c>
      <c r="F29">
        <v>3194140</v>
      </c>
      <c r="G29" s="9">
        <f t="shared" si="1"/>
        <v>0.48127116038244244</v>
      </c>
      <c r="H29" s="10">
        <f t="shared" si="2"/>
        <v>0.46845544075266371</v>
      </c>
    </row>
    <row r="30" spans="1:8" x14ac:dyDescent="0.25">
      <c r="A30" s="6" t="str">
        <f t="shared" si="0"/>
        <v>DELHI17-24</v>
      </c>
      <c r="B30" s="7" t="s">
        <v>86</v>
      </c>
      <c r="C30" t="s">
        <v>63</v>
      </c>
      <c r="D30" t="s">
        <v>250</v>
      </c>
      <c r="E30">
        <v>1435793</v>
      </c>
      <c r="F30">
        <v>1283681</v>
      </c>
      <c r="G30" s="9">
        <f t="shared" si="1"/>
        <v>0.18235767858737265</v>
      </c>
      <c r="H30" s="10">
        <f t="shared" si="2"/>
        <v>0.18826580821154368</v>
      </c>
    </row>
    <row r="31" spans="1:8" x14ac:dyDescent="0.25">
      <c r="A31" s="6" t="str">
        <f t="shared" si="0"/>
        <v>DELHI25-34</v>
      </c>
      <c r="B31" s="7" t="s">
        <v>86</v>
      </c>
      <c r="C31" t="s">
        <v>63</v>
      </c>
      <c r="D31" t="s">
        <v>48</v>
      </c>
      <c r="E31">
        <v>1130917</v>
      </c>
      <c r="F31">
        <v>986248</v>
      </c>
      <c r="G31" s="9">
        <f t="shared" si="1"/>
        <v>0.14363588539225064</v>
      </c>
      <c r="H31" s="10">
        <f t="shared" si="2"/>
        <v>0.14464401733531815</v>
      </c>
    </row>
    <row r="32" spans="1:8" x14ac:dyDescent="0.25">
      <c r="A32" s="6" t="str">
        <f t="shared" si="0"/>
        <v>DELHI35-44</v>
      </c>
      <c r="B32" s="7" t="s">
        <v>86</v>
      </c>
      <c r="C32" t="s">
        <v>63</v>
      </c>
      <c r="D32" t="s">
        <v>55</v>
      </c>
      <c r="E32">
        <v>1003274</v>
      </c>
      <c r="F32">
        <v>848633</v>
      </c>
      <c r="G32" s="9">
        <f t="shared" si="1"/>
        <v>0.12742416046537886</v>
      </c>
      <c r="H32" s="10">
        <f t="shared" si="2"/>
        <v>0.12446127785640432</v>
      </c>
    </row>
    <row r="33" spans="1:8" x14ac:dyDescent="0.25">
      <c r="A33" s="6" t="str">
        <f t="shared" si="0"/>
        <v>DELHI45+</v>
      </c>
      <c r="B33" s="7" t="s">
        <v>86</v>
      </c>
      <c r="C33" t="s">
        <v>63</v>
      </c>
      <c r="D33" t="s">
        <v>251</v>
      </c>
      <c r="E33">
        <v>514227</v>
      </c>
      <c r="F33">
        <v>505748</v>
      </c>
      <c r="G33" s="9">
        <f t="shared" si="1"/>
        <v>6.5311115172555431E-2</v>
      </c>
      <c r="H33" s="10">
        <f t="shared" si="2"/>
        <v>7.4173455844070132E-2</v>
      </c>
    </row>
    <row r="34" spans="1:8" x14ac:dyDescent="0.25">
      <c r="A34" s="6" t="str">
        <f t="shared" si="0"/>
        <v>HYDERABAD2-16</v>
      </c>
      <c r="B34" s="7" t="s">
        <v>86</v>
      </c>
      <c r="C34" t="s">
        <v>67</v>
      </c>
      <c r="D34" t="s">
        <v>249</v>
      </c>
      <c r="E34">
        <v>1150213</v>
      </c>
      <c r="F34">
        <v>1134755</v>
      </c>
      <c r="G34" s="9">
        <f t="shared" si="1"/>
        <v>0.45003149637107032</v>
      </c>
      <c r="H34" s="10">
        <f t="shared" si="2"/>
        <v>0.44756325118610146</v>
      </c>
    </row>
    <row r="35" spans="1:8" x14ac:dyDescent="0.25">
      <c r="A35" s="6" t="str">
        <f t="shared" si="0"/>
        <v>HYDERABAD17-24</v>
      </c>
      <c r="B35" s="7" t="s">
        <v>86</v>
      </c>
      <c r="C35" t="s">
        <v>67</v>
      </c>
      <c r="D35" t="s">
        <v>250</v>
      </c>
      <c r="E35">
        <v>459051</v>
      </c>
      <c r="F35">
        <v>470901</v>
      </c>
      <c r="G35" s="9">
        <f t="shared" si="1"/>
        <v>0.17960795821351019</v>
      </c>
      <c r="H35" s="10">
        <f t="shared" si="2"/>
        <v>0.18572994394982739</v>
      </c>
    </row>
    <row r="36" spans="1:8" x14ac:dyDescent="0.25">
      <c r="A36" s="6" t="str">
        <f t="shared" si="0"/>
        <v>HYDERABAD25-34</v>
      </c>
      <c r="B36" s="7" t="s">
        <v>86</v>
      </c>
      <c r="C36" t="s">
        <v>67</v>
      </c>
      <c r="D36" t="s">
        <v>48</v>
      </c>
      <c r="E36">
        <v>379563</v>
      </c>
      <c r="F36">
        <v>363652</v>
      </c>
      <c r="G36" s="9">
        <f t="shared" ref="G36:G63" si="3">E36/SUMIF(C:C,C36,E:E)</f>
        <v>0.14850754152238982</v>
      </c>
      <c r="H36" s="10">
        <f t="shared" ref="H36:H63" si="4">F36/SUMIF(C:C,C36,F:F)</f>
        <v>0.14342943756170115</v>
      </c>
    </row>
    <row r="37" spans="1:8" x14ac:dyDescent="0.25">
      <c r="A37" s="6" t="str">
        <f t="shared" si="0"/>
        <v>HYDERABAD35-44</v>
      </c>
      <c r="B37" s="7" t="s">
        <v>86</v>
      </c>
      <c r="C37" t="s">
        <v>67</v>
      </c>
      <c r="D37" t="s">
        <v>55</v>
      </c>
      <c r="E37">
        <v>347505</v>
      </c>
      <c r="F37">
        <v>327278</v>
      </c>
      <c r="G37" s="9">
        <f t="shared" si="3"/>
        <v>0.13596455191032339</v>
      </c>
      <c r="H37" s="10">
        <f t="shared" si="4"/>
        <v>0.1290830229623883</v>
      </c>
    </row>
    <row r="38" spans="1:8" x14ac:dyDescent="0.25">
      <c r="A38" s="6" t="str">
        <f t="shared" si="0"/>
        <v>HYDERABAD45+</v>
      </c>
      <c r="B38" s="7" t="s">
        <v>86</v>
      </c>
      <c r="C38" t="s">
        <v>67</v>
      </c>
      <c r="D38" t="s">
        <v>251</v>
      </c>
      <c r="E38">
        <v>219518</v>
      </c>
      <c r="F38">
        <v>238821</v>
      </c>
      <c r="G38" s="9">
        <f t="shared" si="3"/>
        <v>8.5888451982706338E-2</v>
      </c>
      <c r="H38" s="10">
        <f t="shared" si="4"/>
        <v>9.4194344339981709E-2</v>
      </c>
    </row>
    <row r="39" spans="1:8" x14ac:dyDescent="0.25">
      <c r="A39" s="6" t="str">
        <f t="shared" si="0"/>
        <v>KOLKATA2-16</v>
      </c>
      <c r="B39" s="7" t="s">
        <v>86</v>
      </c>
      <c r="C39" t="s">
        <v>70</v>
      </c>
      <c r="D39" t="s">
        <v>249</v>
      </c>
      <c r="E39">
        <v>1063008</v>
      </c>
      <c r="F39">
        <v>1020824</v>
      </c>
      <c r="G39" s="9">
        <f t="shared" si="3"/>
        <v>0.4065909309102787</v>
      </c>
      <c r="H39" s="10">
        <f t="shared" si="4"/>
        <v>0.41230870888773374</v>
      </c>
    </row>
    <row r="40" spans="1:8" x14ac:dyDescent="0.25">
      <c r="A40" s="6" t="str">
        <f t="shared" si="0"/>
        <v>KOLKATA17-24</v>
      </c>
      <c r="B40" s="7" t="s">
        <v>86</v>
      </c>
      <c r="C40" t="s">
        <v>70</v>
      </c>
      <c r="D40" t="s">
        <v>250</v>
      </c>
      <c r="E40">
        <v>442182</v>
      </c>
      <c r="F40">
        <v>438322</v>
      </c>
      <c r="G40" s="9">
        <f t="shared" si="3"/>
        <v>0.16913060956433898</v>
      </c>
      <c r="H40" s="10">
        <f t="shared" si="4"/>
        <v>0.17703735207742885</v>
      </c>
    </row>
    <row r="41" spans="1:8" x14ac:dyDescent="0.25">
      <c r="A41" s="6" t="str">
        <f t="shared" si="0"/>
        <v>KOLKATA25-34</v>
      </c>
      <c r="B41" s="7" t="s">
        <v>86</v>
      </c>
      <c r="C41" t="s">
        <v>70</v>
      </c>
      <c r="D41" t="s">
        <v>48</v>
      </c>
      <c r="E41">
        <v>408184</v>
      </c>
      <c r="F41">
        <v>386915</v>
      </c>
      <c r="G41" s="9">
        <f t="shared" si="3"/>
        <v>0.15612668252984099</v>
      </c>
      <c r="H41" s="10">
        <f t="shared" si="4"/>
        <v>0.15627417076724048</v>
      </c>
    </row>
    <row r="42" spans="1:8" x14ac:dyDescent="0.25">
      <c r="A42" s="6" t="str">
        <f t="shared" si="0"/>
        <v>KOLKATA35-44</v>
      </c>
      <c r="B42" s="7" t="s">
        <v>86</v>
      </c>
      <c r="C42" t="s">
        <v>70</v>
      </c>
      <c r="D42" t="s">
        <v>55</v>
      </c>
      <c r="E42">
        <v>439458</v>
      </c>
      <c r="F42">
        <v>382307</v>
      </c>
      <c r="G42" s="9">
        <f t="shared" si="3"/>
        <v>0.16808870423926187</v>
      </c>
      <c r="H42" s="10">
        <f t="shared" si="4"/>
        <v>0.15441300906791261</v>
      </c>
    </row>
    <row r="43" spans="1:8" x14ac:dyDescent="0.25">
      <c r="A43" s="6" t="str">
        <f t="shared" si="0"/>
        <v>KOLKATA45+</v>
      </c>
      <c r="B43" s="7" t="s">
        <v>86</v>
      </c>
      <c r="C43" t="s">
        <v>70</v>
      </c>
      <c r="D43" t="s">
        <v>251</v>
      </c>
      <c r="E43">
        <v>261609</v>
      </c>
      <c r="F43">
        <v>247505</v>
      </c>
      <c r="G43" s="9">
        <f t="shared" si="3"/>
        <v>0.10006307275627944</v>
      </c>
      <c r="H43" s="10">
        <f t="shared" si="4"/>
        <v>9.9966759199684313E-2</v>
      </c>
    </row>
    <row r="44" spans="1:8" x14ac:dyDescent="0.25">
      <c r="A44" s="6" t="str">
        <f t="shared" si="0"/>
        <v>MUMBAI2-16</v>
      </c>
      <c r="B44" s="7" t="s">
        <v>86</v>
      </c>
      <c r="C44" t="s">
        <v>75</v>
      </c>
      <c r="D44" t="s">
        <v>249</v>
      </c>
      <c r="E44">
        <v>1562262</v>
      </c>
      <c r="F44">
        <v>1414200</v>
      </c>
      <c r="G44" s="9">
        <f t="shared" si="3"/>
        <v>0.44861260671427711</v>
      </c>
      <c r="H44" s="10">
        <f t="shared" si="4"/>
        <v>0.4390226639008632</v>
      </c>
    </row>
    <row r="45" spans="1:8" x14ac:dyDescent="0.25">
      <c r="A45" s="6" t="str">
        <f t="shared" si="0"/>
        <v>MUMBAI17-24</v>
      </c>
      <c r="B45" s="7" t="s">
        <v>86</v>
      </c>
      <c r="C45" t="s">
        <v>75</v>
      </c>
      <c r="D45" t="s">
        <v>250</v>
      </c>
      <c r="E45">
        <v>652140</v>
      </c>
      <c r="F45">
        <v>604086</v>
      </c>
      <c r="G45" s="9">
        <f t="shared" si="3"/>
        <v>0.1872657885442062</v>
      </c>
      <c r="H45" s="10">
        <f t="shared" si="4"/>
        <v>0.18753178118032587</v>
      </c>
    </row>
    <row r="46" spans="1:8" x14ac:dyDescent="0.25">
      <c r="A46" s="6" t="str">
        <f t="shared" si="0"/>
        <v>MUMBAI25-34</v>
      </c>
      <c r="B46" s="7" t="s">
        <v>86</v>
      </c>
      <c r="C46" t="s">
        <v>75</v>
      </c>
      <c r="D46" t="s">
        <v>48</v>
      </c>
      <c r="E46">
        <v>510946</v>
      </c>
      <c r="F46">
        <v>472651</v>
      </c>
      <c r="G46" s="9">
        <f t="shared" si="3"/>
        <v>0.14672111140783878</v>
      </c>
      <c r="H46" s="10">
        <f t="shared" si="4"/>
        <v>0.14672924700566178</v>
      </c>
    </row>
    <row r="47" spans="1:8" x14ac:dyDescent="0.25">
      <c r="A47" s="6" t="str">
        <f t="shared" si="0"/>
        <v>MUMBAI35-44</v>
      </c>
      <c r="B47" s="7" t="s">
        <v>86</v>
      </c>
      <c r="C47" t="s">
        <v>75</v>
      </c>
      <c r="D47" t="s">
        <v>55</v>
      </c>
      <c r="E47">
        <v>479937</v>
      </c>
      <c r="F47">
        <v>434563</v>
      </c>
      <c r="G47" s="9">
        <f t="shared" si="3"/>
        <v>0.1378166969616044</v>
      </c>
      <c r="H47" s="10">
        <f t="shared" si="4"/>
        <v>0.13490525094947731</v>
      </c>
    </row>
    <row r="48" spans="1:8" x14ac:dyDescent="0.25">
      <c r="A48" s="6" t="str">
        <f t="shared" si="0"/>
        <v>MUMBAI45+</v>
      </c>
      <c r="B48" s="7" t="s">
        <v>86</v>
      </c>
      <c r="C48" t="s">
        <v>75</v>
      </c>
      <c r="D48" t="s">
        <v>251</v>
      </c>
      <c r="E48">
        <v>277145</v>
      </c>
      <c r="F48">
        <v>295746</v>
      </c>
      <c r="G48" s="9">
        <f t="shared" si="3"/>
        <v>7.9583796372073523E-2</v>
      </c>
      <c r="H48" s="10">
        <f t="shared" si="4"/>
        <v>9.1811056963671825E-2</v>
      </c>
    </row>
    <row r="49" spans="1:10" x14ac:dyDescent="0.25">
      <c r="A49" s="6" t="str">
        <f t="shared" si="0"/>
        <v>PUNE2-16</v>
      </c>
      <c r="B49" s="7" t="s">
        <v>86</v>
      </c>
      <c r="C49" t="s">
        <v>79</v>
      </c>
      <c r="D49" t="s">
        <v>249</v>
      </c>
      <c r="E49">
        <v>813985</v>
      </c>
      <c r="F49">
        <v>689150</v>
      </c>
      <c r="G49" s="9">
        <f t="shared" si="3"/>
        <v>0.43981263852462293</v>
      </c>
      <c r="H49" s="10">
        <f t="shared" si="4"/>
        <v>0.41902252196653295</v>
      </c>
    </row>
    <row r="50" spans="1:10" x14ac:dyDescent="0.25">
      <c r="A50" s="6" t="str">
        <f t="shared" si="0"/>
        <v>PUNE17-24</v>
      </c>
      <c r="B50" s="7" t="s">
        <v>86</v>
      </c>
      <c r="C50" t="s">
        <v>79</v>
      </c>
      <c r="D50" t="s">
        <v>250</v>
      </c>
      <c r="E50">
        <v>365090</v>
      </c>
      <c r="F50">
        <v>308427</v>
      </c>
      <c r="G50" s="9">
        <f t="shared" si="3"/>
        <v>0.19726554690682824</v>
      </c>
      <c r="H50" s="10">
        <f t="shared" si="4"/>
        <v>0.18753226348773394</v>
      </c>
    </row>
    <row r="51" spans="1:10" x14ac:dyDescent="0.25">
      <c r="A51" s="6" t="str">
        <f t="shared" si="0"/>
        <v>PUNE25-34</v>
      </c>
      <c r="B51" s="7" t="s">
        <v>86</v>
      </c>
      <c r="C51" t="s">
        <v>79</v>
      </c>
      <c r="D51" t="s">
        <v>48</v>
      </c>
      <c r="E51">
        <v>269694</v>
      </c>
      <c r="F51">
        <v>257766</v>
      </c>
      <c r="G51" s="9">
        <f t="shared" si="3"/>
        <v>0.14572114932616653</v>
      </c>
      <c r="H51" s="10">
        <f t="shared" si="4"/>
        <v>0.15672895508557691</v>
      </c>
    </row>
    <row r="52" spans="1:10" x14ac:dyDescent="0.25">
      <c r="A52" s="6" t="str">
        <f t="shared" si="0"/>
        <v>PUNE35-44</v>
      </c>
      <c r="B52" s="7" t="s">
        <v>86</v>
      </c>
      <c r="C52" t="s">
        <v>79</v>
      </c>
      <c r="D52" t="s">
        <v>55</v>
      </c>
      <c r="E52">
        <v>254880</v>
      </c>
      <c r="F52">
        <v>238320</v>
      </c>
      <c r="G52" s="9">
        <f t="shared" si="3"/>
        <v>0.13771684405382886</v>
      </c>
      <c r="H52" s="10">
        <f t="shared" si="4"/>
        <v>0.14490524187051312</v>
      </c>
    </row>
    <row r="53" spans="1:10" x14ac:dyDescent="0.25">
      <c r="A53" s="6" t="str">
        <f t="shared" si="0"/>
        <v>PUNE45+</v>
      </c>
      <c r="B53" s="7" t="s">
        <v>86</v>
      </c>
      <c r="C53" t="s">
        <v>79</v>
      </c>
      <c r="D53" t="s">
        <v>251</v>
      </c>
      <c r="E53">
        <v>147105</v>
      </c>
      <c r="F53">
        <v>150998</v>
      </c>
      <c r="G53" s="9">
        <f t="shared" si="3"/>
        <v>7.9483821188553419E-2</v>
      </c>
      <c r="H53" s="10">
        <f t="shared" si="4"/>
        <v>9.1811017589643093E-2</v>
      </c>
    </row>
    <row r="54" spans="1:10" x14ac:dyDescent="0.25">
      <c r="A54" s="6" t="str">
        <f t="shared" si="0"/>
        <v>SURAT2-16</v>
      </c>
      <c r="B54" s="7" t="s">
        <v>86</v>
      </c>
      <c r="C54" t="s">
        <v>81</v>
      </c>
      <c r="D54" t="s">
        <v>249</v>
      </c>
      <c r="E54">
        <v>960122</v>
      </c>
      <c r="F54">
        <v>867066</v>
      </c>
      <c r="G54" s="9">
        <f t="shared" si="3"/>
        <v>0.46879125815397837</v>
      </c>
      <c r="H54" s="10">
        <f t="shared" si="4"/>
        <v>0.44306917791629236</v>
      </c>
    </row>
    <row r="55" spans="1:10" x14ac:dyDescent="0.25">
      <c r="A55" s="6" t="str">
        <f t="shared" si="0"/>
        <v>SURAT17-24</v>
      </c>
      <c r="B55" s="7" t="s">
        <v>86</v>
      </c>
      <c r="C55" t="s">
        <v>81</v>
      </c>
      <c r="D55" t="s">
        <v>250</v>
      </c>
      <c r="E55">
        <v>371774</v>
      </c>
      <c r="F55">
        <v>361826</v>
      </c>
      <c r="G55" s="9">
        <f t="shared" si="3"/>
        <v>0.18152318268817624</v>
      </c>
      <c r="H55" s="10">
        <f t="shared" si="4"/>
        <v>0.1848924399858147</v>
      </c>
    </row>
    <row r="56" spans="1:10" x14ac:dyDescent="0.25">
      <c r="A56" s="6" t="str">
        <f t="shared" si="0"/>
        <v>SURAT25-34</v>
      </c>
      <c r="B56" s="7" t="s">
        <v>86</v>
      </c>
      <c r="C56" t="s">
        <v>81</v>
      </c>
      <c r="D56" t="s">
        <v>48</v>
      </c>
      <c r="E56">
        <v>287949</v>
      </c>
      <c r="F56">
        <v>284557</v>
      </c>
      <c r="G56" s="9">
        <f t="shared" si="3"/>
        <v>0.14059460567946563</v>
      </c>
      <c r="H56" s="10">
        <f t="shared" si="4"/>
        <v>0.14540811894403241</v>
      </c>
    </row>
    <row r="57" spans="1:10" x14ac:dyDescent="0.25">
      <c r="A57" s="6" t="str">
        <f t="shared" si="0"/>
        <v>SURAT35-44</v>
      </c>
      <c r="B57" s="7" t="s">
        <v>86</v>
      </c>
      <c r="C57" t="s">
        <v>81</v>
      </c>
      <c r="D57" t="s">
        <v>55</v>
      </c>
      <c r="E57">
        <v>280955</v>
      </c>
      <c r="F57">
        <v>274521</v>
      </c>
      <c r="G57" s="9">
        <f t="shared" si="3"/>
        <v>0.13717970001171828</v>
      </c>
      <c r="H57" s="10">
        <f t="shared" si="4"/>
        <v>0.14027974086258543</v>
      </c>
    </row>
    <row r="58" spans="1:10" x14ac:dyDescent="0.25">
      <c r="A58" s="6" t="str">
        <f t="shared" si="0"/>
        <v>SURAT45+</v>
      </c>
      <c r="B58" s="7" t="s">
        <v>86</v>
      </c>
      <c r="C58" t="s">
        <v>81</v>
      </c>
      <c r="D58" t="s">
        <v>251</v>
      </c>
      <c r="E58">
        <v>147280</v>
      </c>
      <c r="F58">
        <v>168984</v>
      </c>
      <c r="G58" s="9">
        <f t="shared" si="3"/>
        <v>7.1911253466661454E-2</v>
      </c>
      <c r="H58" s="10">
        <f t="shared" si="4"/>
        <v>8.6350522291275114E-2</v>
      </c>
    </row>
    <row r="59" spans="1:10" x14ac:dyDescent="0.25">
      <c r="A59" s="6" t="str">
        <f t="shared" si="0"/>
        <v>RURAL2-16</v>
      </c>
      <c r="B59" s="7" t="s">
        <v>88</v>
      </c>
      <c r="C59" t="s">
        <v>88</v>
      </c>
      <c r="D59" t="s">
        <v>249</v>
      </c>
      <c r="E59">
        <v>166585728</v>
      </c>
      <c r="F59">
        <v>165389144</v>
      </c>
      <c r="G59" s="9">
        <f t="shared" si="3"/>
        <v>0.35866685079809058</v>
      </c>
      <c r="H59" s="10">
        <f t="shared" si="4"/>
        <v>0.34338529306999549</v>
      </c>
    </row>
    <row r="60" spans="1:10" x14ac:dyDescent="0.25">
      <c r="A60" s="6" t="str">
        <f t="shared" si="0"/>
        <v>RURAL17-24</v>
      </c>
      <c r="B60" s="7" t="s">
        <v>88</v>
      </c>
      <c r="C60" t="s">
        <v>88</v>
      </c>
      <c r="D60" t="s">
        <v>250</v>
      </c>
      <c r="E60">
        <v>115302945</v>
      </c>
      <c r="F60">
        <v>123614282</v>
      </c>
      <c r="G60" s="9">
        <f t="shared" si="3"/>
        <v>0.2482526244438866</v>
      </c>
      <c r="H60" s="10">
        <f t="shared" si="4"/>
        <v>0.25665122525942252</v>
      </c>
    </row>
    <row r="61" spans="1:10" x14ac:dyDescent="0.25">
      <c r="A61" s="6" t="str">
        <f t="shared" si="0"/>
        <v>RURAL25-34</v>
      </c>
      <c r="B61" s="7" t="s">
        <v>88</v>
      </c>
      <c r="C61" t="s">
        <v>88</v>
      </c>
      <c r="D61" t="s">
        <v>48</v>
      </c>
      <c r="E61">
        <v>97502589</v>
      </c>
      <c r="F61">
        <v>102132674</v>
      </c>
      <c r="G61" s="9">
        <f t="shared" si="3"/>
        <v>0.20992762682101163</v>
      </c>
      <c r="H61" s="10">
        <f t="shared" si="4"/>
        <v>0.21205054543067414</v>
      </c>
    </row>
    <row r="62" spans="1:10" x14ac:dyDescent="0.25">
      <c r="A62" s="6" t="str">
        <f t="shared" si="0"/>
        <v>RURAL35-44</v>
      </c>
      <c r="B62" s="7" t="s">
        <v>88</v>
      </c>
      <c r="C62" t="s">
        <v>88</v>
      </c>
      <c r="D62" t="s">
        <v>55</v>
      </c>
      <c r="E62">
        <v>61917059</v>
      </c>
      <c r="F62">
        <v>64665199</v>
      </c>
      <c r="G62" s="9">
        <f t="shared" si="3"/>
        <v>0.13331031913015726</v>
      </c>
      <c r="H62" s="10">
        <f t="shared" si="4"/>
        <v>0.13425958786052233</v>
      </c>
    </row>
    <row r="63" spans="1:10" ht="15.75" thickBot="1" x14ac:dyDescent="0.3">
      <c r="A63" s="6" t="str">
        <f t="shared" si="0"/>
        <v>RURAL45+</v>
      </c>
      <c r="B63" s="20" t="s">
        <v>88</v>
      </c>
      <c r="C63" s="21" t="s">
        <v>88</v>
      </c>
      <c r="D63" t="s">
        <v>251</v>
      </c>
      <c r="E63" s="21">
        <v>23149790</v>
      </c>
      <c r="F63" s="21">
        <v>25841763</v>
      </c>
      <c r="G63" s="22">
        <f t="shared" si="3"/>
        <v>4.9842578806853909E-2</v>
      </c>
      <c r="H63" s="23">
        <f t="shared" si="4"/>
        <v>5.3653348379385561E-2</v>
      </c>
      <c r="J63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50 Shows &amp; Movies</vt:lpstr>
      <vt:lpstr>Compile data Working</vt:lpstr>
      <vt:lpstr>Sheet2</vt:lpstr>
      <vt:lpstr>ranking</vt:lpstr>
      <vt:lpstr>Updated SES</vt:lpstr>
      <vt:lpstr>Genre Penetration</vt:lpstr>
      <vt:lpstr>Language Penetration</vt:lpstr>
      <vt:lpstr>Sheet1</vt:lpstr>
      <vt:lpstr>Age Breakup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SAINI</dc:creator>
  <cp:lastModifiedBy>KARTIK</cp:lastModifiedBy>
  <cp:lastPrinted>2026-01-13T09:46:27Z</cp:lastPrinted>
  <dcterms:created xsi:type="dcterms:W3CDTF">2024-10-03T10:22:33Z</dcterms:created>
  <dcterms:modified xsi:type="dcterms:W3CDTF">2026-05-27T05:37:12Z</dcterms:modified>
</cp:coreProperties>
</file>